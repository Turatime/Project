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การเรียนรู้\ข้อมูลส่ง Cane-yes2025\RDC_Rain68\RDC_Rain68\"/>
    </mc:Choice>
  </mc:AlternateContent>
  <bookViews>
    <workbookView xWindow="0" yWindow="0" windowWidth="19200" windowHeight="8130"/>
  </bookViews>
  <sheets>
    <sheet name="รวม" sheetId="5" r:id="rId1"/>
    <sheet name="2568" sheetId="6" r:id="rId2"/>
    <sheet name="2567" sheetId="1" r:id="rId3"/>
    <sheet name="2566" sheetId="2" r:id="rId4"/>
    <sheet name="2565" sheetId="3" r:id="rId5"/>
    <sheet name="2564" sheetId="4" r:id="rId6"/>
  </sheets>
  <externalReferences>
    <externalReference r:id="rId7"/>
  </externalReferenc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5" l="1"/>
  <c r="D14" i="5"/>
  <c r="D18" i="5"/>
  <c r="D17" i="5"/>
  <c r="D16" i="5"/>
  <c r="D15" i="5"/>
  <c r="D11" i="5"/>
  <c r="D13" i="5"/>
  <c r="D12" i="5"/>
  <c r="D10" i="5"/>
  <c r="D9" i="5"/>
  <c r="D8" i="5"/>
  <c r="D5" i="5"/>
  <c r="D4" i="5"/>
  <c r="D3" i="5"/>
  <c r="D7" i="5"/>
  <c r="D6" i="5"/>
  <c r="S18" i="6"/>
  <c r="R18" i="6"/>
  <c r="B18" i="6"/>
  <c r="I18" i="1"/>
  <c r="N18" i="1"/>
  <c r="G18" i="1"/>
  <c r="D18" i="6" l="1"/>
  <c r="M18" i="6"/>
  <c r="E18" i="6"/>
  <c r="N18" i="6"/>
  <c r="G18" i="6"/>
  <c r="C18" i="6"/>
  <c r="P18" i="6"/>
  <c r="H18" i="6"/>
  <c r="I18" i="6"/>
  <c r="J18" i="6"/>
  <c r="K18" i="6"/>
  <c r="Q18" i="6"/>
  <c r="L18" i="6"/>
  <c r="F18" i="6"/>
  <c r="O18" i="6"/>
  <c r="H18" i="1"/>
  <c r="O18" i="1"/>
  <c r="C18" i="1"/>
  <c r="K18" i="1"/>
  <c r="L18" i="1"/>
  <c r="D18" i="1"/>
  <c r="E18" i="1"/>
  <c r="F18" i="1"/>
  <c r="J18" i="1"/>
  <c r="P18" i="1"/>
  <c r="Q18" i="1"/>
  <c r="M18" i="1"/>
  <c r="B18" i="1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D20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X17" i="3"/>
  <c r="X16" i="3"/>
  <c r="X15" i="3"/>
  <c r="X14" i="3"/>
  <c r="X13" i="3"/>
  <c r="X12" i="3"/>
  <c r="X11" i="3"/>
  <c r="P18" i="3"/>
  <c r="O18" i="3"/>
  <c r="M18" i="3"/>
  <c r="X10" i="3"/>
  <c r="X9" i="3"/>
  <c r="X8" i="3"/>
  <c r="R18" i="3"/>
  <c r="Q18" i="3"/>
  <c r="N18" i="3"/>
  <c r="L18" i="3"/>
  <c r="F18" i="3"/>
  <c r="E18" i="3"/>
  <c r="X7" i="3"/>
  <c r="V18" i="3"/>
  <c r="U18" i="3"/>
  <c r="T18" i="3"/>
  <c r="S18" i="3"/>
  <c r="K18" i="3"/>
  <c r="J18" i="3"/>
  <c r="I18" i="3"/>
  <c r="H18" i="3"/>
  <c r="G18" i="3"/>
  <c r="X17" i="2"/>
  <c r="X16" i="2"/>
  <c r="X15" i="2"/>
  <c r="X14" i="2"/>
  <c r="X13" i="2"/>
  <c r="X12" i="2"/>
  <c r="X11" i="2"/>
  <c r="N18" i="2"/>
  <c r="D18" i="2"/>
  <c r="X9" i="2"/>
  <c r="R18" i="2"/>
  <c r="X8" i="2"/>
  <c r="T18" i="2"/>
  <c r="S18" i="2"/>
  <c r="Q18" i="2"/>
  <c r="P18" i="2"/>
  <c r="O18" i="2"/>
  <c r="M18" i="2"/>
  <c r="L18" i="2"/>
  <c r="G18" i="2"/>
  <c r="F18" i="2"/>
  <c r="E18" i="2"/>
  <c r="X7" i="2"/>
  <c r="V18" i="2"/>
  <c r="U18" i="2"/>
  <c r="K18" i="2"/>
  <c r="J18" i="2"/>
  <c r="I18" i="2"/>
  <c r="R18" i="1" l="1"/>
  <c r="S18" i="1"/>
  <c r="E19" i="5" s="1"/>
  <c r="N18" i="4"/>
  <c r="U18" i="4"/>
  <c r="L18" i="4"/>
  <c r="W10" i="4"/>
  <c r="X10" i="4" s="1"/>
  <c r="K18" i="4"/>
  <c r="W9" i="4"/>
  <c r="X9" i="4" s="1"/>
  <c r="W15" i="4"/>
  <c r="X15" i="4" s="1"/>
  <c r="O18" i="4"/>
  <c r="W11" i="4"/>
  <c r="X11" i="4" s="1"/>
  <c r="W16" i="4"/>
  <c r="X16" i="4" s="1"/>
  <c r="H18" i="4"/>
  <c r="V18" i="4"/>
  <c r="P18" i="4"/>
  <c r="I18" i="4"/>
  <c r="D18" i="4"/>
  <c r="Q18" i="4"/>
  <c r="J18" i="4"/>
  <c r="E18" i="4"/>
  <c r="R18" i="4"/>
  <c r="F18" i="4"/>
  <c r="S18" i="4"/>
  <c r="G18" i="4"/>
  <c r="T18" i="4"/>
  <c r="W14" i="4"/>
  <c r="X14" i="4" s="1"/>
  <c r="W8" i="4"/>
  <c r="X8" i="4" s="1"/>
  <c r="W13" i="4"/>
  <c r="X13" i="4" s="1"/>
  <c r="W17" i="4"/>
  <c r="X17" i="4" s="1"/>
  <c r="W12" i="4"/>
  <c r="X12" i="4" s="1"/>
  <c r="M18" i="4"/>
  <c r="W6" i="4"/>
  <c r="W7" i="4"/>
  <c r="X7" i="4" s="1"/>
  <c r="D18" i="3"/>
  <c r="X6" i="2"/>
  <c r="H18" i="2"/>
  <c r="X10" i="2"/>
  <c r="W18" i="4" l="1"/>
  <c r="X6" i="4"/>
  <c r="X18" i="4" s="1"/>
  <c r="W18" i="3"/>
  <c r="X6" i="3"/>
  <c r="X18" i="2"/>
  <c r="W18" i="2"/>
  <c r="X18" i="3" l="1"/>
</calcChain>
</file>

<file path=xl/sharedStrings.xml><?xml version="1.0" encoding="utf-8"?>
<sst xmlns="http://schemas.openxmlformats.org/spreadsheetml/2006/main" count="326" uniqueCount="109">
  <si>
    <t>บริษัท  ไร่ด่านช้าง  จำกัด</t>
  </si>
  <si>
    <t>รายงานปริมาณน้ำฝนสรุปสะสมประจำปี 2567</t>
  </si>
  <si>
    <t>หน่วย : มม.</t>
  </si>
  <si>
    <t>วัน/เดือน/ปี</t>
  </si>
  <si>
    <t>ไร่</t>
  </si>
  <si>
    <t>รวม</t>
  </si>
  <si>
    <t>เฉลี่ย</t>
  </si>
  <si>
    <t>ทัพหลวง</t>
  </si>
  <si>
    <t>หนองขาม</t>
  </si>
  <si>
    <t>รุ่งนภา</t>
  </si>
  <si>
    <t>หนองแก</t>
  </si>
  <si>
    <t>เขาแหลม</t>
  </si>
  <si>
    <t>เขาประทุน</t>
  </si>
  <si>
    <t>หนองยายเงิน</t>
  </si>
  <si>
    <t>ทัพผึ้ง</t>
  </si>
  <si>
    <t>กระทุ่ม1</t>
  </si>
  <si>
    <t>กระทุ่ม 2</t>
  </si>
  <si>
    <t>หนองขอน</t>
  </si>
  <si>
    <t>สระบัวก่ำ</t>
  </si>
  <si>
    <t>ดงเชือก</t>
  </si>
  <si>
    <t>กิโลแปด</t>
  </si>
  <si>
    <t>หนองปรือ</t>
  </si>
  <si>
    <t>ลำอีซู</t>
  </si>
  <si>
    <t>หนองมะค่า</t>
  </si>
  <si>
    <t>ทุ่งโป่ง</t>
  </si>
  <si>
    <t>หนองกระทิง</t>
  </si>
  <si>
    <t>ทุกเขต</t>
  </si>
  <si>
    <t>ม.ค.67</t>
  </si>
  <si>
    <t>ก.พ.67</t>
  </si>
  <si>
    <t>มี.ค.67</t>
  </si>
  <si>
    <t>เม.ย.67</t>
  </si>
  <si>
    <t>พ.ค.67</t>
  </si>
  <si>
    <t>มิ.ย.67</t>
  </si>
  <si>
    <t>ก.ค.67</t>
  </si>
  <si>
    <t>ส.ค.67</t>
  </si>
  <si>
    <t>ก.ย.67</t>
  </si>
  <si>
    <t>ต.ค.67</t>
  </si>
  <si>
    <t>พ.ย.67</t>
  </si>
  <si>
    <t>ธ.ค.67</t>
  </si>
  <si>
    <t>รายงานปริมาณน้ำฝนสรุปสะสมประจำปี 2566</t>
  </si>
  <si>
    <t>หนองจอก</t>
  </si>
  <si>
    <t>ม.ค.66</t>
  </si>
  <si>
    <t>ก.พ.66</t>
  </si>
  <si>
    <t>มี.ค.66</t>
  </si>
  <si>
    <t>เม.ย.66</t>
  </si>
  <si>
    <t>พ.ค.66</t>
  </si>
  <si>
    <t>มิ.ย.66</t>
  </si>
  <si>
    <t>ก.ค.66</t>
  </si>
  <si>
    <t>ส.ค.66</t>
  </si>
  <si>
    <t>ก.ย.66</t>
  </si>
  <si>
    <t>ต.ค.66</t>
  </si>
  <si>
    <t>พ.ย.66</t>
  </si>
  <si>
    <t>ธ.ค.66</t>
  </si>
  <si>
    <t>รายงานปริมาณน้ำฝนสรุปสะสมประจำปี 2565</t>
  </si>
  <si>
    <t>ม.ค.65</t>
  </si>
  <si>
    <t>ก.พ.65</t>
  </si>
  <si>
    <t>มี.ค.65</t>
  </si>
  <si>
    <t>เม.ย.65</t>
  </si>
  <si>
    <t>พ.ค.65</t>
  </si>
  <si>
    <t>มิ.ย.65</t>
  </si>
  <si>
    <t>ก.ค.65</t>
  </si>
  <si>
    <t>ส.ค.65</t>
  </si>
  <si>
    <t>ก.ย.65</t>
  </si>
  <si>
    <t>ต.ค.65</t>
  </si>
  <si>
    <t>พ.ย.65</t>
  </si>
  <si>
    <t>ธ.ค.65</t>
  </si>
  <si>
    <t>รายงานปริมาณน้ำฝนสรุปสะสมประจำปี 2564</t>
  </si>
  <si>
    <t>ม.ค.64</t>
  </si>
  <si>
    <t>ก.พ.64</t>
  </si>
  <si>
    <t>มี.ค.64</t>
  </si>
  <si>
    <t>เม.ย.64</t>
  </si>
  <si>
    <t>พ.ค.64</t>
  </si>
  <si>
    <t>มิ.ย.64</t>
  </si>
  <si>
    <t>ก.ค.64</t>
  </si>
  <si>
    <t>ส.ค.64</t>
  </si>
  <si>
    <t>ก.ย.64</t>
  </si>
  <si>
    <t>ต.ค.64</t>
  </si>
  <si>
    <t>พ.ย.64</t>
  </si>
  <si>
    <t>ธ.ค.64</t>
  </si>
  <si>
    <t>ปี2567</t>
  </si>
  <si>
    <t>ปี2566</t>
  </si>
  <si>
    <t>ปี2565</t>
  </si>
  <si>
    <t>ปี2564</t>
  </si>
  <si>
    <t>สะสม ต.ค.</t>
  </si>
  <si>
    <t>ปี2568</t>
  </si>
  <si>
    <t>สถานีวัดน้ำฝน</t>
  </si>
  <si>
    <t>ที่ตั้ง</t>
  </si>
  <si>
    <t>ม.ค.68</t>
  </si>
  <si>
    <t>ก.พ.68</t>
  </si>
  <si>
    <t>มี.ค.68</t>
  </si>
  <si>
    <t>เม.ย.68</t>
  </si>
  <si>
    <t>พ.ค.68</t>
  </si>
  <si>
    <t>มิ.ย.68</t>
  </si>
  <si>
    <t>ก.ค.68</t>
  </si>
  <si>
    <t>ส.ค.68</t>
  </si>
  <si>
    <t>ก.ย.68</t>
  </si>
  <si>
    <t>ต.ค.68</t>
  </si>
  <si>
    <t>พ.ย.68</t>
  </si>
  <si>
    <t>ธ.ค.68</t>
  </si>
  <si>
    <t>รายงานปริมาณน้ำฝนสรุปสะสมประจำปี 2568  เกิดจริง ณ 18 ก.ย.68</t>
  </si>
  <si>
    <t>อ.บ้านไร่ จ.อุทัยธานี</t>
  </si>
  <si>
    <t>หนองกระทุ่ม1</t>
  </si>
  <si>
    <t>หนองกระทุ่ม 2</t>
  </si>
  <si>
    <t>อ.ด่านช้าง จ.สุพรรณบุรี</t>
  </si>
  <si>
    <t>อ.หนองหญ้าไซ จ.สุพรรณบุรี</t>
  </si>
  <si>
    <t>อ.หนองปรือ จ.กาญจนบุรี</t>
  </si>
  <si>
    <t>สะสม 18/9/2568</t>
  </si>
  <si>
    <t>ปริมาณน้ำฝน (มม.)</t>
  </si>
  <si>
    <t>เฉลี่ย (มม.)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</si>
</sst>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DilleniaUPC"/>
      <family val="1"/>
    </font>
    <font>
      <b/>
      <u/>
      <sz val="14"/>
      <name val="DilleniaUPC"/>
      <family val="1"/>
    </font>
    <font>
      <sz val="14"/>
      <name val="Cordia New"/>
      <family val="2"/>
    </font>
    <font>
      <b/>
      <sz val="14"/>
      <name val="DilleniaUPC"/>
      <family val="1"/>
    </font>
    <font>
      <sz val="14"/>
      <name val="DilleniaUPC"/>
      <family val="1"/>
    </font>
    <font>
      <sz val="14"/>
      <name val="Arial"/>
      <family val="2"/>
    </font>
    <font>
      <sz val="16"/>
      <color theme="1"/>
      <name val="Calibri"/>
      <family val="2"/>
      <charset val="222"/>
      <scheme val="minor"/>
    </font>
    <font>
      <sz val="10"/>
      <color theme="1"/>
      <name val="Calibri"/>
      <family val="2"/>
      <charset val="222"/>
      <scheme val="minor"/>
    </font>
    <font>
      <sz val="28"/>
      <name val="Cordia New"/>
      <family val="2"/>
    </font>
    <font>
      <b/>
      <u/>
      <sz val="28"/>
      <name val="DilleniaUPC"/>
      <family val="1"/>
    </font>
    <font>
      <b/>
      <sz val="28"/>
      <name val="DilleniaUPC"/>
      <family val="1"/>
    </font>
    <font>
      <b/>
      <u/>
      <sz val="26"/>
      <name val="DilleniaUPC"/>
      <family val="1"/>
    </font>
    <font>
      <b/>
      <sz val="24"/>
      <name val="DilleniaUPC"/>
      <family val="1"/>
    </font>
    <font>
      <sz val="28"/>
      <name val="DilleniaUPC"/>
      <family val="1"/>
    </font>
    <font>
      <sz val="28"/>
      <name val="Arial"/>
      <family val="2"/>
    </font>
    <font>
      <sz val="28"/>
      <color theme="1"/>
      <name val="Calibri"/>
      <family val="2"/>
      <charset val="222"/>
      <scheme val="minor"/>
    </font>
    <font>
      <b/>
      <u/>
      <sz val="28"/>
      <color rgb="FFFF0000"/>
      <name val="DilleniaUP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05">
    <xf numFmtId="0" fontId="0" fillId="0" borderId="0" xfId="0"/>
    <xf numFmtId="0" fontId="4" fillId="0" borderId="0" xfId="0" applyFont="1" applyFill="1" applyAlignment="1">
      <alignment vertical="center"/>
    </xf>
    <xf numFmtId="43" fontId="4" fillId="0" borderId="0" xfId="0" applyNumberFormat="1" applyFont="1" applyFill="1" applyAlignment="1">
      <alignment vertical="center"/>
    </xf>
    <xf numFmtId="43" fontId="4" fillId="0" borderId="0" xfId="1" applyNumberFormat="1" applyFont="1" applyFill="1" applyAlignment="1">
      <alignment vertic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7" fillId="3" borderId="9" xfId="2" applyFont="1" applyFill="1" applyBorder="1" applyAlignment="1" applyProtection="1">
      <alignment horizontal="center" vertical="top" wrapText="1"/>
      <protection hidden="1"/>
    </xf>
    <xf numFmtId="0" fontId="7" fillId="3" borderId="10" xfId="2" applyFont="1" applyFill="1" applyBorder="1" applyAlignment="1" applyProtection="1">
      <alignment horizontal="center" vertical="top" wrapText="1"/>
      <protection hidden="1"/>
    </xf>
    <xf numFmtId="0" fontId="7" fillId="3" borderId="2" xfId="2" applyFont="1" applyFill="1" applyBorder="1" applyAlignment="1" applyProtection="1">
      <alignment horizontal="center" vertical="top" wrapText="1"/>
      <protection hidden="1"/>
    </xf>
    <xf numFmtId="0" fontId="7" fillId="3" borderId="11" xfId="2" applyFont="1" applyFill="1" applyBorder="1" applyAlignment="1" applyProtection="1">
      <alignment horizontal="center" vertical="top" wrapText="1"/>
      <protection hidden="1"/>
    </xf>
    <xf numFmtId="0" fontId="7" fillId="3" borderId="12" xfId="2" applyFont="1" applyFill="1" applyBorder="1" applyAlignment="1" applyProtection="1">
      <alignment horizontal="center" vertical="top" wrapText="1"/>
      <protection hidden="1"/>
    </xf>
    <xf numFmtId="0" fontId="7" fillId="0" borderId="13" xfId="0" applyFont="1" applyFill="1" applyBorder="1" applyAlignment="1" applyProtection="1">
      <alignment horizontal="center" vertical="center" wrapText="1"/>
      <protection hidden="1"/>
    </xf>
    <xf numFmtId="43" fontId="7" fillId="4" borderId="13" xfId="1" applyNumberFormat="1" applyFont="1" applyFill="1" applyBorder="1" applyAlignment="1" applyProtection="1">
      <alignment horizontal="center" vertical="center" wrapText="1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7" fillId="3" borderId="17" xfId="2" applyFont="1" applyFill="1" applyBorder="1" applyAlignment="1" applyProtection="1">
      <alignment horizontal="center" vertical="top" wrapText="1"/>
      <protection hidden="1"/>
    </xf>
    <xf numFmtId="0" fontId="7" fillId="3" borderId="18" xfId="2" applyFont="1" applyFill="1" applyBorder="1" applyAlignment="1" applyProtection="1">
      <alignment horizontal="center" vertical="top" wrapText="1"/>
      <protection hidden="1"/>
    </xf>
    <xf numFmtId="0" fontId="7" fillId="3" borderId="15" xfId="2" applyFont="1" applyFill="1" applyBorder="1" applyAlignment="1" applyProtection="1">
      <alignment horizontal="center" vertical="top" wrapText="1"/>
      <protection hidden="1"/>
    </xf>
    <xf numFmtId="0" fontId="7" fillId="5" borderId="19" xfId="2" applyFont="1" applyFill="1" applyBorder="1" applyAlignment="1" applyProtection="1">
      <alignment horizontal="center" vertical="top" wrapText="1"/>
      <protection hidden="1"/>
    </xf>
    <xf numFmtId="0" fontId="7" fillId="3" borderId="20" xfId="2" applyFont="1" applyFill="1" applyBorder="1" applyAlignment="1" applyProtection="1">
      <alignment horizontal="center" vertical="top" wrapText="1"/>
      <protection hidden="1"/>
    </xf>
    <xf numFmtId="0" fontId="7" fillId="0" borderId="21" xfId="0" applyFont="1" applyFill="1" applyBorder="1" applyAlignment="1" applyProtection="1">
      <alignment horizontal="center" vertical="center" wrapText="1"/>
      <protection hidden="1"/>
    </xf>
    <xf numFmtId="43" fontId="7" fillId="4" borderId="21" xfId="1" applyNumberFormat="1" applyFont="1" applyFill="1" applyBorder="1" applyAlignment="1" applyProtection="1">
      <alignment horizontal="center" vertical="center" wrapText="1"/>
      <protection hidden="1"/>
    </xf>
    <xf numFmtId="43" fontId="7" fillId="2" borderId="25" xfId="1" applyFont="1" applyFill="1" applyBorder="1" applyAlignment="1" applyProtection="1">
      <alignment horizontal="center"/>
      <protection hidden="1"/>
    </xf>
    <xf numFmtId="43" fontId="7" fillId="2" borderId="26" xfId="1" applyFont="1" applyFill="1" applyBorder="1" applyAlignment="1" applyProtection="1">
      <alignment horizontal="center"/>
      <protection hidden="1"/>
    </xf>
    <xf numFmtId="43" fontId="7" fillId="0" borderId="26" xfId="1" applyFont="1" applyFill="1" applyBorder="1" applyAlignment="1" applyProtection="1">
      <alignment horizontal="center"/>
      <protection hidden="1"/>
    </xf>
    <xf numFmtId="43" fontId="7" fillId="0" borderId="27" xfId="1" applyFont="1" applyFill="1" applyBorder="1" applyAlignment="1" applyProtection="1">
      <alignment horizontal="center"/>
      <protection hidden="1"/>
    </xf>
    <xf numFmtId="164" fontId="7" fillId="0" borderId="28" xfId="1" applyNumberFormat="1" applyFont="1" applyFill="1" applyBorder="1" applyAlignment="1" applyProtection="1">
      <alignment horizontal="center" vertical="center"/>
      <protection hidden="1"/>
    </xf>
    <xf numFmtId="43" fontId="7" fillId="4" borderId="29" xfId="1" applyNumberFormat="1" applyFont="1" applyFill="1" applyBorder="1" applyAlignment="1" applyProtection="1">
      <alignment horizontal="center" vertical="center"/>
      <protection hidden="1"/>
    </xf>
    <xf numFmtId="43" fontId="7" fillId="2" borderId="33" xfId="1" applyFont="1" applyFill="1" applyBorder="1" applyAlignment="1" applyProtection="1">
      <alignment horizontal="center"/>
      <protection hidden="1"/>
    </xf>
    <xf numFmtId="43" fontId="7" fillId="2" borderId="34" xfId="1" applyFont="1" applyFill="1" applyBorder="1" applyAlignment="1" applyProtection="1">
      <alignment horizontal="center"/>
      <protection hidden="1"/>
    </xf>
    <xf numFmtId="43" fontId="7" fillId="0" borderId="34" xfId="1" applyFont="1" applyFill="1" applyBorder="1" applyAlignment="1" applyProtection="1">
      <alignment horizontal="center"/>
      <protection hidden="1"/>
    </xf>
    <xf numFmtId="164" fontId="7" fillId="0" borderId="35" xfId="1" applyNumberFormat="1" applyFont="1" applyFill="1" applyBorder="1" applyAlignment="1" applyProtection="1">
      <alignment horizontal="center" vertical="center"/>
      <protection hidden="1"/>
    </xf>
    <xf numFmtId="43" fontId="7" fillId="4" borderId="35" xfId="1" applyNumberFormat="1" applyFont="1" applyFill="1" applyBorder="1" applyAlignment="1" applyProtection="1">
      <alignment horizontal="center" vertical="center"/>
      <protection hidden="1"/>
    </xf>
    <xf numFmtId="43" fontId="7" fillId="0" borderId="36" xfId="1" applyFont="1" applyFill="1" applyBorder="1" applyAlignment="1" applyProtection="1">
      <alignment horizontal="center"/>
      <protection hidden="1"/>
    </xf>
    <xf numFmtId="43" fontId="7" fillId="2" borderId="38" xfId="1" applyFont="1" applyFill="1" applyBorder="1" applyAlignment="1" applyProtection="1">
      <alignment horizontal="center"/>
      <protection hidden="1"/>
    </xf>
    <xf numFmtId="43" fontId="7" fillId="2" borderId="42" xfId="1" applyFont="1" applyFill="1" applyBorder="1" applyAlignment="1" applyProtection="1">
      <alignment horizontal="center"/>
      <protection hidden="1"/>
    </xf>
    <xf numFmtId="43" fontId="7" fillId="2" borderId="43" xfId="1" applyFont="1" applyFill="1" applyBorder="1" applyAlignment="1" applyProtection="1">
      <alignment horizontal="center"/>
      <protection hidden="1"/>
    </xf>
    <xf numFmtId="43" fontId="7" fillId="4" borderId="44" xfId="1" applyNumberFormat="1" applyFont="1" applyFill="1" applyBorder="1" applyAlignment="1" applyProtection="1">
      <alignment horizontal="center" vertical="center"/>
      <protection hidden="1"/>
    </xf>
    <xf numFmtId="0" fontId="8" fillId="0" borderId="0" xfId="0" applyFont="1" applyFill="1" applyAlignment="1">
      <alignment vertical="center"/>
    </xf>
    <xf numFmtId="0" fontId="9" fillId="0" borderId="0" xfId="0" applyFont="1" applyFill="1"/>
    <xf numFmtId="43" fontId="8" fillId="0" borderId="0" xfId="0" applyNumberFormat="1" applyFont="1" applyFill="1" applyAlignment="1">
      <alignment vertical="center"/>
    </xf>
    <xf numFmtId="43" fontId="8" fillId="0" borderId="0" xfId="1" applyNumberFormat="1" applyFont="1" applyFill="1" applyAlignment="1">
      <alignment vertical="center"/>
    </xf>
    <xf numFmtId="0" fontId="7" fillId="6" borderId="9" xfId="2" applyFont="1" applyFill="1" applyBorder="1" applyAlignment="1" applyProtection="1">
      <alignment horizontal="center" vertical="top" wrapText="1"/>
      <protection hidden="1"/>
    </xf>
    <xf numFmtId="0" fontId="7" fillId="6" borderId="10" xfId="2" applyFont="1" applyFill="1" applyBorder="1" applyAlignment="1" applyProtection="1">
      <alignment horizontal="center" vertical="top" wrapText="1"/>
      <protection hidden="1"/>
    </xf>
    <xf numFmtId="0" fontId="7" fillId="6" borderId="2" xfId="2" applyFont="1" applyFill="1" applyBorder="1" applyAlignment="1" applyProtection="1">
      <alignment horizontal="center" vertical="top" wrapText="1"/>
      <protection hidden="1"/>
    </xf>
    <xf numFmtId="0" fontId="7" fillId="7" borderId="9" xfId="2" applyFont="1" applyFill="1" applyBorder="1" applyAlignment="1" applyProtection="1">
      <alignment horizontal="center" vertical="top" wrapText="1"/>
      <protection hidden="1"/>
    </xf>
    <xf numFmtId="0" fontId="7" fillId="7" borderId="10" xfId="2" applyFont="1" applyFill="1" applyBorder="1" applyAlignment="1" applyProtection="1">
      <alignment horizontal="center" vertical="top" wrapText="1"/>
      <protection hidden="1"/>
    </xf>
    <xf numFmtId="0" fontId="7" fillId="7" borderId="2" xfId="2" applyFont="1" applyFill="1" applyBorder="1" applyAlignment="1" applyProtection="1">
      <alignment horizontal="center" vertical="top" wrapText="1"/>
      <protection hidden="1"/>
    </xf>
    <xf numFmtId="0" fontId="7" fillId="8" borderId="11" xfId="2" applyFont="1" applyFill="1" applyBorder="1" applyAlignment="1" applyProtection="1">
      <alignment horizontal="center" vertical="top" wrapText="1"/>
      <protection hidden="1"/>
    </xf>
    <xf numFmtId="0" fontId="7" fillId="8" borderId="10" xfId="2" applyFont="1" applyFill="1" applyBorder="1" applyAlignment="1" applyProtection="1">
      <alignment horizontal="center" vertical="top" wrapText="1"/>
      <protection hidden="1"/>
    </xf>
    <xf numFmtId="0" fontId="7" fillId="9" borderId="10" xfId="2" applyFont="1" applyFill="1" applyBorder="1" applyAlignment="1" applyProtection="1">
      <alignment horizontal="center" vertical="top" wrapText="1"/>
      <protection hidden="1"/>
    </xf>
    <xf numFmtId="0" fontId="7" fillId="9" borderId="12" xfId="2" applyFont="1" applyFill="1" applyBorder="1" applyAlignment="1" applyProtection="1">
      <alignment horizontal="center" vertical="top" wrapText="1"/>
      <protection hidden="1"/>
    </xf>
    <xf numFmtId="0" fontId="7" fillId="5" borderId="17" xfId="2" applyFont="1" applyFill="1" applyBorder="1" applyAlignment="1" applyProtection="1">
      <alignment horizontal="center" vertical="top" wrapText="1"/>
      <protection hidden="1"/>
    </xf>
    <xf numFmtId="0" fontId="7" fillId="5" borderId="18" xfId="2" applyFont="1" applyFill="1" applyBorder="1" applyAlignment="1" applyProtection="1">
      <alignment horizontal="center" vertical="top" wrapText="1"/>
      <protection hidden="1"/>
    </xf>
    <xf numFmtId="0" fontId="7" fillId="5" borderId="15" xfId="2" applyFont="1" applyFill="1" applyBorder="1" applyAlignment="1" applyProtection="1">
      <alignment horizontal="center" vertical="top" wrapText="1"/>
      <protection hidden="1"/>
    </xf>
    <xf numFmtId="0" fontId="7" fillId="10" borderId="17" xfId="2" applyFont="1" applyFill="1" applyBorder="1" applyAlignment="1" applyProtection="1">
      <alignment horizontal="center" vertical="top" wrapText="1"/>
      <protection hidden="1"/>
    </xf>
    <xf numFmtId="0" fontId="7" fillId="10" borderId="18" xfId="2" applyFont="1" applyFill="1" applyBorder="1" applyAlignment="1" applyProtection="1">
      <alignment horizontal="center" vertical="top" wrapText="1"/>
      <protection hidden="1"/>
    </xf>
    <xf numFmtId="0" fontId="7" fillId="10" borderId="15" xfId="2" applyFont="1" applyFill="1" applyBorder="1" applyAlignment="1" applyProtection="1">
      <alignment horizontal="center" vertical="top" wrapText="1"/>
      <protection hidden="1"/>
    </xf>
    <xf numFmtId="0" fontId="7" fillId="11" borderId="19" xfId="2" applyFont="1" applyFill="1" applyBorder="1" applyAlignment="1" applyProtection="1">
      <alignment horizontal="center" vertical="top" wrapText="1"/>
      <protection hidden="1"/>
    </xf>
    <xf numFmtId="0" fontId="7" fillId="11" borderId="18" xfId="2" applyFont="1" applyFill="1" applyBorder="1" applyAlignment="1" applyProtection="1">
      <alignment horizontal="center" vertical="top" wrapText="1"/>
      <protection hidden="1"/>
    </xf>
    <xf numFmtId="0" fontId="7" fillId="12" borderId="18" xfId="2" applyFont="1" applyFill="1" applyBorder="1" applyAlignment="1" applyProtection="1">
      <alignment horizontal="center" vertical="top" wrapText="1"/>
      <protection hidden="1"/>
    </xf>
    <xf numFmtId="0" fontId="7" fillId="12" borderId="20" xfId="2" applyFont="1" applyFill="1" applyBorder="1" applyAlignment="1" applyProtection="1">
      <alignment horizontal="center" vertical="top" wrapText="1"/>
      <protection hidden="1"/>
    </xf>
    <xf numFmtId="43" fontId="7" fillId="2" borderId="40" xfId="1" applyFont="1" applyFill="1" applyBorder="1" applyAlignment="1" applyProtection="1">
      <alignment horizontal="center"/>
      <protection hidden="1"/>
    </xf>
    <xf numFmtId="43" fontId="7" fillId="2" borderId="45" xfId="1" applyFont="1" applyFill="1" applyBorder="1" applyAlignment="1" applyProtection="1">
      <alignment horizontal="center"/>
      <protection hidden="1"/>
    </xf>
    <xf numFmtId="43" fontId="7" fillId="2" borderId="46" xfId="1" applyFont="1" applyFill="1" applyBorder="1" applyAlignment="1" applyProtection="1">
      <alignment horizontal="center"/>
      <protection hidden="1"/>
    </xf>
    <xf numFmtId="43" fontId="7" fillId="0" borderId="46" xfId="1" applyFont="1" applyFill="1" applyBorder="1" applyAlignment="1" applyProtection="1">
      <alignment horizontal="center"/>
      <protection hidden="1"/>
    </xf>
    <xf numFmtId="43" fontId="7" fillId="0" borderId="47" xfId="1" applyFont="1" applyFill="1" applyBorder="1" applyAlignment="1" applyProtection="1">
      <alignment horizontal="center"/>
      <protection hidden="1"/>
    </xf>
    <xf numFmtId="164" fontId="7" fillId="0" borderId="46" xfId="1" applyNumberFormat="1" applyFont="1" applyFill="1" applyBorder="1" applyAlignment="1" applyProtection="1">
      <alignment horizontal="center" vertical="center"/>
      <protection hidden="1"/>
    </xf>
    <xf numFmtId="43" fontId="7" fillId="4" borderId="48" xfId="1" applyNumberFormat="1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164" fontId="3" fillId="0" borderId="0" xfId="1" applyNumberFormat="1" applyFont="1" applyFill="1" applyAlignment="1">
      <alignment vertical="center"/>
    </xf>
    <xf numFmtId="43" fontId="3" fillId="0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165" fontId="0" fillId="0" borderId="0" xfId="1" applyNumberFormat="1" applyFont="1"/>
    <xf numFmtId="49" fontId="7" fillId="2" borderId="30" xfId="0" applyNumberFormat="1" applyFont="1" applyFill="1" applyBorder="1" applyAlignment="1" applyProtection="1">
      <alignment horizontal="center" vertical="center"/>
      <protection hidden="1"/>
    </xf>
    <xf numFmtId="49" fontId="7" fillId="2" borderId="31" xfId="0" applyNumberFormat="1" applyFont="1" applyFill="1" applyBorder="1" applyAlignment="1" applyProtection="1">
      <alignment horizontal="center" vertical="center"/>
      <protection hidden="1"/>
    </xf>
    <xf numFmtId="49" fontId="7" fillId="2" borderId="32" xfId="0" applyNumberFormat="1" applyFont="1" applyFill="1" applyBorder="1" applyAlignment="1" applyProtection="1">
      <alignment horizontal="center" vertical="center"/>
      <protection hidden="1"/>
    </xf>
    <xf numFmtId="49" fontId="5" fillId="2" borderId="39" xfId="0" applyNumberFormat="1" applyFont="1" applyFill="1" applyBorder="1" applyAlignment="1" applyProtection="1">
      <alignment horizontal="center" vertical="center"/>
      <protection hidden="1"/>
    </xf>
    <xf numFmtId="49" fontId="5" fillId="2" borderId="40" xfId="0" applyNumberFormat="1" applyFont="1" applyFill="1" applyBorder="1" applyAlignment="1" applyProtection="1">
      <alignment horizontal="center" vertical="center"/>
      <protection hidden="1"/>
    </xf>
    <xf numFmtId="49" fontId="5" fillId="2" borderId="41" xfId="0" applyNumberFormat="1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 vertical="center"/>
      <protection hidden="1"/>
    </xf>
    <xf numFmtId="0" fontId="5" fillId="0" borderId="2" xfId="0" applyFont="1" applyFill="1" applyBorder="1" applyAlignment="1" applyProtection="1">
      <alignment horizontal="center" vertical="center"/>
      <protection hidden="1"/>
    </xf>
    <xf numFmtId="0" fontId="5" fillId="0" borderId="3" xfId="0" applyFont="1" applyFill="1" applyBorder="1" applyAlignment="1" applyProtection="1">
      <alignment horizontal="center" vertical="center"/>
      <protection hidden="1"/>
    </xf>
    <xf numFmtId="49" fontId="5" fillId="2" borderId="4" xfId="0" applyNumberFormat="1" applyFont="1" applyFill="1" applyBorder="1" applyAlignment="1" applyProtection="1">
      <alignment horizontal="center" vertical="center"/>
      <protection hidden="1"/>
    </xf>
    <xf numFmtId="49" fontId="5" fillId="2" borderId="0" xfId="0" applyNumberFormat="1" applyFont="1" applyFill="1" applyBorder="1" applyAlignment="1" applyProtection="1">
      <alignment horizontal="center" vertical="center"/>
      <protection hidden="1"/>
    </xf>
    <xf numFmtId="49" fontId="5" fillId="2" borderId="5" xfId="0" applyNumberFormat="1" applyFont="1" applyFill="1" applyBorder="1" applyAlignment="1" applyProtection="1">
      <alignment horizontal="center" vertical="center"/>
      <protection hidden="1"/>
    </xf>
    <xf numFmtId="164" fontId="6" fillId="2" borderId="6" xfId="1" applyNumberFormat="1" applyFont="1" applyFill="1" applyBorder="1" applyAlignment="1" applyProtection="1">
      <alignment horizontal="right" vertical="center"/>
      <protection hidden="1"/>
    </xf>
    <xf numFmtId="164" fontId="6" fillId="2" borderId="7" xfId="1" applyNumberFormat="1" applyFont="1" applyFill="1" applyBorder="1" applyAlignment="1" applyProtection="1">
      <alignment horizontal="right" vertical="center"/>
      <protection hidden="1"/>
    </xf>
    <xf numFmtId="164" fontId="6" fillId="2" borderId="8" xfId="1" applyNumberFormat="1" applyFont="1" applyFill="1" applyBorder="1" applyAlignment="1" applyProtection="1">
      <alignment horizontal="righ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15" xfId="0" applyFont="1" applyFill="1" applyBorder="1" applyAlignment="1" applyProtection="1">
      <alignment horizontal="center" vertical="center"/>
      <protection hidden="1"/>
    </xf>
    <xf numFmtId="0" fontId="5" fillId="2" borderId="16" xfId="0" applyFont="1" applyFill="1" applyBorder="1" applyAlignment="1" applyProtection="1">
      <alignment horizontal="center" vertical="center"/>
      <protection hidden="1"/>
    </xf>
    <xf numFmtId="49" fontId="7" fillId="2" borderId="22" xfId="0" applyNumberFormat="1" applyFont="1" applyFill="1" applyBorder="1" applyAlignment="1" applyProtection="1">
      <alignment horizontal="center" vertical="center"/>
      <protection hidden="1"/>
    </xf>
    <xf numFmtId="49" fontId="7" fillId="2" borderId="23" xfId="0" applyNumberFormat="1" applyFont="1" applyFill="1" applyBorder="1" applyAlignment="1" applyProtection="1">
      <alignment horizontal="center" vertical="center"/>
      <protection hidden="1"/>
    </xf>
    <xf numFmtId="49" fontId="7" fillId="2" borderId="24" xfId="0" applyNumberFormat="1" applyFont="1" applyFill="1" applyBorder="1" applyAlignment="1" applyProtection="1">
      <alignment horizontal="center" vertical="center"/>
      <protection hidden="1"/>
    </xf>
    <xf numFmtId="0" fontId="14" fillId="3" borderId="9" xfId="2" applyFont="1" applyFill="1" applyBorder="1" applyAlignment="1" applyProtection="1">
      <alignment horizontal="center" vertical="top" wrapText="1"/>
      <protection hidden="1"/>
    </xf>
    <xf numFmtId="0" fontId="14" fillId="3" borderId="10" xfId="2" applyFont="1" applyFill="1" applyBorder="1" applyAlignment="1" applyProtection="1">
      <alignment horizontal="center" vertical="top" wrapText="1"/>
      <protection hidden="1"/>
    </xf>
    <xf numFmtId="0" fontId="14" fillId="3" borderId="2" xfId="2" applyFont="1" applyFill="1" applyBorder="1" applyAlignment="1" applyProtection="1">
      <alignment horizontal="center" vertical="top" wrapText="1"/>
      <protection hidden="1"/>
    </xf>
    <xf numFmtId="0" fontId="14" fillId="3" borderId="11" xfId="2" applyFont="1" applyFill="1" applyBorder="1" applyAlignment="1" applyProtection="1">
      <alignment horizontal="center" vertical="top" wrapText="1"/>
      <protection hidden="1"/>
    </xf>
    <xf numFmtId="0" fontId="14" fillId="3" borderId="12" xfId="2" applyFont="1" applyFill="1" applyBorder="1" applyAlignment="1" applyProtection="1">
      <alignment horizontal="center" vertical="top" wrapText="1"/>
      <protection hidden="1"/>
    </xf>
    <xf numFmtId="0" fontId="14" fillId="0" borderId="13" xfId="0" applyFont="1" applyFill="1" applyBorder="1" applyAlignment="1" applyProtection="1">
      <alignment horizontal="center" vertical="center" wrapText="1"/>
      <protection hidden="1"/>
    </xf>
    <xf numFmtId="43" fontId="14" fillId="4" borderId="13" xfId="1" applyNumberFormat="1" applyFont="1" applyFill="1" applyBorder="1" applyAlignment="1" applyProtection="1">
      <alignment horizontal="center" vertical="center" wrapText="1"/>
      <protection hidden="1"/>
    </xf>
    <xf numFmtId="43" fontId="14" fillId="4" borderId="21" xfId="1" applyNumberFormat="1" applyFont="1" applyFill="1" applyBorder="1" applyAlignment="1" applyProtection="1">
      <alignment horizontal="center" vertical="center" wrapText="1"/>
      <protection hidden="1"/>
    </xf>
    <xf numFmtId="165" fontId="14" fillId="0" borderId="26" xfId="1" applyNumberFormat="1" applyFont="1" applyFill="1" applyBorder="1" applyAlignment="1" applyProtection="1">
      <alignment horizontal="center"/>
      <protection hidden="1"/>
    </xf>
    <xf numFmtId="165" fontId="14" fillId="0" borderId="27" xfId="1" applyNumberFormat="1" applyFont="1" applyFill="1" applyBorder="1" applyAlignment="1" applyProtection="1">
      <alignment horizontal="center"/>
      <protection hidden="1"/>
    </xf>
    <xf numFmtId="165" fontId="14" fillId="0" borderId="28" xfId="1" applyNumberFormat="1" applyFont="1" applyFill="1" applyBorder="1" applyAlignment="1" applyProtection="1">
      <alignment horizontal="center" vertical="center"/>
      <protection hidden="1"/>
    </xf>
    <xf numFmtId="165" fontId="14" fillId="4" borderId="29" xfId="1" applyNumberFormat="1" applyFont="1" applyFill="1" applyBorder="1" applyAlignment="1" applyProtection="1">
      <alignment horizontal="center" vertical="center"/>
      <protection hidden="1"/>
    </xf>
    <xf numFmtId="165" fontId="14" fillId="2" borderId="33" xfId="1" applyNumberFormat="1" applyFont="1" applyFill="1" applyBorder="1" applyAlignment="1" applyProtection="1">
      <alignment horizontal="center"/>
      <protection hidden="1"/>
    </xf>
    <xf numFmtId="165" fontId="14" fillId="2" borderId="34" xfId="1" applyNumberFormat="1" applyFont="1" applyFill="1" applyBorder="1" applyAlignment="1" applyProtection="1">
      <alignment horizontal="center"/>
      <protection hidden="1"/>
    </xf>
    <xf numFmtId="165" fontId="14" fillId="0" borderId="34" xfId="1" applyNumberFormat="1" applyFont="1" applyFill="1" applyBorder="1" applyAlignment="1" applyProtection="1">
      <alignment horizontal="center"/>
      <protection hidden="1"/>
    </xf>
    <xf numFmtId="165" fontId="14" fillId="0" borderId="35" xfId="1" applyNumberFormat="1" applyFont="1" applyFill="1" applyBorder="1" applyAlignment="1" applyProtection="1">
      <alignment horizontal="center" vertical="center"/>
      <protection hidden="1"/>
    </xf>
    <xf numFmtId="165" fontId="14" fillId="4" borderId="35" xfId="1" applyNumberFormat="1" applyFont="1" applyFill="1" applyBorder="1" applyAlignment="1" applyProtection="1">
      <alignment horizontal="center" vertical="center"/>
      <protection hidden="1"/>
    </xf>
    <xf numFmtId="165" fontId="14" fillId="0" borderId="36" xfId="1" applyNumberFormat="1" applyFont="1" applyFill="1" applyBorder="1" applyAlignment="1" applyProtection="1">
      <alignment horizontal="center"/>
      <protection hidden="1"/>
    </xf>
    <xf numFmtId="0" fontId="13" fillId="0" borderId="1" xfId="0" applyFont="1" applyFill="1" applyBorder="1" applyAlignment="1" applyProtection="1">
      <alignment horizontal="center" vertical="center"/>
      <protection hidden="1"/>
    </xf>
    <xf numFmtId="0" fontId="13" fillId="0" borderId="2" xfId="0" applyFont="1" applyFill="1" applyBorder="1" applyAlignment="1" applyProtection="1">
      <alignment horizontal="center" vertical="center"/>
      <protection hidden="1"/>
    </xf>
    <xf numFmtId="0" fontId="13" fillId="0" borderId="3" xfId="0" applyFont="1" applyFill="1" applyBorder="1" applyAlignment="1" applyProtection="1">
      <alignment horizontal="center" vertical="center"/>
      <protection hidden="1"/>
    </xf>
    <xf numFmtId="0" fontId="16" fillId="3" borderId="17" xfId="2" applyFont="1" applyFill="1" applyBorder="1" applyAlignment="1" applyProtection="1">
      <alignment horizontal="center" vertical="top" wrapText="1"/>
      <protection hidden="1"/>
    </xf>
    <xf numFmtId="0" fontId="16" fillId="3" borderId="18" xfId="2" applyFont="1" applyFill="1" applyBorder="1" applyAlignment="1" applyProtection="1">
      <alignment horizontal="center" vertical="top" wrapText="1"/>
      <protection hidden="1"/>
    </xf>
    <xf numFmtId="0" fontId="16" fillId="3" borderId="15" xfId="2" applyFont="1" applyFill="1" applyBorder="1" applyAlignment="1" applyProtection="1">
      <alignment horizontal="center" vertical="top" wrapText="1"/>
      <protection hidden="1"/>
    </xf>
    <xf numFmtId="0" fontId="16" fillId="3" borderId="19" xfId="2" applyFont="1" applyFill="1" applyBorder="1" applyAlignment="1" applyProtection="1">
      <alignment horizontal="center" vertical="top" wrapText="1"/>
      <protection hidden="1"/>
    </xf>
    <xf numFmtId="0" fontId="16" fillId="3" borderId="20" xfId="2" applyFont="1" applyFill="1" applyBorder="1" applyAlignment="1" applyProtection="1">
      <alignment horizontal="center" vertical="top" wrapText="1"/>
      <protection hidden="1"/>
    </xf>
    <xf numFmtId="0" fontId="16" fillId="0" borderId="21" xfId="0" applyFont="1" applyFill="1" applyBorder="1" applyAlignment="1" applyProtection="1">
      <alignment horizontal="center" vertical="center" wrapText="1"/>
      <protection hidden="1"/>
    </xf>
    <xf numFmtId="165" fontId="7" fillId="0" borderId="26" xfId="1" applyNumberFormat="1" applyFont="1" applyFill="1" applyBorder="1" applyAlignment="1" applyProtection="1">
      <alignment horizontal="center"/>
      <protection hidden="1"/>
    </xf>
    <xf numFmtId="165" fontId="7" fillId="0" borderId="27" xfId="1" applyNumberFormat="1" applyFont="1" applyFill="1" applyBorder="1" applyAlignment="1" applyProtection="1">
      <alignment horizontal="center"/>
      <protection hidden="1"/>
    </xf>
    <xf numFmtId="165" fontId="7" fillId="2" borderId="33" xfId="1" applyNumberFormat="1" applyFont="1" applyFill="1" applyBorder="1" applyAlignment="1" applyProtection="1">
      <alignment horizontal="center"/>
      <protection hidden="1"/>
    </xf>
    <xf numFmtId="165" fontId="7" fillId="2" borderId="34" xfId="1" applyNumberFormat="1" applyFont="1" applyFill="1" applyBorder="1" applyAlignment="1" applyProtection="1">
      <alignment horizontal="center"/>
      <protection hidden="1"/>
    </xf>
    <xf numFmtId="165" fontId="7" fillId="0" borderId="34" xfId="1" applyNumberFormat="1" applyFont="1" applyFill="1" applyBorder="1" applyAlignment="1" applyProtection="1">
      <alignment horizontal="center"/>
      <protection hidden="1"/>
    </xf>
    <xf numFmtId="165" fontId="7" fillId="0" borderId="36" xfId="1" applyNumberFormat="1" applyFont="1" applyFill="1" applyBorder="1" applyAlignment="1" applyProtection="1">
      <alignment horizontal="center"/>
      <protection hidden="1"/>
    </xf>
    <xf numFmtId="165" fontId="7" fillId="2" borderId="43" xfId="1" applyNumberFormat="1" applyFont="1" applyFill="1" applyBorder="1" applyAlignment="1" applyProtection="1">
      <alignment horizontal="center"/>
      <protection hidden="1"/>
    </xf>
    <xf numFmtId="0" fontId="5" fillId="0" borderId="1" xfId="0" applyFont="1" applyFill="1" applyBorder="1" applyAlignment="1" applyProtection="1">
      <alignment horizontal="center"/>
      <protection hidden="1"/>
    </xf>
    <xf numFmtId="0" fontId="5" fillId="0" borderId="2" xfId="0" applyFont="1" applyFill="1" applyBorder="1" applyAlignment="1" applyProtection="1">
      <alignment horizontal="center"/>
      <protection hidden="1"/>
    </xf>
    <xf numFmtId="0" fontId="5" fillId="0" borderId="3" xfId="0" applyFont="1" applyFill="1" applyBorder="1" applyAlignment="1" applyProtection="1">
      <alignment horizontal="center"/>
      <protection hidden="1"/>
    </xf>
    <xf numFmtId="49" fontId="5" fillId="2" borderId="4" xfId="0" applyNumberFormat="1" applyFont="1" applyFill="1" applyBorder="1" applyAlignment="1" applyProtection="1">
      <alignment horizontal="center"/>
      <protection hidden="1"/>
    </xf>
    <xf numFmtId="49" fontId="5" fillId="2" borderId="0" xfId="0" applyNumberFormat="1" applyFont="1" applyFill="1" applyBorder="1" applyAlignment="1" applyProtection="1">
      <alignment horizontal="center"/>
      <protection hidden="1"/>
    </xf>
    <xf numFmtId="49" fontId="5" fillId="2" borderId="5" xfId="0" applyNumberFormat="1" applyFont="1" applyFill="1" applyBorder="1" applyAlignment="1" applyProtection="1">
      <alignment horizontal="center"/>
      <protection hidden="1"/>
    </xf>
    <xf numFmtId="164" fontId="6" fillId="2" borderId="6" xfId="1" applyNumberFormat="1" applyFont="1" applyFill="1" applyBorder="1" applyAlignment="1" applyProtection="1">
      <alignment horizontal="right"/>
      <protection hidden="1"/>
    </xf>
    <xf numFmtId="164" fontId="6" fillId="2" borderId="7" xfId="1" applyNumberFormat="1" applyFont="1" applyFill="1" applyBorder="1" applyAlignment="1" applyProtection="1">
      <alignment horizontal="right"/>
      <protection hidden="1"/>
    </xf>
    <xf numFmtId="164" fontId="6" fillId="2" borderId="8" xfId="1" applyNumberFormat="1" applyFont="1" applyFill="1" applyBorder="1" applyAlignment="1" applyProtection="1">
      <alignment horizontal="right"/>
      <protection hidden="1"/>
    </xf>
    <xf numFmtId="0" fontId="7" fillId="3" borderId="9" xfId="2" applyFont="1" applyFill="1" applyBorder="1" applyAlignment="1" applyProtection="1">
      <alignment horizontal="center" wrapText="1"/>
      <protection hidden="1"/>
    </xf>
    <xf numFmtId="0" fontId="7" fillId="3" borderId="10" xfId="2" applyFont="1" applyFill="1" applyBorder="1" applyAlignment="1" applyProtection="1">
      <alignment horizontal="center" wrapText="1"/>
      <protection hidden="1"/>
    </xf>
    <xf numFmtId="0" fontId="7" fillId="3" borderId="2" xfId="2" applyFont="1" applyFill="1" applyBorder="1" applyAlignment="1" applyProtection="1">
      <alignment horizontal="center" wrapText="1"/>
      <protection hidden="1"/>
    </xf>
    <xf numFmtId="0" fontId="7" fillId="3" borderId="11" xfId="2" applyFont="1" applyFill="1" applyBorder="1" applyAlignment="1" applyProtection="1">
      <alignment horizontal="center" wrapText="1"/>
      <protection hidden="1"/>
    </xf>
    <xf numFmtId="0" fontId="7" fillId="3" borderId="12" xfId="2" applyFont="1" applyFill="1" applyBorder="1" applyAlignment="1" applyProtection="1">
      <alignment horizontal="center" wrapText="1"/>
      <protection hidden="1"/>
    </xf>
    <xf numFmtId="0" fontId="7" fillId="0" borderId="13" xfId="0" applyFont="1" applyFill="1" applyBorder="1" applyAlignment="1" applyProtection="1">
      <alignment horizontal="center" wrapText="1"/>
      <protection hidden="1"/>
    </xf>
    <xf numFmtId="43" fontId="7" fillId="4" borderId="13" xfId="1" applyNumberFormat="1" applyFont="1" applyFill="1" applyBorder="1" applyAlignment="1" applyProtection="1">
      <alignment horizontal="center" wrapText="1"/>
      <protection hidden="1"/>
    </xf>
    <xf numFmtId="0" fontId="7" fillId="3" borderId="17" xfId="2" applyFont="1" applyFill="1" applyBorder="1" applyAlignment="1" applyProtection="1">
      <alignment horizontal="center" wrapText="1"/>
      <protection hidden="1"/>
    </xf>
    <xf numFmtId="0" fontId="7" fillId="3" borderId="18" xfId="2" applyFont="1" applyFill="1" applyBorder="1" applyAlignment="1" applyProtection="1">
      <alignment horizontal="center" wrapText="1"/>
      <protection hidden="1"/>
    </xf>
    <xf numFmtId="0" fontId="7" fillId="3" borderId="15" xfId="2" applyFont="1" applyFill="1" applyBorder="1" applyAlignment="1" applyProtection="1">
      <alignment horizontal="center" wrapText="1"/>
      <protection hidden="1"/>
    </xf>
    <xf numFmtId="0" fontId="7" fillId="3" borderId="19" xfId="2" applyFont="1" applyFill="1" applyBorder="1" applyAlignment="1" applyProtection="1">
      <alignment horizontal="center" wrapText="1"/>
      <protection hidden="1"/>
    </xf>
    <xf numFmtId="0" fontId="7" fillId="0" borderId="21" xfId="0" applyFont="1" applyFill="1" applyBorder="1" applyAlignment="1" applyProtection="1">
      <alignment horizontal="center" wrapText="1"/>
      <protection hidden="1"/>
    </xf>
    <xf numFmtId="43" fontId="7" fillId="4" borderId="21" xfId="1" applyNumberFormat="1" applyFont="1" applyFill="1" applyBorder="1" applyAlignment="1" applyProtection="1">
      <alignment horizontal="center" wrapText="1"/>
      <protection hidden="1"/>
    </xf>
    <xf numFmtId="165" fontId="7" fillId="0" borderId="28" xfId="1" applyNumberFormat="1" applyFont="1" applyFill="1" applyBorder="1" applyAlignment="1" applyProtection="1">
      <alignment horizontal="center"/>
      <protection hidden="1"/>
    </xf>
    <xf numFmtId="165" fontId="7" fillId="4" borderId="29" xfId="1" applyNumberFormat="1" applyFont="1" applyFill="1" applyBorder="1" applyAlignment="1" applyProtection="1">
      <alignment horizontal="center"/>
      <protection hidden="1"/>
    </xf>
    <xf numFmtId="165" fontId="7" fillId="0" borderId="35" xfId="1" applyNumberFormat="1" applyFont="1" applyFill="1" applyBorder="1" applyAlignment="1" applyProtection="1">
      <alignment horizontal="center"/>
      <protection hidden="1"/>
    </xf>
    <xf numFmtId="165" fontId="7" fillId="4" borderId="35" xfId="1" applyNumberFormat="1" applyFont="1" applyFill="1" applyBorder="1" applyAlignment="1" applyProtection="1">
      <alignment horizontal="center"/>
      <protection hidden="1"/>
    </xf>
    <xf numFmtId="165" fontId="7" fillId="4" borderId="44" xfId="1" applyNumberFormat="1" applyFont="1" applyFill="1" applyBorder="1" applyAlignment="1" applyProtection="1">
      <alignment horizontal="center"/>
      <protection hidden="1"/>
    </xf>
    <xf numFmtId="0" fontId="7" fillId="3" borderId="13" xfId="2" applyFont="1" applyFill="1" applyBorder="1" applyAlignment="1" applyProtection="1">
      <alignment horizontal="center" wrapText="1"/>
      <protection hidden="1"/>
    </xf>
    <xf numFmtId="0" fontId="7" fillId="3" borderId="21" xfId="2" applyFont="1" applyFill="1" applyBorder="1" applyAlignment="1" applyProtection="1">
      <alignment horizontal="center" wrapText="1"/>
      <protection hidden="1"/>
    </xf>
    <xf numFmtId="165" fontId="7" fillId="2" borderId="50" xfId="1" applyNumberFormat="1" applyFont="1" applyFill="1" applyBorder="1" applyAlignment="1" applyProtection="1">
      <alignment horizontal="center"/>
      <protection hidden="1"/>
    </xf>
    <xf numFmtId="165" fontId="7" fillId="2" borderId="51" xfId="1" applyNumberFormat="1" applyFont="1" applyFill="1" applyBorder="1" applyAlignment="1" applyProtection="1">
      <alignment horizontal="center"/>
      <protection hidden="1"/>
    </xf>
    <xf numFmtId="165" fontId="7" fillId="2" borderId="49" xfId="1" applyNumberFormat="1" applyFont="1" applyFill="1" applyBorder="1" applyAlignment="1" applyProtection="1">
      <alignment horizontal="center"/>
      <protection hidden="1"/>
    </xf>
    <xf numFmtId="49" fontId="7" fillId="2" borderId="22" xfId="0" applyNumberFormat="1" applyFont="1" applyFill="1" applyBorder="1" applyAlignment="1" applyProtection="1">
      <alignment horizontal="center"/>
      <protection hidden="1"/>
    </xf>
    <xf numFmtId="49" fontId="7" fillId="2" borderId="30" xfId="0" applyNumberFormat="1" applyFont="1" applyFill="1" applyBorder="1" applyAlignment="1" applyProtection="1">
      <alignment horizontal="center"/>
      <protection hidden="1"/>
    </xf>
    <xf numFmtId="49" fontId="7" fillId="2" borderId="37" xfId="0" applyNumberFormat="1" applyFont="1" applyFill="1" applyBorder="1" applyAlignment="1" applyProtection="1">
      <alignment horizontal="center"/>
      <protection hidden="1"/>
    </xf>
    <xf numFmtId="49" fontId="5" fillId="2" borderId="39" xfId="0" applyNumberFormat="1" applyFont="1" applyFill="1" applyBorder="1" applyAlignment="1" applyProtection="1">
      <alignment horizontal="center"/>
      <protection hidden="1"/>
    </xf>
    <xf numFmtId="0" fontId="4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3" fontId="14" fillId="4" borderId="35" xfId="1" applyFont="1" applyFill="1" applyBorder="1" applyAlignment="1" applyProtection="1">
      <alignment horizontal="center" vertical="center"/>
      <protection hidden="1"/>
    </xf>
    <xf numFmtId="43" fontId="14" fillId="4" borderId="44" xfId="1" applyFont="1" applyFill="1" applyBorder="1" applyAlignment="1" applyProtection="1">
      <alignment horizontal="center" vertical="center"/>
      <protection hidden="1"/>
    </xf>
    <xf numFmtId="0" fontId="18" fillId="0" borderId="0" xfId="0" applyFont="1" applyFill="1"/>
    <xf numFmtId="43" fontId="17" fillId="0" borderId="0" xfId="0" applyNumberFormat="1" applyFont="1" applyFill="1" applyAlignment="1">
      <alignment vertical="center"/>
    </xf>
    <xf numFmtId="43" fontId="17" fillId="0" borderId="0" xfId="1" applyNumberFormat="1" applyFont="1" applyFill="1" applyAlignment="1">
      <alignment vertical="center"/>
    </xf>
    <xf numFmtId="0" fontId="19" fillId="0" borderId="0" xfId="0" applyFont="1"/>
    <xf numFmtId="164" fontId="12" fillId="2" borderId="7" xfId="1" applyNumberFormat="1" applyFont="1" applyFill="1" applyBorder="1" applyAlignment="1" applyProtection="1">
      <alignment vertical="center"/>
      <protection hidden="1"/>
    </xf>
    <xf numFmtId="164" fontId="12" fillId="2" borderId="8" xfId="1" applyNumberFormat="1" applyFont="1" applyFill="1" applyBorder="1" applyAlignment="1" applyProtection="1">
      <alignment vertical="center"/>
      <protection hidden="1"/>
    </xf>
    <xf numFmtId="49" fontId="20" fillId="2" borderId="4" xfId="0" applyNumberFormat="1" applyFont="1" applyFill="1" applyBorder="1" applyAlignment="1" applyProtection="1">
      <alignment horizontal="center" vertical="center"/>
      <protection hidden="1"/>
    </xf>
    <xf numFmtId="49" fontId="20" fillId="2" borderId="0" xfId="0" applyNumberFormat="1" applyFont="1" applyFill="1" applyBorder="1" applyAlignment="1" applyProtection="1">
      <alignment horizontal="center" vertical="center"/>
      <protection hidden="1"/>
    </xf>
    <xf numFmtId="49" fontId="20" fillId="2" borderId="5" xfId="0" applyNumberFormat="1" applyFont="1" applyFill="1" applyBorder="1" applyAlignment="1" applyProtection="1">
      <alignment horizontal="center" vertical="center"/>
      <protection hidden="1"/>
    </xf>
    <xf numFmtId="0" fontId="14" fillId="3" borderId="52" xfId="2" applyFont="1" applyFill="1" applyBorder="1" applyAlignment="1" applyProtection="1">
      <alignment horizontal="center" vertical="top" wrapText="1"/>
      <protection hidden="1"/>
    </xf>
    <xf numFmtId="165" fontId="14" fillId="2" borderId="54" xfId="1" applyNumberFormat="1" applyFont="1" applyFill="1" applyBorder="1" applyAlignment="1" applyProtection="1">
      <alignment horizontal="center"/>
      <protection hidden="1"/>
    </xf>
    <xf numFmtId="165" fontId="14" fillId="2" borderId="55" xfId="1" applyNumberFormat="1" applyFont="1" applyFill="1" applyBorder="1" applyAlignment="1" applyProtection="1">
      <alignment horizontal="center"/>
      <protection hidden="1"/>
    </xf>
    <xf numFmtId="165" fontId="14" fillId="2" borderId="56" xfId="1" applyNumberFormat="1" applyFont="1" applyFill="1" applyBorder="1" applyAlignment="1" applyProtection="1">
      <alignment horizontal="center"/>
      <protection hidden="1"/>
    </xf>
    <xf numFmtId="0" fontId="16" fillId="3" borderId="53" xfId="2" applyFont="1" applyFill="1" applyBorder="1" applyAlignment="1" applyProtection="1">
      <alignment horizontal="center" vertical="top" wrapText="1"/>
      <protection hidden="1"/>
    </xf>
    <xf numFmtId="164" fontId="12" fillId="2" borderId="6" xfId="1" applyNumberFormat="1" applyFont="1" applyFill="1" applyBorder="1" applyAlignment="1" applyProtection="1">
      <alignment horizontal="center" vertical="center"/>
      <protection hidden="1"/>
    </xf>
    <xf numFmtId="0" fontId="15" fillId="2" borderId="1" xfId="0" applyFont="1" applyFill="1" applyBorder="1" applyAlignment="1" applyProtection="1">
      <alignment horizontal="center" vertical="center"/>
      <protection hidden="1"/>
    </xf>
    <xf numFmtId="0" fontId="13" fillId="2" borderId="14" xfId="0" applyFont="1" applyFill="1" applyBorder="1" applyAlignment="1" applyProtection="1">
      <alignment horizontal="center" vertical="center"/>
      <protection hidden="1"/>
    </xf>
    <xf numFmtId="49" fontId="14" fillId="2" borderId="22" xfId="0" applyNumberFormat="1" applyFont="1" applyFill="1" applyBorder="1" applyAlignment="1" applyProtection="1">
      <alignment horizontal="center" vertical="center"/>
      <protection hidden="1"/>
    </xf>
    <xf numFmtId="49" fontId="14" fillId="2" borderId="30" xfId="0" applyNumberFormat="1" applyFont="1" applyFill="1" applyBorder="1" applyAlignment="1" applyProtection="1">
      <alignment horizontal="center" vertical="center"/>
      <protection hidden="1"/>
    </xf>
    <xf numFmtId="49" fontId="14" fillId="2" borderId="37" xfId="0" applyNumberFormat="1" applyFont="1" applyFill="1" applyBorder="1" applyAlignment="1" applyProtection="1">
      <alignment horizontal="center" vertical="center"/>
      <protection hidden="1"/>
    </xf>
    <xf numFmtId="49" fontId="13" fillId="2" borderId="39" xfId="0" applyNumberFormat="1" applyFont="1" applyFill="1" applyBorder="1" applyAlignment="1" applyProtection="1">
      <alignment horizontal="center" vertical="center"/>
      <protection hidden="1"/>
    </xf>
    <xf numFmtId="0" fontId="17" fillId="0" borderId="0" xfId="0" applyFont="1" applyFill="1" applyAlignment="1">
      <alignment horizontal="center" vertical="center"/>
    </xf>
    <xf numFmtId="0" fontId="19" fillId="0" borderId="0" xfId="0" applyFont="1" applyAlignment="1">
      <alignment horizontal="center"/>
    </xf>
    <xf numFmtId="165" fontId="14" fillId="2" borderId="42" xfId="1" applyNumberFormat="1" applyFont="1" applyFill="1" applyBorder="1" applyAlignment="1" applyProtection="1">
      <alignment horizontal="center" vertical="center"/>
      <protection hidden="1"/>
    </xf>
    <xf numFmtId="165" fontId="14" fillId="2" borderId="43" xfId="1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Alignment="1">
      <alignment vertical="center"/>
    </xf>
    <xf numFmtId="0" fontId="0" fillId="0" borderId="57" xfId="0" applyBorder="1"/>
    <xf numFmtId="0" fontId="0" fillId="0" borderId="57" xfId="0" applyBorder="1" applyAlignment="1">
      <alignment horizontal="center"/>
    </xf>
    <xf numFmtId="165" fontId="0" fillId="0" borderId="57" xfId="1" applyNumberFormat="1" applyFont="1" applyBorder="1"/>
    <xf numFmtId="43" fontId="0" fillId="0" borderId="57" xfId="1" applyFont="1" applyBorder="1"/>
    <xf numFmtId="0" fontId="11" fillId="0" borderId="0" xfId="0" applyFont="1" applyAlignment="1">
      <alignment horizontal="center"/>
    </xf>
    <xf numFmtId="0" fontId="7" fillId="3" borderId="18" xfId="2" applyFont="1" applyFill="1" applyBorder="1" applyAlignment="1" applyProtection="1">
      <alignment horizontal="center" vertical="center" wrapText="1"/>
      <protection hidden="1"/>
    </xf>
    <xf numFmtId="0" fontId="7" fillId="3" borderId="20" xfId="2" applyFont="1" applyFill="1" applyBorder="1" applyAlignment="1" applyProtection="1">
      <alignment horizontal="center" vertical="center" wrapText="1"/>
      <protection hidden="1"/>
    </xf>
    <xf numFmtId="0" fontId="0" fillId="0" borderId="57" xfId="0" applyBorder="1" applyAlignment="1">
      <alignment horizontal="left" vertical="center"/>
    </xf>
  </cellXfs>
  <cellStyles count="3">
    <cellStyle name="Comma" xfId="1" builtinId="3"/>
    <cellStyle name="Normal" xfId="0" builtinId="0"/>
    <cellStyle name="ปกติ_Rain_2_Sep_2009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09;&#3657;&#3635;&#3613;&#3609;/&#3619;&#3634;&#3618;&#3591;&#3634;&#3609;&#3611;&#3619;&#3636;&#3617;&#3634;&#3603;&#3609;&#3657;&#3635;&#3613;&#3609;%20(2564)-Rai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GRAPH"/>
      <sheetName val="รายงานสรุปน้ำฝน"/>
      <sheetName val="สรุปสะสมปี "/>
      <sheetName val="Sheet5"/>
      <sheetName val="Sheet6"/>
      <sheetName val="รวมรายไร่"/>
      <sheetName val="น้ำฝนรายไร่"/>
      <sheetName val="Sheet3"/>
      <sheetName val="ธ.ค.64"/>
      <sheetName val="พ.ย.64"/>
      <sheetName val="ต.ค.64"/>
      <sheetName val="ก.ย.64"/>
      <sheetName val="ส.ค.64"/>
      <sheetName val="ก.ค.64"/>
      <sheetName val="มิ.ย.64"/>
      <sheetName val="พ.ค.64"/>
      <sheetName val="เม.ย.64"/>
      <sheetName val="มี.ค.64"/>
      <sheetName val="ก.พ.64"/>
      <sheetName val="ม.ค.64"/>
      <sheetName val="Sheet4"/>
      <sheetName val="Sheet1"/>
      <sheetName val="Sheet2"/>
      <sheetName val="Sheet4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7">
          <cell r="D37">
            <v>0</v>
          </cell>
          <cell r="E37">
            <v>0</v>
          </cell>
          <cell r="G37">
            <v>0</v>
          </cell>
          <cell r="H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</row>
      </sheetData>
      <sheetData sheetId="9">
        <row r="37">
          <cell r="D37">
            <v>39</v>
          </cell>
          <cell r="E37">
            <v>35</v>
          </cell>
          <cell r="F37">
            <v>12</v>
          </cell>
          <cell r="G37">
            <v>26</v>
          </cell>
          <cell r="I37">
            <v>7</v>
          </cell>
          <cell r="J37">
            <v>7</v>
          </cell>
          <cell r="K37">
            <v>10</v>
          </cell>
          <cell r="L37">
            <v>10</v>
          </cell>
          <cell r="M37">
            <v>10</v>
          </cell>
          <cell r="N37">
            <v>60</v>
          </cell>
          <cell r="O37">
            <v>25</v>
          </cell>
          <cell r="P37">
            <v>30</v>
          </cell>
          <cell r="Q37">
            <v>15</v>
          </cell>
          <cell r="R37">
            <v>22</v>
          </cell>
          <cell r="T37">
            <v>18</v>
          </cell>
          <cell r="U37">
            <v>17</v>
          </cell>
          <cell r="V37">
            <v>24</v>
          </cell>
          <cell r="W37">
            <v>0</v>
          </cell>
          <cell r="X37">
            <v>8</v>
          </cell>
        </row>
      </sheetData>
      <sheetData sheetId="10">
        <row r="37">
          <cell r="D37">
            <v>341</v>
          </cell>
          <cell r="E37">
            <v>321</v>
          </cell>
          <cell r="F37">
            <v>289</v>
          </cell>
          <cell r="G37">
            <v>256</v>
          </cell>
          <cell r="I37">
            <v>187</v>
          </cell>
          <cell r="J37">
            <v>187</v>
          </cell>
          <cell r="K37">
            <v>303</v>
          </cell>
          <cell r="L37">
            <v>254</v>
          </cell>
          <cell r="M37">
            <v>227</v>
          </cell>
          <cell r="N37">
            <v>137</v>
          </cell>
          <cell r="O37">
            <v>144</v>
          </cell>
          <cell r="P37">
            <v>170</v>
          </cell>
          <cell r="Q37">
            <v>110</v>
          </cell>
          <cell r="R37">
            <v>162</v>
          </cell>
          <cell r="T37">
            <v>347</v>
          </cell>
          <cell r="U37">
            <v>377</v>
          </cell>
          <cell r="V37">
            <v>319</v>
          </cell>
          <cell r="W37">
            <v>324</v>
          </cell>
          <cell r="X37">
            <v>167</v>
          </cell>
        </row>
      </sheetData>
      <sheetData sheetId="11">
        <row r="37">
          <cell r="D37">
            <v>347</v>
          </cell>
          <cell r="E37">
            <v>332</v>
          </cell>
          <cell r="F37">
            <v>340</v>
          </cell>
          <cell r="G37">
            <v>320</v>
          </cell>
          <cell r="I37">
            <v>392</v>
          </cell>
          <cell r="J37">
            <v>392</v>
          </cell>
          <cell r="K37">
            <v>398</v>
          </cell>
          <cell r="L37">
            <v>360</v>
          </cell>
          <cell r="M37">
            <v>308</v>
          </cell>
          <cell r="N37">
            <v>458</v>
          </cell>
          <cell r="O37">
            <v>336</v>
          </cell>
          <cell r="P37">
            <v>365</v>
          </cell>
          <cell r="Q37">
            <v>215</v>
          </cell>
          <cell r="R37">
            <v>320</v>
          </cell>
          <cell r="T37">
            <v>338</v>
          </cell>
          <cell r="U37">
            <v>374</v>
          </cell>
          <cell r="V37">
            <v>296</v>
          </cell>
          <cell r="W37">
            <v>306</v>
          </cell>
          <cell r="X37">
            <v>211</v>
          </cell>
        </row>
      </sheetData>
      <sheetData sheetId="12">
        <row r="37">
          <cell r="D37">
            <v>241</v>
          </cell>
          <cell r="E37">
            <v>241</v>
          </cell>
          <cell r="F37">
            <v>244</v>
          </cell>
          <cell r="G37">
            <v>200</v>
          </cell>
          <cell r="I37">
            <v>274</v>
          </cell>
          <cell r="J37">
            <v>274</v>
          </cell>
          <cell r="K37">
            <v>281</v>
          </cell>
          <cell r="L37">
            <v>253</v>
          </cell>
          <cell r="M37">
            <v>230</v>
          </cell>
          <cell r="N37">
            <v>94</v>
          </cell>
          <cell r="O37">
            <v>101</v>
          </cell>
          <cell r="P37">
            <v>162</v>
          </cell>
          <cell r="Q37">
            <v>120</v>
          </cell>
          <cell r="R37">
            <v>80</v>
          </cell>
          <cell r="T37">
            <v>107</v>
          </cell>
          <cell r="U37">
            <v>137</v>
          </cell>
          <cell r="V37">
            <v>110</v>
          </cell>
          <cell r="W37">
            <v>155</v>
          </cell>
          <cell r="X37">
            <v>50</v>
          </cell>
        </row>
      </sheetData>
      <sheetData sheetId="13">
        <row r="37">
          <cell r="D37">
            <v>233</v>
          </cell>
          <cell r="E37">
            <v>223</v>
          </cell>
          <cell r="F37">
            <v>240</v>
          </cell>
          <cell r="G37">
            <v>150</v>
          </cell>
          <cell r="I37">
            <v>209</v>
          </cell>
          <cell r="J37">
            <v>209</v>
          </cell>
          <cell r="K37">
            <v>213</v>
          </cell>
          <cell r="L37">
            <v>210</v>
          </cell>
          <cell r="M37">
            <v>215</v>
          </cell>
          <cell r="N37">
            <v>155</v>
          </cell>
          <cell r="O37">
            <v>132</v>
          </cell>
          <cell r="P37">
            <v>151</v>
          </cell>
          <cell r="Q37">
            <v>105</v>
          </cell>
          <cell r="R37">
            <v>145</v>
          </cell>
          <cell r="T37">
            <v>140</v>
          </cell>
          <cell r="U37">
            <v>190</v>
          </cell>
          <cell r="V37">
            <v>129</v>
          </cell>
          <cell r="W37">
            <v>174</v>
          </cell>
          <cell r="Y37">
            <v>165</v>
          </cell>
        </row>
      </sheetData>
      <sheetData sheetId="14">
        <row r="37">
          <cell r="D37">
            <v>32</v>
          </cell>
          <cell r="E37">
            <v>25</v>
          </cell>
          <cell r="F37">
            <v>23</v>
          </cell>
          <cell r="G37">
            <v>26</v>
          </cell>
          <cell r="I37">
            <v>32</v>
          </cell>
          <cell r="J37">
            <v>32</v>
          </cell>
          <cell r="K37">
            <v>48</v>
          </cell>
          <cell r="L37">
            <v>20</v>
          </cell>
          <cell r="M37">
            <v>36</v>
          </cell>
          <cell r="N37">
            <v>69</v>
          </cell>
          <cell r="O37">
            <v>10</v>
          </cell>
          <cell r="P37">
            <v>22</v>
          </cell>
          <cell r="Q37">
            <v>24</v>
          </cell>
          <cell r="R37">
            <v>39</v>
          </cell>
          <cell r="T37">
            <v>10</v>
          </cell>
          <cell r="U37">
            <v>10</v>
          </cell>
          <cell r="V37">
            <v>9</v>
          </cell>
          <cell r="W37">
            <v>40</v>
          </cell>
          <cell r="X37">
            <v>0</v>
          </cell>
        </row>
      </sheetData>
      <sheetData sheetId="15">
        <row r="37">
          <cell r="D37">
            <v>83</v>
          </cell>
          <cell r="E37">
            <v>81</v>
          </cell>
          <cell r="F37">
            <v>63</v>
          </cell>
          <cell r="G37">
            <v>54</v>
          </cell>
          <cell r="I37">
            <v>112</v>
          </cell>
          <cell r="J37">
            <v>112</v>
          </cell>
          <cell r="K37">
            <v>138</v>
          </cell>
          <cell r="L37">
            <v>120</v>
          </cell>
          <cell r="M37">
            <v>132</v>
          </cell>
          <cell r="N37">
            <v>69</v>
          </cell>
          <cell r="O37">
            <v>73</v>
          </cell>
          <cell r="P37">
            <v>80</v>
          </cell>
          <cell r="Q37">
            <v>75</v>
          </cell>
          <cell r="R37">
            <v>85</v>
          </cell>
          <cell r="T37">
            <v>168</v>
          </cell>
          <cell r="U37">
            <v>178</v>
          </cell>
          <cell r="V37">
            <v>181</v>
          </cell>
          <cell r="W37">
            <v>161</v>
          </cell>
          <cell r="X37">
            <v>62</v>
          </cell>
        </row>
      </sheetData>
      <sheetData sheetId="16">
        <row r="37">
          <cell r="D37">
            <v>179</v>
          </cell>
          <cell r="E37">
            <v>174</v>
          </cell>
          <cell r="F37">
            <v>170</v>
          </cell>
          <cell r="G37">
            <v>158</v>
          </cell>
          <cell r="I37">
            <v>265</v>
          </cell>
          <cell r="J37">
            <v>265</v>
          </cell>
          <cell r="K37">
            <v>308</v>
          </cell>
          <cell r="L37">
            <v>240</v>
          </cell>
          <cell r="M37">
            <v>265</v>
          </cell>
          <cell r="N37">
            <v>86</v>
          </cell>
          <cell r="O37">
            <v>69</v>
          </cell>
          <cell r="P37">
            <v>41</v>
          </cell>
          <cell r="Q37">
            <v>35</v>
          </cell>
          <cell r="R37">
            <v>115</v>
          </cell>
          <cell r="T37">
            <v>270</v>
          </cell>
          <cell r="U37">
            <v>279</v>
          </cell>
          <cell r="V37">
            <v>276</v>
          </cell>
          <cell r="W37">
            <v>264</v>
          </cell>
          <cell r="X37">
            <v>127</v>
          </cell>
        </row>
      </sheetData>
      <sheetData sheetId="17">
        <row r="37">
          <cell r="D37">
            <v>46</v>
          </cell>
          <cell r="E37">
            <v>47</v>
          </cell>
          <cell r="F37">
            <v>40</v>
          </cell>
          <cell r="G37">
            <v>12</v>
          </cell>
          <cell r="I37">
            <v>38</v>
          </cell>
          <cell r="J37">
            <v>38</v>
          </cell>
          <cell r="K37">
            <v>52</v>
          </cell>
          <cell r="L37">
            <v>35</v>
          </cell>
          <cell r="M37">
            <v>39</v>
          </cell>
          <cell r="N37">
            <v>42</v>
          </cell>
          <cell r="O37">
            <v>33</v>
          </cell>
          <cell r="P37">
            <v>52</v>
          </cell>
          <cell r="Q37">
            <v>50</v>
          </cell>
          <cell r="R37">
            <v>66</v>
          </cell>
          <cell r="T37">
            <v>37</v>
          </cell>
          <cell r="U37">
            <v>47</v>
          </cell>
          <cell r="V37">
            <v>33</v>
          </cell>
          <cell r="W37">
            <v>35</v>
          </cell>
          <cell r="X37">
            <v>8</v>
          </cell>
        </row>
      </sheetData>
      <sheetData sheetId="18"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7</v>
          </cell>
          <cell r="O35">
            <v>3</v>
          </cell>
          <cell r="P35">
            <v>15</v>
          </cell>
          <cell r="Q35">
            <v>0</v>
          </cell>
          <cell r="R35">
            <v>20</v>
          </cell>
          <cell r="T35">
            <v>4</v>
          </cell>
          <cell r="U35">
            <v>13</v>
          </cell>
          <cell r="V35">
            <v>3</v>
          </cell>
          <cell r="W35">
            <v>0</v>
          </cell>
          <cell r="X35">
            <v>12</v>
          </cell>
        </row>
      </sheetData>
      <sheetData sheetId="19"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</sheetData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D2" sqref="D2"/>
    </sheetView>
  </sheetViews>
  <sheetFormatPr defaultRowHeight="14.5"/>
  <cols>
    <col min="1" max="1" width="6.54296875" customWidth="1"/>
    <col min="2" max="2" width="15.54296875" customWidth="1"/>
    <col min="3" max="3" width="26.54296875" customWidth="1"/>
    <col min="4" max="4" width="14.54296875" customWidth="1"/>
    <col min="5" max="5" width="9.08984375" bestFit="1" customWidth="1"/>
    <col min="7" max="8" width="9.08984375" bestFit="1" customWidth="1"/>
    <col min="12" max="12" width="10.08984375" bestFit="1" customWidth="1"/>
  </cols>
  <sheetData>
    <row r="1" spans="1:12">
      <c r="C1" s="71" t="s">
        <v>107</v>
      </c>
      <c r="D1" s="201" t="s">
        <v>106</v>
      </c>
    </row>
    <row r="2" spans="1:12" ht="19" customHeight="1">
      <c r="A2" s="197"/>
      <c r="B2" s="198" t="s">
        <v>85</v>
      </c>
      <c r="C2" s="198" t="s">
        <v>86</v>
      </c>
      <c r="D2" s="204" t="s">
        <v>84</v>
      </c>
      <c r="E2" s="198" t="s">
        <v>79</v>
      </c>
      <c r="F2" s="198" t="s">
        <v>80</v>
      </c>
      <c r="G2" s="198" t="s">
        <v>81</v>
      </c>
      <c r="H2" s="198" t="s">
        <v>82</v>
      </c>
    </row>
    <row r="3" spans="1:12">
      <c r="A3" s="198">
        <v>1</v>
      </c>
      <c r="B3" s="197" t="s">
        <v>12</v>
      </c>
      <c r="C3" s="197" t="s">
        <v>100</v>
      </c>
      <c r="D3" s="199">
        <f>'2568'!D18</f>
        <v>1028.8</v>
      </c>
      <c r="E3" s="199">
        <v>1220</v>
      </c>
      <c r="F3" s="199">
        <v>954</v>
      </c>
      <c r="G3" s="197">
        <v>1271</v>
      </c>
      <c r="H3" s="199">
        <v>1509</v>
      </c>
      <c r="L3" s="72"/>
    </row>
    <row r="4" spans="1:12">
      <c r="A4" s="198">
        <v>2</v>
      </c>
      <c r="B4" s="197" t="s">
        <v>13</v>
      </c>
      <c r="C4" s="197" t="s">
        <v>100</v>
      </c>
      <c r="D4" s="199">
        <f>'2568'!E18</f>
        <v>794.2</v>
      </c>
      <c r="E4" s="199">
        <v>876</v>
      </c>
      <c r="F4" s="199">
        <v>803.5</v>
      </c>
      <c r="G4" s="197">
        <v>1347</v>
      </c>
      <c r="H4" s="199">
        <v>1741</v>
      </c>
      <c r="L4" s="72"/>
    </row>
    <row r="5" spans="1:12">
      <c r="A5" s="198">
        <v>3</v>
      </c>
      <c r="B5" s="197" t="s">
        <v>14</v>
      </c>
      <c r="C5" s="197" t="s">
        <v>100</v>
      </c>
      <c r="D5" s="199">
        <f>'2568'!F18</f>
        <v>850.1</v>
      </c>
      <c r="E5" s="199">
        <v>1029</v>
      </c>
      <c r="F5" s="199">
        <v>866</v>
      </c>
      <c r="G5" s="197">
        <v>1204</v>
      </c>
      <c r="H5" s="199">
        <v>1452</v>
      </c>
      <c r="L5" s="72"/>
    </row>
    <row r="6" spans="1:12">
      <c r="A6" s="198">
        <v>4</v>
      </c>
      <c r="B6" s="197" t="s">
        <v>7</v>
      </c>
      <c r="C6" s="197" t="s">
        <v>100</v>
      </c>
      <c r="D6" s="199">
        <f>'2568'!B18</f>
        <v>795.50000000000023</v>
      </c>
      <c r="E6" s="199">
        <v>1025</v>
      </c>
      <c r="F6" s="199">
        <v>663</v>
      </c>
      <c r="G6" s="197">
        <v>1155</v>
      </c>
      <c r="H6" s="199">
        <v>1502</v>
      </c>
      <c r="L6" s="72"/>
    </row>
    <row r="7" spans="1:12">
      <c r="A7" s="198">
        <v>5</v>
      </c>
      <c r="B7" s="197" t="s">
        <v>10</v>
      </c>
      <c r="C7" s="197" t="s">
        <v>100</v>
      </c>
      <c r="D7" s="199">
        <f>'2568'!C18</f>
        <v>814.3</v>
      </c>
      <c r="E7" s="199">
        <v>1065</v>
      </c>
      <c r="F7" s="199">
        <v>740</v>
      </c>
      <c r="G7" s="197">
        <v>1019</v>
      </c>
      <c r="H7" s="199">
        <v>1176</v>
      </c>
      <c r="L7" s="72"/>
    </row>
    <row r="8" spans="1:12">
      <c r="A8" s="198">
        <v>6</v>
      </c>
      <c r="B8" s="197" t="s">
        <v>101</v>
      </c>
      <c r="C8" s="197" t="s">
        <v>103</v>
      </c>
      <c r="D8" s="199">
        <f>'2568'!G18</f>
        <v>906.1</v>
      </c>
      <c r="E8" s="199">
        <v>1471</v>
      </c>
      <c r="F8" s="199">
        <v>863</v>
      </c>
      <c r="G8" s="197">
        <v>1223</v>
      </c>
      <c r="H8" s="199">
        <v>1117</v>
      </c>
      <c r="L8" s="72"/>
    </row>
    <row r="9" spans="1:12">
      <c r="A9" s="198">
        <v>7</v>
      </c>
      <c r="B9" s="197" t="s">
        <v>102</v>
      </c>
      <c r="C9" s="197" t="s">
        <v>103</v>
      </c>
      <c r="D9" s="199">
        <f>'2568'!H18</f>
        <v>1165</v>
      </c>
      <c r="E9" s="199">
        <v>1334</v>
      </c>
      <c r="F9" s="199">
        <v>761</v>
      </c>
      <c r="G9" s="197">
        <v>1318</v>
      </c>
      <c r="H9" s="199">
        <v>901</v>
      </c>
      <c r="L9" s="72"/>
    </row>
    <row r="10" spans="1:12">
      <c r="A10" s="198">
        <v>8</v>
      </c>
      <c r="B10" s="197" t="s">
        <v>17</v>
      </c>
      <c r="C10" s="197" t="s">
        <v>103</v>
      </c>
      <c r="D10" s="199">
        <f>'2568'!I18</f>
        <v>801</v>
      </c>
      <c r="E10" s="199">
        <v>972</v>
      </c>
      <c r="F10" s="199">
        <v>651</v>
      </c>
      <c r="G10" s="197">
        <v>1333</v>
      </c>
      <c r="H10" s="199">
        <v>1058</v>
      </c>
      <c r="L10" s="72"/>
    </row>
    <row r="11" spans="1:12">
      <c r="A11" s="198">
        <v>9</v>
      </c>
      <c r="B11" s="197" t="s">
        <v>20</v>
      </c>
      <c r="C11" s="197" t="s">
        <v>103</v>
      </c>
      <c r="D11" s="199">
        <f>'2568'!L18</f>
        <v>796</v>
      </c>
      <c r="E11" s="199">
        <v>983.5</v>
      </c>
      <c r="F11" s="199">
        <v>740</v>
      </c>
      <c r="G11" s="200">
        <v>0</v>
      </c>
      <c r="H11" s="199">
        <v>0</v>
      </c>
      <c r="L11" s="72"/>
    </row>
    <row r="12" spans="1:12">
      <c r="A12" s="198">
        <v>10</v>
      </c>
      <c r="B12" s="197" t="s">
        <v>18</v>
      </c>
      <c r="C12" s="197" t="s">
        <v>103</v>
      </c>
      <c r="D12" s="199">
        <f>'2568'!J18</f>
        <v>858.09999999999991</v>
      </c>
      <c r="E12" s="199">
        <v>1198</v>
      </c>
      <c r="F12" s="199">
        <v>697</v>
      </c>
      <c r="G12" s="197">
        <v>1305</v>
      </c>
      <c r="H12" s="199">
        <v>734</v>
      </c>
      <c r="L12" s="72"/>
    </row>
    <row r="13" spans="1:12">
      <c r="A13" s="198">
        <v>11</v>
      </c>
      <c r="B13" s="197" t="s">
        <v>19</v>
      </c>
      <c r="C13" s="197" t="s">
        <v>104</v>
      </c>
      <c r="D13" s="199">
        <f>'2568'!K18</f>
        <v>871.80000000000007</v>
      </c>
      <c r="E13" s="199">
        <v>909</v>
      </c>
      <c r="F13" s="199">
        <v>825</v>
      </c>
      <c r="G13" s="197">
        <v>1390</v>
      </c>
      <c r="H13" s="199">
        <v>1032</v>
      </c>
      <c r="L13" s="72"/>
    </row>
    <row r="14" spans="1:12">
      <c r="A14" s="198">
        <v>12</v>
      </c>
      <c r="B14" s="197" t="s">
        <v>25</v>
      </c>
      <c r="C14" s="197" t="s">
        <v>104</v>
      </c>
      <c r="D14" s="199">
        <f>'2568'!Q18</f>
        <v>572</v>
      </c>
      <c r="E14" s="199">
        <v>935</v>
      </c>
      <c r="F14" s="199">
        <v>675</v>
      </c>
      <c r="G14" s="197">
        <v>961</v>
      </c>
      <c r="H14" s="199">
        <v>802</v>
      </c>
      <c r="L14" s="72"/>
    </row>
    <row r="15" spans="1:12">
      <c r="A15" s="198">
        <v>13</v>
      </c>
      <c r="B15" s="197" t="s">
        <v>21</v>
      </c>
      <c r="C15" s="197" t="s">
        <v>105</v>
      </c>
      <c r="D15" s="199">
        <f>'2568'!M18</f>
        <v>535.70000000000005</v>
      </c>
      <c r="E15" s="199">
        <v>708</v>
      </c>
      <c r="F15" s="199">
        <v>628</v>
      </c>
      <c r="G15" s="197">
        <v>1046</v>
      </c>
      <c r="H15" s="199">
        <v>1421</v>
      </c>
      <c r="L15" s="72"/>
    </row>
    <row r="16" spans="1:12">
      <c r="A16" s="198">
        <v>14</v>
      </c>
      <c r="B16" s="197" t="s">
        <v>22</v>
      </c>
      <c r="C16" s="197" t="s">
        <v>105</v>
      </c>
      <c r="D16" s="199">
        <f>'2568'!N18</f>
        <v>508</v>
      </c>
      <c r="E16" s="199">
        <v>665</v>
      </c>
      <c r="F16" s="199">
        <v>640</v>
      </c>
      <c r="G16" s="197">
        <v>1169</v>
      </c>
      <c r="H16" s="199">
        <v>1442</v>
      </c>
      <c r="L16" s="72"/>
    </row>
    <row r="17" spans="1:12">
      <c r="A17" s="198">
        <v>15</v>
      </c>
      <c r="B17" s="197" t="s">
        <v>23</v>
      </c>
      <c r="C17" s="197" t="s">
        <v>105</v>
      </c>
      <c r="D17" s="199">
        <f>'2568'!O18</f>
        <v>455.4</v>
      </c>
      <c r="E17" s="199">
        <v>645</v>
      </c>
      <c r="F17" s="199">
        <v>580</v>
      </c>
      <c r="G17" s="197">
        <v>1139</v>
      </c>
      <c r="H17" s="199">
        <v>1519</v>
      </c>
      <c r="L17" s="72"/>
    </row>
    <row r="18" spans="1:12">
      <c r="A18" s="198">
        <v>16</v>
      </c>
      <c r="B18" s="197" t="s">
        <v>24</v>
      </c>
      <c r="C18" s="197" t="s">
        <v>105</v>
      </c>
      <c r="D18" s="199">
        <f>'2568'!P18</f>
        <v>424.4</v>
      </c>
      <c r="E18" s="199">
        <v>580</v>
      </c>
      <c r="F18" s="199">
        <v>476</v>
      </c>
      <c r="G18" s="197">
        <v>1025</v>
      </c>
      <c r="H18" s="199">
        <v>1459</v>
      </c>
      <c r="L18" s="72"/>
    </row>
    <row r="19" spans="1:12">
      <c r="A19" s="198"/>
      <c r="B19" s="197" t="s">
        <v>108</v>
      </c>
      <c r="C19" s="197"/>
      <c r="D19" s="199">
        <f>'2568'!S18</f>
        <v>579.82857142857142</v>
      </c>
      <c r="E19" s="199">
        <f>'2567'!S18</f>
        <v>952.33458646616543</v>
      </c>
      <c r="F19" s="199">
        <v>659.30952380952374</v>
      </c>
      <c r="G19" s="199">
        <v>1028.7142857142858</v>
      </c>
      <c r="H19" s="199">
        <v>1177.0952380952381</v>
      </c>
      <c r="L19" s="72"/>
    </row>
    <row r="20" spans="1:12">
      <c r="F20" s="7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zoomScale="60" zoomScaleNormal="60" workbookViewId="0">
      <selection activeCell="K11" sqref="K11"/>
    </sheetView>
  </sheetViews>
  <sheetFormatPr defaultRowHeight="31" customHeight="1"/>
  <cols>
    <col min="1" max="1" width="21.90625" style="193" customWidth="1"/>
    <col min="2" max="2" width="10.81640625" style="174" bestFit="1" customWidth="1"/>
    <col min="3" max="3" width="10.7265625" style="174" bestFit="1" customWidth="1"/>
    <col min="4" max="4" width="12.81640625" style="174" bestFit="1" customWidth="1"/>
    <col min="5" max="5" width="15.81640625" style="174" bestFit="1" customWidth="1"/>
    <col min="6" max="6" width="8.08984375" style="174" bestFit="1" customWidth="1"/>
    <col min="7" max="7" width="10.26953125" style="174" bestFit="1" customWidth="1"/>
    <col min="8" max="8" width="11.1796875" style="174" bestFit="1" customWidth="1"/>
    <col min="9" max="9" width="12.36328125" style="174" bestFit="1" customWidth="1"/>
    <col min="10" max="10" width="11.26953125" style="174" bestFit="1" customWidth="1"/>
    <col min="11" max="11" width="9.6328125" style="174" bestFit="1" customWidth="1"/>
    <col min="12" max="12" width="10.36328125" style="174" bestFit="1" customWidth="1"/>
    <col min="13" max="13" width="12.08984375" style="174" bestFit="1" customWidth="1"/>
    <col min="14" max="14" width="8.08984375" style="174" bestFit="1" customWidth="1"/>
    <col min="15" max="15" width="13.453125" style="174" bestFit="1" customWidth="1"/>
    <col min="16" max="16" width="8.36328125" style="174" customWidth="1"/>
    <col min="17" max="17" width="15" style="174" customWidth="1"/>
    <col min="18" max="18" width="12.1796875" style="174" bestFit="1" customWidth="1"/>
    <col min="19" max="19" width="12.54296875" style="174" bestFit="1" customWidth="1"/>
    <col min="20" max="16384" width="8.7265625" style="174"/>
  </cols>
  <sheetData>
    <row r="1" spans="1:19" ht="31" customHeight="1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7"/>
    </row>
    <row r="2" spans="1:19" ht="31" customHeight="1">
      <c r="A2" s="177" t="s">
        <v>99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9"/>
    </row>
    <row r="3" spans="1:19" ht="31" customHeight="1" thickBot="1">
      <c r="A3" s="185" t="s">
        <v>2</v>
      </c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6"/>
    </row>
    <row r="4" spans="1:19" ht="31" customHeight="1">
      <c r="A4" s="186" t="s">
        <v>3</v>
      </c>
      <c r="B4" s="180" t="s">
        <v>4</v>
      </c>
      <c r="C4" s="99" t="s">
        <v>4</v>
      </c>
      <c r="D4" s="97" t="s">
        <v>4</v>
      </c>
      <c r="E4" s="98" t="s">
        <v>4</v>
      </c>
      <c r="F4" s="99" t="s">
        <v>4</v>
      </c>
      <c r="G4" s="100" t="s">
        <v>4</v>
      </c>
      <c r="H4" s="98" t="s">
        <v>4</v>
      </c>
      <c r="I4" s="98" t="s">
        <v>4</v>
      </c>
      <c r="J4" s="98" t="s">
        <v>4</v>
      </c>
      <c r="K4" s="98" t="s">
        <v>4</v>
      </c>
      <c r="L4" s="98" t="s">
        <v>4</v>
      </c>
      <c r="M4" s="98" t="s">
        <v>4</v>
      </c>
      <c r="N4" s="98" t="s">
        <v>4</v>
      </c>
      <c r="O4" s="98" t="s">
        <v>4</v>
      </c>
      <c r="P4" s="98" t="s">
        <v>4</v>
      </c>
      <c r="Q4" s="101" t="s">
        <v>4</v>
      </c>
      <c r="R4" s="102" t="s">
        <v>5</v>
      </c>
      <c r="S4" s="103" t="s">
        <v>6</v>
      </c>
    </row>
    <row r="5" spans="1:19" ht="31" customHeight="1" thickBot="1">
      <c r="A5" s="187"/>
      <c r="B5" s="184" t="s">
        <v>7</v>
      </c>
      <c r="C5" s="120" t="s">
        <v>10</v>
      </c>
      <c r="D5" s="118" t="s">
        <v>12</v>
      </c>
      <c r="E5" s="119" t="s">
        <v>13</v>
      </c>
      <c r="F5" s="120" t="s">
        <v>14</v>
      </c>
      <c r="G5" s="121" t="s">
        <v>15</v>
      </c>
      <c r="H5" s="119" t="s">
        <v>16</v>
      </c>
      <c r="I5" s="119" t="s">
        <v>17</v>
      </c>
      <c r="J5" s="119" t="s">
        <v>18</v>
      </c>
      <c r="K5" s="119" t="s">
        <v>19</v>
      </c>
      <c r="L5" s="119" t="s">
        <v>20</v>
      </c>
      <c r="M5" s="119" t="s">
        <v>21</v>
      </c>
      <c r="N5" s="119" t="s">
        <v>22</v>
      </c>
      <c r="O5" s="119" t="s">
        <v>23</v>
      </c>
      <c r="P5" s="119" t="s">
        <v>24</v>
      </c>
      <c r="Q5" s="122" t="s">
        <v>25</v>
      </c>
      <c r="R5" s="123" t="s">
        <v>26</v>
      </c>
      <c r="S5" s="104" t="s">
        <v>26</v>
      </c>
    </row>
    <row r="6" spans="1:19" ht="31" customHeight="1">
      <c r="A6" s="188" t="s">
        <v>87</v>
      </c>
      <c r="B6" s="181">
        <v>0</v>
      </c>
      <c r="C6" s="105">
        <v>0</v>
      </c>
      <c r="D6" s="105">
        <v>0</v>
      </c>
      <c r="E6" s="105">
        <v>0</v>
      </c>
      <c r="F6" s="105">
        <v>0</v>
      </c>
      <c r="G6" s="105">
        <v>0</v>
      </c>
      <c r="H6" s="105">
        <v>0</v>
      </c>
      <c r="I6" s="105">
        <v>0</v>
      </c>
      <c r="J6" s="105">
        <v>0</v>
      </c>
      <c r="K6" s="105">
        <v>0</v>
      </c>
      <c r="L6" s="105">
        <v>0</v>
      </c>
      <c r="M6" s="105">
        <v>0</v>
      </c>
      <c r="N6" s="105">
        <v>0</v>
      </c>
      <c r="O6" s="105">
        <v>0</v>
      </c>
      <c r="P6" s="105">
        <v>0</v>
      </c>
      <c r="Q6" s="106">
        <v>0</v>
      </c>
      <c r="R6" s="107">
        <v>0</v>
      </c>
      <c r="S6" s="108">
        <v>0</v>
      </c>
    </row>
    <row r="7" spans="1:19" ht="31" customHeight="1">
      <c r="A7" s="189" t="s">
        <v>88</v>
      </c>
      <c r="B7" s="182">
        <v>17</v>
      </c>
      <c r="C7" s="111">
        <v>29</v>
      </c>
      <c r="D7" s="111">
        <v>35</v>
      </c>
      <c r="E7" s="111">
        <v>18</v>
      </c>
      <c r="F7" s="111">
        <v>27</v>
      </c>
      <c r="G7" s="111">
        <v>0</v>
      </c>
      <c r="H7" s="111">
        <v>9</v>
      </c>
      <c r="I7" s="111">
        <v>0</v>
      </c>
      <c r="J7" s="111">
        <v>2</v>
      </c>
      <c r="K7" s="111">
        <v>0</v>
      </c>
      <c r="L7" s="111">
        <v>13</v>
      </c>
      <c r="M7" s="111">
        <v>18</v>
      </c>
      <c r="N7" s="111">
        <v>24</v>
      </c>
      <c r="O7" s="111">
        <v>20</v>
      </c>
      <c r="P7" s="111">
        <v>10</v>
      </c>
      <c r="Q7" s="111">
        <v>0</v>
      </c>
      <c r="R7" s="112">
        <v>222</v>
      </c>
      <c r="S7" s="169">
        <v>10.571428571428571</v>
      </c>
    </row>
    <row r="8" spans="1:19" ht="31" customHeight="1">
      <c r="A8" s="189" t="s">
        <v>89</v>
      </c>
      <c r="B8" s="182">
        <v>73</v>
      </c>
      <c r="C8" s="110">
        <v>67</v>
      </c>
      <c r="D8" s="111">
        <v>83</v>
      </c>
      <c r="E8" s="111">
        <v>84</v>
      </c>
      <c r="F8" s="111">
        <v>78</v>
      </c>
      <c r="G8" s="111">
        <v>70</v>
      </c>
      <c r="H8" s="111">
        <v>102</v>
      </c>
      <c r="I8" s="111">
        <v>100</v>
      </c>
      <c r="J8" s="111">
        <v>53</v>
      </c>
      <c r="K8" s="111">
        <v>55</v>
      </c>
      <c r="L8" s="111">
        <v>68</v>
      </c>
      <c r="M8" s="111">
        <v>56</v>
      </c>
      <c r="N8" s="111">
        <v>41</v>
      </c>
      <c r="O8" s="111">
        <v>59</v>
      </c>
      <c r="P8" s="111">
        <v>52</v>
      </c>
      <c r="Q8" s="114">
        <v>35</v>
      </c>
      <c r="R8" s="112">
        <v>1076</v>
      </c>
      <c r="S8" s="169">
        <v>51.238095238095241</v>
      </c>
    </row>
    <row r="9" spans="1:19" ht="31" customHeight="1">
      <c r="A9" s="190" t="s">
        <v>90</v>
      </c>
      <c r="B9" s="182">
        <v>63.4</v>
      </c>
      <c r="C9" s="110">
        <v>93</v>
      </c>
      <c r="D9" s="111">
        <v>116.89999999999999</v>
      </c>
      <c r="E9" s="111">
        <v>95.2</v>
      </c>
      <c r="F9" s="111">
        <v>91</v>
      </c>
      <c r="G9" s="111">
        <v>71</v>
      </c>
      <c r="H9" s="111">
        <v>67.399999999999991</v>
      </c>
      <c r="I9" s="111">
        <v>40</v>
      </c>
      <c r="J9" s="111">
        <v>43.399999999999991</v>
      </c>
      <c r="K9" s="111">
        <v>59.199999999999996</v>
      </c>
      <c r="L9" s="111">
        <v>54.5</v>
      </c>
      <c r="M9" s="111">
        <v>61</v>
      </c>
      <c r="N9" s="111">
        <v>76</v>
      </c>
      <c r="O9" s="111">
        <v>58</v>
      </c>
      <c r="P9" s="111">
        <v>57.800000000000004</v>
      </c>
      <c r="Q9" s="111">
        <v>70</v>
      </c>
      <c r="R9" s="112">
        <v>1117.8</v>
      </c>
      <c r="S9" s="169">
        <v>53.228571428571428</v>
      </c>
    </row>
    <row r="10" spans="1:19" ht="31" customHeight="1">
      <c r="A10" s="190" t="s">
        <v>91</v>
      </c>
      <c r="B10" s="182">
        <v>274.40000000000003</v>
      </c>
      <c r="C10" s="110">
        <v>253.89999999999998</v>
      </c>
      <c r="D10" s="110">
        <v>315.10000000000008</v>
      </c>
      <c r="E10" s="110">
        <v>235.29999999999998</v>
      </c>
      <c r="F10" s="110">
        <v>266.10000000000002</v>
      </c>
      <c r="G10" s="110">
        <v>221</v>
      </c>
      <c r="H10" s="110">
        <v>329.2</v>
      </c>
      <c r="I10" s="110">
        <v>166</v>
      </c>
      <c r="J10" s="110">
        <v>209.4</v>
      </c>
      <c r="K10" s="110">
        <v>184.10000000000002</v>
      </c>
      <c r="L10" s="111">
        <v>206.5</v>
      </c>
      <c r="M10" s="111">
        <v>147</v>
      </c>
      <c r="N10" s="111">
        <v>146</v>
      </c>
      <c r="O10" s="111">
        <v>124</v>
      </c>
      <c r="P10" s="111">
        <v>122.39999999999999</v>
      </c>
      <c r="Q10" s="111">
        <v>142</v>
      </c>
      <c r="R10" s="112">
        <v>3342.4</v>
      </c>
      <c r="S10" s="113">
        <v>159.16190476190476</v>
      </c>
    </row>
    <row r="11" spans="1:19" ht="31" customHeight="1">
      <c r="A11" s="189" t="s">
        <v>92</v>
      </c>
      <c r="B11" s="183">
        <v>16.5</v>
      </c>
      <c r="C11" s="110">
        <v>29.5</v>
      </c>
      <c r="D11" s="110">
        <v>49.8</v>
      </c>
      <c r="E11" s="110">
        <v>34.200000000000003</v>
      </c>
      <c r="F11" s="110">
        <v>37</v>
      </c>
      <c r="G11" s="110">
        <v>72</v>
      </c>
      <c r="H11" s="110">
        <v>133.6</v>
      </c>
      <c r="I11" s="110">
        <v>105</v>
      </c>
      <c r="J11" s="110">
        <v>99.1</v>
      </c>
      <c r="K11" s="110">
        <v>42</v>
      </c>
      <c r="L11" s="110">
        <v>85</v>
      </c>
      <c r="M11" s="110">
        <v>11.2</v>
      </c>
      <c r="N11" s="110">
        <v>15</v>
      </c>
      <c r="O11" s="110">
        <v>11</v>
      </c>
      <c r="P11" s="110">
        <v>23.4</v>
      </c>
      <c r="Q11" s="110">
        <v>0</v>
      </c>
      <c r="R11" s="112">
        <v>764.30000000000007</v>
      </c>
      <c r="S11" s="113">
        <v>36.395238095238099</v>
      </c>
    </row>
    <row r="12" spans="1:19" ht="31" customHeight="1">
      <c r="A12" s="189" t="s">
        <v>93</v>
      </c>
      <c r="B12" s="183">
        <v>50.5</v>
      </c>
      <c r="C12" s="110">
        <v>41.4</v>
      </c>
      <c r="D12" s="110">
        <v>79.7</v>
      </c>
      <c r="E12" s="110">
        <v>67.399999999999991</v>
      </c>
      <c r="F12" s="110">
        <v>60</v>
      </c>
      <c r="G12" s="110">
        <v>64</v>
      </c>
      <c r="H12" s="110">
        <v>90.3</v>
      </c>
      <c r="I12" s="110">
        <v>70</v>
      </c>
      <c r="J12" s="110">
        <v>58.6</v>
      </c>
      <c r="K12" s="110">
        <v>41.8</v>
      </c>
      <c r="L12" s="110">
        <v>47.5</v>
      </c>
      <c r="M12" s="110">
        <v>36</v>
      </c>
      <c r="N12" s="110">
        <v>34</v>
      </c>
      <c r="O12" s="110">
        <v>26.4</v>
      </c>
      <c r="P12" s="110">
        <v>13.6</v>
      </c>
      <c r="Q12" s="110">
        <v>23</v>
      </c>
      <c r="R12" s="112">
        <v>804.19999999999993</v>
      </c>
      <c r="S12" s="113">
        <v>38.295238095238091</v>
      </c>
    </row>
    <row r="13" spans="1:19" ht="31" customHeight="1">
      <c r="A13" s="189" t="s">
        <v>94</v>
      </c>
      <c r="B13" s="182">
        <v>91.300000000000011</v>
      </c>
      <c r="C13" s="109">
        <v>100.4</v>
      </c>
      <c r="D13" s="110">
        <v>102.8</v>
      </c>
      <c r="E13" s="110">
        <v>81</v>
      </c>
      <c r="F13" s="110">
        <v>78</v>
      </c>
      <c r="G13" s="110">
        <v>161.1</v>
      </c>
      <c r="H13" s="110">
        <v>202.5</v>
      </c>
      <c r="I13" s="110">
        <v>172</v>
      </c>
      <c r="J13" s="110">
        <v>135.80000000000001</v>
      </c>
      <c r="K13" s="110">
        <v>124.2</v>
      </c>
      <c r="L13" s="110">
        <v>149</v>
      </c>
      <c r="M13" s="110">
        <v>36.699999999999996</v>
      </c>
      <c r="N13" s="110">
        <v>37</v>
      </c>
      <c r="O13" s="110">
        <v>25</v>
      </c>
      <c r="P13" s="110">
        <v>59.3</v>
      </c>
      <c r="Q13" s="110">
        <v>90</v>
      </c>
      <c r="R13" s="112">
        <v>1646.1000000000001</v>
      </c>
      <c r="S13" s="113">
        <v>78.385714285714286</v>
      </c>
    </row>
    <row r="14" spans="1:19" ht="31" customHeight="1">
      <c r="A14" s="189" t="s">
        <v>95</v>
      </c>
      <c r="B14" s="182">
        <v>209.40000000000003</v>
      </c>
      <c r="C14" s="110">
        <v>200.09999999999997</v>
      </c>
      <c r="D14" s="111">
        <v>246.49999999999997</v>
      </c>
      <c r="E14" s="111">
        <v>179.1</v>
      </c>
      <c r="F14" s="111">
        <v>213</v>
      </c>
      <c r="G14" s="111">
        <v>247</v>
      </c>
      <c r="H14" s="111">
        <v>231</v>
      </c>
      <c r="I14" s="111">
        <v>148</v>
      </c>
      <c r="J14" s="111">
        <v>256.8</v>
      </c>
      <c r="K14" s="111">
        <v>365.50000000000006</v>
      </c>
      <c r="L14" s="111">
        <v>172.5</v>
      </c>
      <c r="M14" s="111">
        <v>169.8</v>
      </c>
      <c r="N14" s="111">
        <v>135</v>
      </c>
      <c r="O14" s="111">
        <v>132</v>
      </c>
      <c r="P14" s="111">
        <v>85.899999999999991</v>
      </c>
      <c r="Q14" s="111">
        <v>212</v>
      </c>
      <c r="R14" s="112">
        <v>3203.6000000000004</v>
      </c>
      <c r="S14" s="113">
        <v>152.55238095238096</v>
      </c>
    </row>
    <row r="15" spans="1:19" ht="31" customHeight="1">
      <c r="A15" s="189" t="s">
        <v>96</v>
      </c>
      <c r="B15" s="182">
        <v>0</v>
      </c>
      <c r="C15" s="110">
        <v>0</v>
      </c>
      <c r="D15" s="110">
        <v>0</v>
      </c>
      <c r="E15" s="110">
        <v>0</v>
      </c>
      <c r="F15" s="110">
        <v>0</v>
      </c>
      <c r="G15" s="110">
        <v>0</v>
      </c>
      <c r="H15" s="110">
        <v>0</v>
      </c>
      <c r="I15" s="110">
        <v>0</v>
      </c>
      <c r="J15" s="110">
        <v>0</v>
      </c>
      <c r="K15" s="110">
        <v>0</v>
      </c>
      <c r="L15" s="110">
        <v>0</v>
      </c>
      <c r="M15" s="110">
        <v>0</v>
      </c>
      <c r="N15" s="110">
        <v>0</v>
      </c>
      <c r="O15" s="110">
        <v>0</v>
      </c>
      <c r="P15" s="110">
        <v>0</v>
      </c>
      <c r="Q15" s="110">
        <v>0</v>
      </c>
      <c r="R15" s="112">
        <v>0</v>
      </c>
      <c r="S15" s="113">
        <v>0</v>
      </c>
    </row>
    <row r="16" spans="1:19" ht="31" customHeight="1">
      <c r="A16" s="189" t="s">
        <v>97</v>
      </c>
      <c r="B16" s="183">
        <v>0</v>
      </c>
      <c r="C16" s="110">
        <v>0</v>
      </c>
      <c r="D16" s="110">
        <v>0</v>
      </c>
      <c r="E16" s="110">
        <v>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  <c r="K16" s="110">
        <v>0</v>
      </c>
      <c r="L16" s="110">
        <v>0</v>
      </c>
      <c r="M16" s="110">
        <v>0</v>
      </c>
      <c r="N16" s="110">
        <v>0</v>
      </c>
      <c r="O16" s="110">
        <v>0</v>
      </c>
      <c r="P16" s="110">
        <v>0</v>
      </c>
      <c r="Q16" s="110">
        <v>0</v>
      </c>
      <c r="R16" s="112">
        <v>0</v>
      </c>
      <c r="S16" s="113">
        <v>0</v>
      </c>
    </row>
    <row r="17" spans="1:19" ht="31" customHeight="1" thickBot="1">
      <c r="A17" s="189" t="s">
        <v>98</v>
      </c>
      <c r="B17" s="183">
        <v>0</v>
      </c>
      <c r="C17" s="110">
        <v>0</v>
      </c>
      <c r="D17" s="110">
        <v>0</v>
      </c>
      <c r="E17" s="110">
        <v>0</v>
      </c>
      <c r="F17" s="110">
        <v>0</v>
      </c>
      <c r="G17" s="110">
        <v>0</v>
      </c>
      <c r="H17" s="110">
        <v>0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10">
        <v>0</v>
      </c>
      <c r="O17" s="110">
        <v>0</v>
      </c>
      <c r="P17" s="110">
        <v>0</v>
      </c>
      <c r="Q17" s="110">
        <v>0</v>
      </c>
      <c r="R17" s="112">
        <v>0</v>
      </c>
      <c r="S17" s="113">
        <v>0</v>
      </c>
    </row>
    <row r="18" spans="1:19" s="196" customFormat="1" ht="31" customHeight="1" thickBot="1">
      <c r="A18" s="191" t="s">
        <v>5</v>
      </c>
      <c r="B18" s="194">
        <f>SUM(B6:B17)</f>
        <v>795.50000000000023</v>
      </c>
      <c r="C18" s="195">
        <f t="shared" ref="C18:Q18" si="0">SUM(C6:C17)</f>
        <v>814.3</v>
      </c>
      <c r="D18" s="195">
        <f t="shared" si="0"/>
        <v>1028.8</v>
      </c>
      <c r="E18" s="195">
        <f t="shared" si="0"/>
        <v>794.2</v>
      </c>
      <c r="F18" s="195">
        <f t="shared" si="0"/>
        <v>850.1</v>
      </c>
      <c r="G18" s="195">
        <f t="shared" si="0"/>
        <v>906.1</v>
      </c>
      <c r="H18" s="195">
        <f t="shared" si="0"/>
        <v>1165</v>
      </c>
      <c r="I18" s="195">
        <f t="shared" si="0"/>
        <v>801</v>
      </c>
      <c r="J18" s="195">
        <f t="shared" si="0"/>
        <v>858.09999999999991</v>
      </c>
      <c r="K18" s="195">
        <f t="shared" si="0"/>
        <v>871.80000000000007</v>
      </c>
      <c r="L18" s="195">
        <f t="shared" si="0"/>
        <v>796</v>
      </c>
      <c r="M18" s="195">
        <f t="shared" si="0"/>
        <v>535.70000000000005</v>
      </c>
      <c r="N18" s="195">
        <f t="shared" si="0"/>
        <v>508</v>
      </c>
      <c r="O18" s="195">
        <f t="shared" si="0"/>
        <v>455.4</v>
      </c>
      <c r="P18" s="195">
        <f t="shared" si="0"/>
        <v>424.4</v>
      </c>
      <c r="Q18" s="195">
        <f t="shared" si="0"/>
        <v>572</v>
      </c>
      <c r="R18" s="195">
        <f>SUM(R6:R17)</f>
        <v>12176.400000000001</v>
      </c>
      <c r="S18" s="170">
        <f>SUM(S6:S17)</f>
        <v>579.82857142857142</v>
      </c>
    </row>
    <row r="19" spans="1:19" ht="31" customHeight="1">
      <c r="A19" s="192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2"/>
      <c r="S19" s="173"/>
    </row>
  </sheetData>
  <mergeCells count="2">
    <mergeCell ref="A1:S1"/>
    <mergeCell ref="A2:S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workbookViewId="0">
      <selection activeCell="F19" sqref="F19"/>
    </sheetView>
  </sheetViews>
  <sheetFormatPr defaultRowHeight="15.5" customHeight="1"/>
  <cols>
    <col min="1" max="1" width="8.453125" style="168" customWidth="1"/>
    <col min="2" max="19" width="10.7265625" style="67" customWidth="1"/>
    <col min="20" max="16384" width="8.7265625" style="67"/>
  </cols>
  <sheetData>
    <row r="1" spans="1:19" ht="20" customHeight="1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3"/>
    </row>
    <row r="2" spans="1:19" ht="15.5" customHeight="1">
      <c r="A2" s="134" t="s">
        <v>1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6"/>
    </row>
    <row r="3" spans="1:19" ht="15.5" customHeight="1" thickBot="1">
      <c r="A3" s="137" t="s">
        <v>2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9"/>
    </row>
    <row r="4" spans="1:19" ht="15.5" customHeight="1">
      <c r="A4" s="4" t="s">
        <v>3</v>
      </c>
      <c r="B4" s="158" t="s">
        <v>4</v>
      </c>
      <c r="C4" s="142" t="s">
        <v>4</v>
      </c>
      <c r="D4" s="140" t="s">
        <v>4</v>
      </c>
      <c r="E4" s="141" t="s">
        <v>4</v>
      </c>
      <c r="F4" s="142" t="s">
        <v>4</v>
      </c>
      <c r="G4" s="143" t="s">
        <v>4</v>
      </c>
      <c r="H4" s="141" t="s">
        <v>4</v>
      </c>
      <c r="I4" s="141" t="s">
        <v>4</v>
      </c>
      <c r="J4" s="141" t="s">
        <v>4</v>
      </c>
      <c r="K4" s="141" t="s">
        <v>4</v>
      </c>
      <c r="L4" s="141" t="s">
        <v>4</v>
      </c>
      <c r="M4" s="141" t="s">
        <v>4</v>
      </c>
      <c r="N4" s="141" t="s">
        <v>4</v>
      </c>
      <c r="O4" s="141" t="s">
        <v>4</v>
      </c>
      <c r="P4" s="141" t="s">
        <v>4</v>
      </c>
      <c r="Q4" s="144" t="s">
        <v>4</v>
      </c>
      <c r="R4" s="145" t="s">
        <v>5</v>
      </c>
      <c r="S4" s="146" t="s">
        <v>6</v>
      </c>
    </row>
    <row r="5" spans="1:19" ht="15.5" customHeight="1" thickBot="1">
      <c r="A5" s="12"/>
      <c r="B5" s="159" t="s">
        <v>7</v>
      </c>
      <c r="C5" s="149" t="s">
        <v>10</v>
      </c>
      <c r="D5" s="147" t="s">
        <v>12</v>
      </c>
      <c r="E5" s="148" t="s">
        <v>13</v>
      </c>
      <c r="F5" s="149" t="s">
        <v>14</v>
      </c>
      <c r="G5" s="150" t="s">
        <v>15</v>
      </c>
      <c r="H5" s="148" t="s">
        <v>16</v>
      </c>
      <c r="I5" s="148" t="s">
        <v>17</v>
      </c>
      <c r="J5" s="148" t="s">
        <v>18</v>
      </c>
      <c r="K5" s="148" t="s">
        <v>19</v>
      </c>
      <c r="L5" s="148" t="s">
        <v>20</v>
      </c>
      <c r="M5" s="148" t="s">
        <v>21</v>
      </c>
      <c r="N5" s="202" t="s">
        <v>22</v>
      </c>
      <c r="O5" s="202" t="s">
        <v>23</v>
      </c>
      <c r="P5" s="202" t="s">
        <v>24</v>
      </c>
      <c r="Q5" s="203" t="s">
        <v>25</v>
      </c>
      <c r="R5" s="151" t="s">
        <v>26</v>
      </c>
      <c r="S5" s="152" t="s">
        <v>26</v>
      </c>
    </row>
    <row r="6" spans="1:19" ht="17.5" customHeight="1">
      <c r="A6" s="163" t="s">
        <v>27</v>
      </c>
      <c r="B6" s="160">
        <v>0</v>
      </c>
      <c r="C6" s="124">
        <v>0</v>
      </c>
      <c r="D6" s="124">
        <v>0</v>
      </c>
      <c r="E6" s="124">
        <v>0</v>
      </c>
      <c r="F6" s="124">
        <v>0</v>
      </c>
      <c r="G6" s="124">
        <v>0</v>
      </c>
      <c r="H6" s="124">
        <v>0</v>
      </c>
      <c r="I6" s="124">
        <v>0</v>
      </c>
      <c r="J6" s="124">
        <v>0</v>
      </c>
      <c r="K6" s="124">
        <v>5</v>
      </c>
      <c r="L6" s="124">
        <v>0</v>
      </c>
      <c r="M6" s="124">
        <v>0</v>
      </c>
      <c r="N6" s="124">
        <v>0</v>
      </c>
      <c r="O6" s="124">
        <v>0</v>
      </c>
      <c r="P6" s="124">
        <v>0</v>
      </c>
      <c r="Q6" s="125">
        <v>0</v>
      </c>
      <c r="R6" s="153">
        <v>5</v>
      </c>
      <c r="S6" s="154">
        <v>0.26315789473684209</v>
      </c>
    </row>
    <row r="7" spans="1:19" ht="17.5" customHeight="1">
      <c r="A7" s="164" t="s">
        <v>28</v>
      </c>
      <c r="B7" s="161">
        <v>28</v>
      </c>
      <c r="C7" s="128">
        <v>48</v>
      </c>
      <c r="D7" s="128">
        <v>48</v>
      </c>
      <c r="E7" s="128">
        <v>44</v>
      </c>
      <c r="F7" s="128">
        <v>31</v>
      </c>
      <c r="G7" s="128">
        <v>0</v>
      </c>
      <c r="H7" s="128">
        <v>0</v>
      </c>
      <c r="I7" s="128">
        <v>0</v>
      </c>
      <c r="J7" s="128">
        <v>0</v>
      </c>
      <c r="K7" s="128">
        <v>0</v>
      </c>
      <c r="L7" s="128">
        <v>0</v>
      </c>
      <c r="M7" s="128">
        <v>18</v>
      </c>
      <c r="N7" s="128">
        <v>10</v>
      </c>
      <c r="O7" s="128">
        <v>15</v>
      </c>
      <c r="P7" s="128">
        <v>6</v>
      </c>
      <c r="Q7" s="128">
        <v>0</v>
      </c>
      <c r="R7" s="155">
        <v>360</v>
      </c>
      <c r="S7" s="156">
        <v>17.142857142857142</v>
      </c>
    </row>
    <row r="8" spans="1:19" ht="17.5" customHeight="1">
      <c r="A8" s="164" t="s">
        <v>29</v>
      </c>
      <c r="B8" s="161">
        <v>18</v>
      </c>
      <c r="C8" s="127">
        <v>15</v>
      </c>
      <c r="D8" s="128">
        <v>12</v>
      </c>
      <c r="E8" s="128">
        <v>11</v>
      </c>
      <c r="F8" s="128">
        <v>5</v>
      </c>
      <c r="G8" s="128">
        <v>0</v>
      </c>
      <c r="H8" s="128">
        <v>4</v>
      </c>
      <c r="I8" s="128">
        <v>13</v>
      </c>
      <c r="J8" s="128">
        <v>0</v>
      </c>
      <c r="K8" s="128">
        <v>0</v>
      </c>
      <c r="L8" s="128">
        <v>12</v>
      </c>
      <c r="M8" s="128">
        <v>4</v>
      </c>
      <c r="N8" s="128">
        <v>0</v>
      </c>
      <c r="O8" s="128">
        <v>5</v>
      </c>
      <c r="P8" s="128">
        <v>7</v>
      </c>
      <c r="Q8" s="129">
        <v>0</v>
      </c>
      <c r="R8" s="155">
        <v>141</v>
      </c>
      <c r="S8" s="156">
        <v>6.7142857142857144</v>
      </c>
    </row>
    <row r="9" spans="1:19" ht="17.5" customHeight="1">
      <c r="A9" s="165" t="s">
        <v>30</v>
      </c>
      <c r="B9" s="161">
        <v>51</v>
      </c>
      <c r="C9" s="127">
        <v>60</v>
      </c>
      <c r="D9" s="128">
        <v>48</v>
      </c>
      <c r="E9" s="128">
        <v>36</v>
      </c>
      <c r="F9" s="128">
        <v>45</v>
      </c>
      <c r="G9" s="128">
        <v>10</v>
      </c>
      <c r="H9" s="128">
        <v>4</v>
      </c>
      <c r="I9" s="128">
        <v>10</v>
      </c>
      <c r="J9" s="128">
        <v>0</v>
      </c>
      <c r="K9" s="128">
        <v>0</v>
      </c>
      <c r="L9" s="128">
        <v>6</v>
      </c>
      <c r="M9" s="128">
        <v>0</v>
      </c>
      <c r="N9" s="128">
        <v>0</v>
      </c>
      <c r="O9" s="128">
        <v>0</v>
      </c>
      <c r="P9" s="128">
        <v>0</v>
      </c>
      <c r="Q9" s="128">
        <v>0</v>
      </c>
      <c r="R9" s="155">
        <v>385</v>
      </c>
      <c r="S9" s="156">
        <v>18.333333333333332</v>
      </c>
    </row>
    <row r="10" spans="1:19" ht="17.5" customHeight="1">
      <c r="A10" s="165" t="s">
        <v>31</v>
      </c>
      <c r="B10" s="161">
        <v>194</v>
      </c>
      <c r="C10" s="127">
        <v>137</v>
      </c>
      <c r="D10" s="127">
        <v>142</v>
      </c>
      <c r="E10" s="127">
        <v>88</v>
      </c>
      <c r="F10" s="127">
        <v>117</v>
      </c>
      <c r="G10" s="127">
        <v>176</v>
      </c>
      <c r="H10" s="127">
        <v>116</v>
      </c>
      <c r="I10" s="127">
        <v>97</v>
      </c>
      <c r="J10" s="127">
        <v>128</v>
      </c>
      <c r="K10" s="127">
        <v>118</v>
      </c>
      <c r="L10" s="128">
        <v>110.5</v>
      </c>
      <c r="M10" s="128">
        <v>170</v>
      </c>
      <c r="N10" s="128">
        <v>147</v>
      </c>
      <c r="O10" s="128">
        <v>146</v>
      </c>
      <c r="P10" s="128">
        <v>146</v>
      </c>
      <c r="Q10" s="128">
        <v>86</v>
      </c>
      <c r="R10" s="155">
        <v>2611.5</v>
      </c>
      <c r="S10" s="156">
        <v>124.35714285714286</v>
      </c>
    </row>
    <row r="11" spans="1:19" ht="17.5" customHeight="1">
      <c r="A11" s="164" t="s">
        <v>32</v>
      </c>
      <c r="B11" s="161">
        <v>27</v>
      </c>
      <c r="C11" s="127">
        <v>47</v>
      </c>
      <c r="D11" s="127">
        <v>74</v>
      </c>
      <c r="E11" s="127">
        <v>46</v>
      </c>
      <c r="F11" s="127">
        <v>82</v>
      </c>
      <c r="G11" s="127">
        <v>135</v>
      </c>
      <c r="H11" s="127">
        <v>92</v>
      </c>
      <c r="I11" s="127">
        <v>80</v>
      </c>
      <c r="J11" s="127">
        <v>67</v>
      </c>
      <c r="K11" s="127">
        <v>60</v>
      </c>
      <c r="L11" s="127">
        <v>91</v>
      </c>
      <c r="M11" s="127">
        <v>23</v>
      </c>
      <c r="N11" s="127">
        <v>12</v>
      </c>
      <c r="O11" s="127">
        <v>21</v>
      </c>
      <c r="P11" s="127">
        <v>3</v>
      </c>
      <c r="Q11" s="127">
        <v>70</v>
      </c>
      <c r="R11" s="155">
        <v>1126</v>
      </c>
      <c r="S11" s="156">
        <v>53.61904761904762</v>
      </c>
    </row>
    <row r="12" spans="1:19" ht="17.5" customHeight="1">
      <c r="A12" s="164" t="s">
        <v>33</v>
      </c>
      <c r="B12" s="161">
        <v>152</v>
      </c>
      <c r="C12" s="127">
        <v>124</v>
      </c>
      <c r="D12" s="127">
        <v>120</v>
      </c>
      <c r="E12" s="127">
        <v>117</v>
      </c>
      <c r="F12" s="127">
        <v>132</v>
      </c>
      <c r="G12" s="127">
        <v>251</v>
      </c>
      <c r="H12" s="127">
        <v>315</v>
      </c>
      <c r="I12" s="127">
        <v>192</v>
      </c>
      <c r="J12" s="127">
        <v>231</v>
      </c>
      <c r="K12" s="127">
        <v>240</v>
      </c>
      <c r="L12" s="127">
        <v>182</v>
      </c>
      <c r="M12" s="127">
        <v>29</v>
      </c>
      <c r="N12" s="127">
        <v>20</v>
      </c>
      <c r="O12" s="127">
        <v>16</v>
      </c>
      <c r="P12" s="127">
        <v>24</v>
      </c>
      <c r="Q12" s="127">
        <v>245</v>
      </c>
      <c r="R12" s="155">
        <v>2956</v>
      </c>
      <c r="S12" s="156">
        <v>140.76190476190476</v>
      </c>
    </row>
    <row r="13" spans="1:19" ht="17.5" customHeight="1">
      <c r="A13" s="164" t="s">
        <v>34</v>
      </c>
      <c r="B13" s="161">
        <v>199</v>
      </c>
      <c r="C13" s="126">
        <v>209</v>
      </c>
      <c r="D13" s="127">
        <v>332</v>
      </c>
      <c r="E13" s="127">
        <v>184</v>
      </c>
      <c r="F13" s="127">
        <v>263</v>
      </c>
      <c r="G13" s="127">
        <v>282</v>
      </c>
      <c r="H13" s="127">
        <v>247</v>
      </c>
      <c r="I13" s="127">
        <v>275</v>
      </c>
      <c r="J13" s="127">
        <v>223</v>
      </c>
      <c r="K13" s="127">
        <v>161</v>
      </c>
      <c r="L13" s="127">
        <v>224</v>
      </c>
      <c r="M13" s="127">
        <v>62</v>
      </c>
      <c r="N13" s="127">
        <v>80</v>
      </c>
      <c r="O13" s="127">
        <v>64</v>
      </c>
      <c r="P13" s="127">
        <v>39</v>
      </c>
      <c r="Q13" s="127">
        <v>162</v>
      </c>
      <c r="R13" s="155">
        <v>4070</v>
      </c>
      <c r="S13" s="156">
        <v>193.8095238095238</v>
      </c>
    </row>
    <row r="14" spans="1:19" ht="17.5" customHeight="1">
      <c r="A14" s="164" t="s">
        <v>35</v>
      </c>
      <c r="B14" s="161">
        <v>142</v>
      </c>
      <c r="C14" s="127">
        <v>187</v>
      </c>
      <c r="D14" s="128">
        <v>192</v>
      </c>
      <c r="E14" s="128">
        <v>176</v>
      </c>
      <c r="F14" s="128">
        <v>156</v>
      </c>
      <c r="G14" s="128">
        <v>249</v>
      </c>
      <c r="H14" s="128">
        <v>169</v>
      </c>
      <c r="I14" s="128">
        <v>100</v>
      </c>
      <c r="J14" s="128">
        <v>203</v>
      </c>
      <c r="K14" s="128">
        <v>142</v>
      </c>
      <c r="L14" s="128">
        <v>126</v>
      </c>
      <c r="M14" s="128">
        <v>121</v>
      </c>
      <c r="N14" s="128">
        <v>143</v>
      </c>
      <c r="O14" s="128">
        <v>108</v>
      </c>
      <c r="P14" s="128">
        <v>147</v>
      </c>
      <c r="Q14" s="128">
        <v>155</v>
      </c>
      <c r="R14" s="155">
        <v>3292</v>
      </c>
      <c r="S14" s="156">
        <v>156.76190476190476</v>
      </c>
    </row>
    <row r="15" spans="1:19" ht="17.5" customHeight="1">
      <c r="A15" s="164" t="s">
        <v>36</v>
      </c>
      <c r="B15" s="161">
        <v>214</v>
      </c>
      <c r="C15" s="127">
        <v>238</v>
      </c>
      <c r="D15" s="127">
        <v>252</v>
      </c>
      <c r="E15" s="127">
        <v>174</v>
      </c>
      <c r="F15" s="127">
        <v>198</v>
      </c>
      <c r="G15" s="127">
        <v>346</v>
      </c>
      <c r="H15" s="127">
        <v>360</v>
      </c>
      <c r="I15" s="127">
        <v>175</v>
      </c>
      <c r="J15" s="127">
        <v>321</v>
      </c>
      <c r="K15" s="127">
        <v>168</v>
      </c>
      <c r="L15" s="127">
        <v>207</v>
      </c>
      <c r="M15" s="127">
        <v>231</v>
      </c>
      <c r="N15" s="127">
        <v>223</v>
      </c>
      <c r="O15" s="127">
        <v>220</v>
      </c>
      <c r="P15" s="127">
        <v>178</v>
      </c>
      <c r="Q15" s="127">
        <v>199</v>
      </c>
      <c r="R15" s="155">
        <v>4717</v>
      </c>
      <c r="S15" s="156">
        <v>224.61904761904762</v>
      </c>
    </row>
    <row r="16" spans="1:19" ht="17.5" customHeight="1">
      <c r="A16" s="164" t="s">
        <v>37</v>
      </c>
      <c r="B16" s="161">
        <v>0</v>
      </c>
      <c r="C16" s="127">
        <v>0</v>
      </c>
      <c r="D16" s="127">
        <v>0</v>
      </c>
      <c r="E16" s="127">
        <v>0</v>
      </c>
      <c r="F16" s="127">
        <v>0</v>
      </c>
      <c r="G16" s="127">
        <v>22</v>
      </c>
      <c r="H16" s="127">
        <v>27</v>
      </c>
      <c r="I16" s="127">
        <v>30</v>
      </c>
      <c r="J16" s="127">
        <v>25</v>
      </c>
      <c r="K16" s="127">
        <v>15</v>
      </c>
      <c r="L16" s="127">
        <v>25</v>
      </c>
      <c r="M16" s="127">
        <v>50</v>
      </c>
      <c r="N16" s="127">
        <v>30</v>
      </c>
      <c r="O16" s="127">
        <v>50</v>
      </c>
      <c r="P16" s="127">
        <v>30</v>
      </c>
      <c r="Q16" s="127">
        <v>18</v>
      </c>
      <c r="R16" s="155">
        <v>335</v>
      </c>
      <c r="S16" s="156">
        <v>15.952380952380953</v>
      </c>
    </row>
    <row r="17" spans="1:19" ht="17.5" customHeight="1" thickBot="1">
      <c r="A17" s="164" t="s">
        <v>38</v>
      </c>
      <c r="B17" s="161">
        <v>0</v>
      </c>
      <c r="C17" s="127">
        <v>0</v>
      </c>
      <c r="D17" s="127">
        <v>0</v>
      </c>
      <c r="E17" s="127">
        <v>0</v>
      </c>
      <c r="F17" s="127">
        <v>0</v>
      </c>
      <c r="G17" s="127">
        <v>0</v>
      </c>
      <c r="H17" s="127">
        <v>0</v>
      </c>
      <c r="I17" s="127">
        <v>0</v>
      </c>
      <c r="J17" s="127">
        <v>0</v>
      </c>
      <c r="K17" s="127">
        <v>0</v>
      </c>
      <c r="L17" s="127">
        <v>0</v>
      </c>
      <c r="M17" s="127">
        <v>0</v>
      </c>
      <c r="N17" s="127">
        <v>0</v>
      </c>
      <c r="O17" s="127">
        <v>0</v>
      </c>
      <c r="P17" s="127">
        <v>0</v>
      </c>
      <c r="Q17" s="127">
        <v>0</v>
      </c>
      <c r="R17" s="155">
        <v>0</v>
      </c>
      <c r="S17" s="156">
        <v>0</v>
      </c>
    </row>
    <row r="18" spans="1:19" ht="17.5" customHeight="1" thickBot="1">
      <c r="A18" s="166" t="s">
        <v>5</v>
      </c>
      <c r="B18" s="162">
        <f>SUM(B6:B17)</f>
        <v>1025</v>
      </c>
      <c r="C18" s="130">
        <f t="shared" ref="C18:Q18" si="0">SUM(C6:C17)</f>
        <v>1065</v>
      </c>
      <c r="D18" s="130">
        <f t="shared" si="0"/>
        <v>1220</v>
      </c>
      <c r="E18" s="130">
        <f t="shared" si="0"/>
        <v>876</v>
      </c>
      <c r="F18" s="130">
        <f t="shared" si="0"/>
        <v>1029</v>
      </c>
      <c r="G18" s="130">
        <f t="shared" si="0"/>
        <v>1471</v>
      </c>
      <c r="H18" s="130">
        <f t="shared" si="0"/>
        <v>1334</v>
      </c>
      <c r="I18" s="130">
        <f t="shared" si="0"/>
        <v>972</v>
      </c>
      <c r="J18" s="130">
        <f t="shared" si="0"/>
        <v>1198</v>
      </c>
      <c r="K18" s="130">
        <f t="shared" si="0"/>
        <v>909</v>
      </c>
      <c r="L18" s="130">
        <f t="shared" si="0"/>
        <v>983.5</v>
      </c>
      <c r="M18" s="130">
        <f t="shared" si="0"/>
        <v>708</v>
      </c>
      <c r="N18" s="130">
        <f t="shared" si="0"/>
        <v>665</v>
      </c>
      <c r="O18" s="130">
        <f t="shared" si="0"/>
        <v>645</v>
      </c>
      <c r="P18" s="130">
        <f t="shared" si="0"/>
        <v>580</v>
      </c>
      <c r="Q18" s="130">
        <f t="shared" si="0"/>
        <v>935</v>
      </c>
      <c r="R18" s="130">
        <f>SUM(R6:R10)</f>
        <v>3502.5</v>
      </c>
      <c r="S18" s="157">
        <f>SUM(S6:S17)</f>
        <v>952.33458646616543</v>
      </c>
    </row>
    <row r="19" spans="1:19" ht="15.5" customHeight="1">
      <c r="A19" s="167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2"/>
      <c r="S19" s="3"/>
    </row>
    <row r="20" spans="1:19" ht="15.5" customHeight="1">
      <c r="A20" s="167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</row>
    <row r="21" spans="1:19" ht="15.5" customHeight="1">
      <c r="A21" s="167"/>
      <c r="B21" s="68"/>
      <c r="C21" s="68"/>
      <c r="D21" s="70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70"/>
      <c r="R21" s="1"/>
      <c r="S21" s="3"/>
    </row>
    <row r="22" spans="1:19" ht="15.5" customHeight="1">
      <c r="A22" s="167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1"/>
      <c r="S22" s="3"/>
    </row>
  </sheetData>
  <mergeCells count="3">
    <mergeCell ref="A1:S1"/>
    <mergeCell ref="A2:S2"/>
    <mergeCell ref="A3:S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opLeftCell="H1" workbookViewId="0">
      <selection activeCell="V20" sqref="V20"/>
    </sheetView>
  </sheetViews>
  <sheetFormatPr defaultRowHeight="14.5"/>
  <cols>
    <col min="1" max="1" width="4.7265625" customWidth="1"/>
    <col min="2" max="2" width="4.08984375" customWidth="1"/>
    <col min="4" max="9" width="8.7265625" customWidth="1"/>
    <col min="10" max="10" width="10" customWidth="1"/>
    <col min="11" max="15" width="8.7265625" customWidth="1"/>
    <col min="16" max="24" width="8.90625" customWidth="1"/>
  </cols>
  <sheetData>
    <row r="1" spans="1:24" ht="20.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1"/>
    </row>
    <row r="2" spans="1:24" ht="20.5">
      <c r="A2" s="82" t="s">
        <v>39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4"/>
    </row>
    <row r="3" spans="1:24" ht="22" thickBot="1">
      <c r="A3" s="85" t="s">
        <v>2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</row>
    <row r="4" spans="1:24" ht="20.5">
      <c r="A4" s="88" t="s">
        <v>3</v>
      </c>
      <c r="B4" s="89"/>
      <c r="C4" s="90"/>
      <c r="D4" s="5" t="s">
        <v>4</v>
      </c>
      <c r="E4" s="6" t="s">
        <v>4</v>
      </c>
      <c r="F4" s="6" t="s">
        <v>4</v>
      </c>
      <c r="G4" s="7" t="s">
        <v>4</v>
      </c>
      <c r="H4" s="5" t="s">
        <v>4</v>
      </c>
      <c r="I4" s="5" t="s">
        <v>4</v>
      </c>
      <c r="J4" s="6" t="s">
        <v>4</v>
      </c>
      <c r="K4" s="7" t="s">
        <v>4</v>
      </c>
      <c r="L4" s="8" t="s">
        <v>4</v>
      </c>
      <c r="M4" s="6" t="s">
        <v>4</v>
      </c>
      <c r="N4" s="6" t="s">
        <v>4</v>
      </c>
      <c r="O4" s="6" t="s">
        <v>4</v>
      </c>
      <c r="P4" s="6" t="s">
        <v>4</v>
      </c>
      <c r="Q4" s="6" t="s">
        <v>4</v>
      </c>
      <c r="R4" s="6" t="s">
        <v>4</v>
      </c>
      <c r="S4" s="6" t="s">
        <v>4</v>
      </c>
      <c r="T4" s="6" t="s">
        <v>4</v>
      </c>
      <c r="U4" s="6" t="s">
        <v>4</v>
      </c>
      <c r="V4" s="9" t="s">
        <v>4</v>
      </c>
      <c r="W4" s="10" t="s">
        <v>5</v>
      </c>
      <c r="X4" s="11" t="s">
        <v>6</v>
      </c>
    </row>
    <row r="5" spans="1:24" ht="21" thickBot="1">
      <c r="A5" s="91"/>
      <c r="B5" s="92"/>
      <c r="C5" s="93"/>
      <c r="D5" s="13" t="s">
        <v>7</v>
      </c>
      <c r="E5" s="14" t="s">
        <v>8</v>
      </c>
      <c r="F5" s="14" t="s">
        <v>9</v>
      </c>
      <c r="G5" s="15" t="s">
        <v>10</v>
      </c>
      <c r="H5" s="13" t="s">
        <v>11</v>
      </c>
      <c r="I5" s="13" t="s">
        <v>12</v>
      </c>
      <c r="J5" s="14" t="s">
        <v>13</v>
      </c>
      <c r="K5" s="15" t="s">
        <v>14</v>
      </c>
      <c r="L5" s="16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4" t="s">
        <v>21</v>
      </c>
      <c r="S5" s="14" t="s">
        <v>22</v>
      </c>
      <c r="T5" s="14" t="s">
        <v>23</v>
      </c>
      <c r="U5" s="14" t="s">
        <v>24</v>
      </c>
      <c r="V5" s="17" t="s">
        <v>25</v>
      </c>
      <c r="W5" s="18" t="s">
        <v>26</v>
      </c>
      <c r="X5" s="19" t="s">
        <v>26</v>
      </c>
    </row>
    <row r="6" spans="1:24" ht="20.5">
      <c r="A6" s="94" t="s">
        <v>41</v>
      </c>
      <c r="B6" s="95"/>
      <c r="C6" s="96"/>
      <c r="D6" s="20">
        <v>0</v>
      </c>
      <c r="E6" s="21">
        <v>0</v>
      </c>
      <c r="F6" s="21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3">
        <v>0</v>
      </c>
      <c r="W6" s="24">
        <v>0</v>
      </c>
      <c r="X6" s="25">
        <f t="shared" ref="X6:X17" si="0">+W6/21</f>
        <v>0</v>
      </c>
    </row>
    <row r="7" spans="1:24" ht="20.5">
      <c r="A7" s="73" t="s">
        <v>42</v>
      </c>
      <c r="B7" s="74"/>
      <c r="C7" s="75"/>
      <c r="D7" s="26">
        <v>0</v>
      </c>
      <c r="E7" s="27">
        <v>0</v>
      </c>
      <c r="F7" s="27">
        <v>2</v>
      </c>
      <c r="G7" s="28">
        <v>4</v>
      </c>
      <c r="H7" s="28">
        <v>4</v>
      </c>
      <c r="I7" s="28">
        <v>4</v>
      </c>
      <c r="J7" s="28">
        <v>12</v>
      </c>
      <c r="K7" s="28">
        <v>2</v>
      </c>
      <c r="L7" s="28">
        <v>50</v>
      </c>
      <c r="M7" s="28">
        <v>11</v>
      </c>
      <c r="N7" s="28">
        <v>0</v>
      </c>
      <c r="O7" s="28">
        <v>10</v>
      </c>
      <c r="P7" s="28">
        <v>30</v>
      </c>
      <c r="Q7" s="28">
        <v>0</v>
      </c>
      <c r="R7" s="28">
        <v>63</v>
      </c>
      <c r="S7" s="28">
        <v>18</v>
      </c>
      <c r="T7" s="28">
        <v>36</v>
      </c>
      <c r="U7" s="28">
        <v>16</v>
      </c>
      <c r="V7" s="28">
        <v>0</v>
      </c>
      <c r="W7" s="29">
        <v>262</v>
      </c>
      <c r="X7" s="30">
        <f>+W7/21</f>
        <v>12.476190476190476</v>
      </c>
    </row>
    <row r="8" spans="1:24" ht="20.5">
      <c r="A8" s="73" t="s">
        <v>43</v>
      </c>
      <c r="B8" s="74"/>
      <c r="C8" s="75"/>
      <c r="D8" s="26">
        <v>5</v>
      </c>
      <c r="E8" s="27">
        <v>0</v>
      </c>
      <c r="F8" s="27">
        <v>7</v>
      </c>
      <c r="G8" s="27">
        <v>7</v>
      </c>
      <c r="H8" s="28">
        <v>5</v>
      </c>
      <c r="I8" s="28">
        <v>5</v>
      </c>
      <c r="J8" s="28">
        <v>4</v>
      </c>
      <c r="K8" s="28">
        <v>5</v>
      </c>
      <c r="L8" s="28">
        <v>5</v>
      </c>
      <c r="M8" s="28">
        <v>12</v>
      </c>
      <c r="N8" s="28">
        <v>18</v>
      </c>
      <c r="O8" s="28">
        <v>6</v>
      </c>
      <c r="P8" s="28">
        <v>0</v>
      </c>
      <c r="Q8" s="28">
        <v>0</v>
      </c>
      <c r="R8" s="28">
        <v>7</v>
      </c>
      <c r="S8" s="28">
        <v>0</v>
      </c>
      <c r="T8" s="28">
        <v>5</v>
      </c>
      <c r="U8" s="28">
        <v>2</v>
      </c>
      <c r="V8" s="31">
        <v>0</v>
      </c>
      <c r="W8" s="29">
        <v>93</v>
      </c>
      <c r="X8" s="30">
        <f t="shared" si="0"/>
        <v>4.4285714285714288</v>
      </c>
    </row>
    <row r="9" spans="1:24" ht="20.5">
      <c r="A9" s="73" t="s">
        <v>44</v>
      </c>
      <c r="B9" s="74"/>
      <c r="C9" s="75"/>
      <c r="D9" s="26">
        <v>0</v>
      </c>
      <c r="E9" s="27">
        <v>0</v>
      </c>
      <c r="F9" s="27">
        <v>0</v>
      </c>
      <c r="G9" s="27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12</v>
      </c>
      <c r="S9" s="28">
        <v>0</v>
      </c>
      <c r="T9" s="28">
        <v>8</v>
      </c>
      <c r="U9" s="28">
        <v>7</v>
      </c>
      <c r="V9" s="28">
        <v>0</v>
      </c>
      <c r="W9" s="29">
        <v>27</v>
      </c>
      <c r="X9" s="30">
        <f t="shared" si="0"/>
        <v>1.2857142857142858</v>
      </c>
    </row>
    <row r="10" spans="1:24" ht="20.5">
      <c r="A10" s="73" t="s">
        <v>45</v>
      </c>
      <c r="B10" s="74"/>
      <c r="C10" s="75"/>
      <c r="D10" s="26">
        <v>122</v>
      </c>
      <c r="E10" s="27">
        <v>118</v>
      </c>
      <c r="F10" s="27">
        <v>61</v>
      </c>
      <c r="G10" s="27">
        <v>202</v>
      </c>
      <c r="H10" s="27">
        <v>228</v>
      </c>
      <c r="I10" s="27">
        <v>228</v>
      </c>
      <c r="J10" s="27">
        <v>154.5</v>
      </c>
      <c r="K10" s="27">
        <v>230</v>
      </c>
      <c r="L10" s="27">
        <v>144</v>
      </c>
      <c r="M10" s="27">
        <v>168</v>
      </c>
      <c r="N10" s="27">
        <v>148</v>
      </c>
      <c r="O10" s="27">
        <v>175</v>
      </c>
      <c r="P10" s="27">
        <v>180</v>
      </c>
      <c r="Q10" s="28">
        <v>131</v>
      </c>
      <c r="R10" s="28">
        <v>83</v>
      </c>
      <c r="S10" s="28">
        <v>71</v>
      </c>
      <c r="T10" s="28">
        <v>78</v>
      </c>
      <c r="U10" s="28">
        <v>55</v>
      </c>
      <c r="V10" s="28">
        <v>124</v>
      </c>
      <c r="W10" s="29">
        <v>2700.5</v>
      </c>
      <c r="X10" s="30">
        <f>+W10/21</f>
        <v>128.5952380952381</v>
      </c>
    </row>
    <row r="11" spans="1:24" ht="20.5">
      <c r="A11" s="73" t="s">
        <v>46</v>
      </c>
      <c r="B11" s="74"/>
      <c r="C11" s="75"/>
      <c r="D11" s="32">
        <v>36</v>
      </c>
      <c r="E11" s="27">
        <v>35</v>
      </c>
      <c r="F11" s="27">
        <v>81</v>
      </c>
      <c r="G11" s="27">
        <v>36</v>
      </c>
      <c r="H11" s="27">
        <v>60</v>
      </c>
      <c r="I11" s="27">
        <v>60</v>
      </c>
      <c r="J11" s="27">
        <v>57</v>
      </c>
      <c r="K11" s="27">
        <v>62</v>
      </c>
      <c r="L11" s="27">
        <v>68</v>
      </c>
      <c r="M11" s="27">
        <v>42</v>
      </c>
      <c r="N11" s="27">
        <v>50</v>
      </c>
      <c r="O11" s="27">
        <v>30</v>
      </c>
      <c r="P11" s="27">
        <v>60</v>
      </c>
      <c r="Q11" s="27">
        <v>65</v>
      </c>
      <c r="R11" s="27">
        <v>5</v>
      </c>
      <c r="S11" s="27">
        <v>0</v>
      </c>
      <c r="T11" s="27">
        <v>0</v>
      </c>
      <c r="U11" s="27">
        <v>6</v>
      </c>
      <c r="V11" s="27">
        <v>55</v>
      </c>
      <c r="W11" s="29">
        <v>808</v>
      </c>
      <c r="X11" s="30">
        <f t="shared" si="0"/>
        <v>38.476190476190474</v>
      </c>
    </row>
    <row r="12" spans="1:24" ht="20.5">
      <c r="A12" s="73" t="s">
        <v>47</v>
      </c>
      <c r="B12" s="74"/>
      <c r="C12" s="75"/>
      <c r="D12" s="32">
        <v>110</v>
      </c>
      <c r="E12" s="27">
        <v>84</v>
      </c>
      <c r="F12" s="27">
        <v>107</v>
      </c>
      <c r="G12" s="27">
        <v>81</v>
      </c>
      <c r="H12" s="27">
        <v>105</v>
      </c>
      <c r="I12" s="27">
        <v>105</v>
      </c>
      <c r="J12" s="27">
        <v>74</v>
      </c>
      <c r="K12" s="27">
        <v>105</v>
      </c>
      <c r="L12" s="27">
        <v>147</v>
      </c>
      <c r="M12" s="27">
        <v>36</v>
      </c>
      <c r="N12" s="27">
        <v>50</v>
      </c>
      <c r="O12" s="27">
        <v>68</v>
      </c>
      <c r="P12" s="27">
        <v>100</v>
      </c>
      <c r="Q12" s="27">
        <v>68</v>
      </c>
      <c r="R12" s="27">
        <v>102</v>
      </c>
      <c r="S12" s="27">
        <v>116</v>
      </c>
      <c r="T12" s="27">
        <v>101</v>
      </c>
      <c r="U12" s="27">
        <v>119</v>
      </c>
      <c r="V12" s="27">
        <v>104</v>
      </c>
      <c r="W12" s="29">
        <v>1782</v>
      </c>
      <c r="X12" s="30">
        <f t="shared" si="0"/>
        <v>84.857142857142861</v>
      </c>
    </row>
    <row r="13" spans="1:24" ht="20.5">
      <c r="A13" s="73" t="s">
        <v>48</v>
      </c>
      <c r="B13" s="74"/>
      <c r="C13" s="75"/>
      <c r="D13" s="26">
        <v>68</v>
      </c>
      <c r="E13" s="26">
        <v>59</v>
      </c>
      <c r="F13" s="26">
        <v>95</v>
      </c>
      <c r="G13" s="26">
        <v>56</v>
      </c>
      <c r="H13" s="27">
        <v>73</v>
      </c>
      <c r="I13" s="27">
        <v>77</v>
      </c>
      <c r="J13" s="27">
        <v>64</v>
      </c>
      <c r="K13" s="27">
        <v>76</v>
      </c>
      <c r="L13" s="27">
        <v>97</v>
      </c>
      <c r="M13" s="27">
        <v>65</v>
      </c>
      <c r="N13" s="27">
        <v>60</v>
      </c>
      <c r="O13" s="27">
        <v>59</v>
      </c>
      <c r="P13" s="27">
        <v>105</v>
      </c>
      <c r="Q13" s="27">
        <v>76</v>
      </c>
      <c r="R13" s="27">
        <v>30</v>
      </c>
      <c r="S13" s="27">
        <v>45</v>
      </c>
      <c r="T13" s="27">
        <v>40</v>
      </c>
      <c r="U13" s="27">
        <v>31</v>
      </c>
      <c r="V13" s="27">
        <v>74</v>
      </c>
      <c r="W13" s="29">
        <v>1250</v>
      </c>
      <c r="X13" s="30">
        <f t="shared" si="0"/>
        <v>59.523809523809526</v>
      </c>
    </row>
    <row r="14" spans="1:24" ht="20.5">
      <c r="A14" s="73" t="s">
        <v>49</v>
      </c>
      <c r="B14" s="74"/>
      <c r="C14" s="75"/>
      <c r="D14" s="26">
        <v>189</v>
      </c>
      <c r="E14" s="27">
        <v>197</v>
      </c>
      <c r="F14" s="27">
        <v>214</v>
      </c>
      <c r="G14" s="27">
        <v>230</v>
      </c>
      <c r="H14" s="28">
        <v>371</v>
      </c>
      <c r="I14" s="28">
        <v>371</v>
      </c>
      <c r="J14" s="28">
        <v>313</v>
      </c>
      <c r="K14" s="28">
        <v>282</v>
      </c>
      <c r="L14" s="28">
        <v>153</v>
      </c>
      <c r="M14" s="28">
        <v>258</v>
      </c>
      <c r="N14" s="28">
        <v>190</v>
      </c>
      <c r="O14" s="28">
        <v>180</v>
      </c>
      <c r="P14" s="28">
        <v>195</v>
      </c>
      <c r="Q14" s="28">
        <v>263</v>
      </c>
      <c r="R14" s="28">
        <v>151</v>
      </c>
      <c r="S14" s="28">
        <v>198</v>
      </c>
      <c r="T14" s="28">
        <v>147</v>
      </c>
      <c r="U14" s="28">
        <v>110</v>
      </c>
      <c r="V14" s="28">
        <v>200</v>
      </c>
      <c r="W14" s="29">
        <v>4212</v>
      </c>
      <c r="X14" s="30">
        <f t="shared" si="0"/>
        <v>200.57142857142858</v>
      </c>
    </row>
    <row r="15" spans="1:24" ht="20.5">
      <c r="A15" s="73" t="s">
        <v>50</v>
      </c>
      <c r="B15" s="74"/>
      <c r="C15" s="75"/>
      <c r="D15" s="26">
        <v>133</v>
      </c>
      <c r="E15" s="27">
        <v>126</v>
      </c>
      <c r="F15" s="27">
        <v>147</v>
      </c>
      <c r="G15" s="27">
        <v>124</v>
      </c>
      <c r="H15" s="27">
        <v>104</v>
      </c>
      <c r="I15" s="27">
        <v>104</v>
      </c>
      <c r="J15" s="27">
        <v>125</v>
      </c>
      <c r="K15" s="27">
        <v>104</v>
      </c>
      <c r="L15" s="27">
        <v>199</v>
      </c>
      <c r="M15" s="27">
        <v>169</v>
      </c>
      <c r="N15" s="27">
        <v>135</v>
      </c>
      <c r="O15" s="27">
        <v>169</v>
      </c>
      <c r="P15" s="27">
        <v>155</v>
      </c>
      <c r="Q15" s="27">
        <v>137</v>
      </c>
      <c r="R15" s="27">
        <v>175</v>
      </c>
      <c r="S15" s="27">
        <v>192</v>
      </c>
      <c r="T15" s="27">
        <v>165</v>
      </c>
      <c r="U15" s="27">
        <v>130</v>
      </c>
      <c r="V15" s="27">
        <v>118</v>
      </c>
      <c r="W15" s="29">
        <v>2711</v>
      </c>
      <c r="X15" s="30">
        <f t="shared" si="0"/>
        <v>129.0952380952381</v>
      </c>
    </row>
    <row r="16" spans="1:24" ht="20.5">
      <c r="A16" s="73" t="s">
        <v>51</v>
      </c>
      <c r="B16" s="74"/>
      <c r="C16" s="75"/>
      <c r="D16" s="32">
        <v>21</v>
      </c>
      <c r="E16" s="27">
        <v>24</v>
      </c>
      <c r="F16" s="27">
        <v>38</v>
      </c>
      <c r="G16" s="27">
        <v>39</v>
      </c>
      <c r="H16" s="27">
        <v>39</v>
      </c>
      <c r="I16" s="27">
        <v>39</v>
      </c>
      <c r="J16" s="27">
        <v>29</v>
      </c>
      <c r="K16" s="27">
        <v>32</v>
      </c>
      <c r="L16" s="27">
        <v>93</v>
      </c>
      <c r="M16" s="27">
        <v>83</v>
      </c>
      <c r="N16" s="27">
        <v>36</v>
      </c>
      <c r="O16" s="27">
        <v>63</v>
      </c>
      <c r="P16" s="27">
        <v>100</v>
      </c>
      <c r="Q16" s="27">
        <v>41</v>
      </c>
      <c r="R16" s="27">
        <v>98</v>
      </c>
      <c r="S16" s="27">
        <v>76</v>
      </c>
      <c r="T16" s="27">
        <v>95</v>
      </c>
      <c r="U16" s="27">
        <v>48</v>
      </c>
      <c r="V16" s="27">
        <v>60</v>
      </c>
      <c r="W16" s="29">
        <v>1054</v>
      </c>
      <c r="X16" s="30">
        <f t="shared" si="0"/>
        <v>50.19047619047619</v>
      </c>
    </row>
    <row r="17" spans="1:24" ht="21" thickBot="1">
      <c r="A17" s="73" t="s">
        <v>52</v>
      </c>
      <c r="B17" s="74"/>
      <c r="C17" s="75"/>
      <c r="D17" s="32">
        <v>6</v>
      </c>
      <c r="E17" s="27">
        <v>5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2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10</v>
      </c>
      <c r="S17" s="27">
        <v>20</v>
      </c>
      <c r="T17" s="27">
        <v>8</v>
      </c>
      <c r="U17" s="27">
        <v>6</v>
      </c>
      <c r="V17" s="27">
        <v>0</v>
      </c>
      <c r="W17" s="29">
        <v>57</v>
      </c>
      <c r="X17" s="30">
        <f t="shared" si="0"/>
        <v>2.7142857142857144</v>
      </c>
    </row>
    <row r="18" spans="1:24" ht="21" thickBot="1">
      <c r="A18" s="76" t="s">
        <v>5</v>
      </c>
      <c r="B18" s="77"/>
      <c r="C18" s="78"/>
      <c r="D18" s="33">
        <f>SUM(D6:D17)</f>
        <v>690</v>
      </c>
      <c r="E18" s="34">
        <f>SUM(E6:E17)</f>
        <v>648</v>
      </c>
      <c r="F18" s="34">
        <f t="shared" ref="F18:V18" si="1">SUM(F6:F17)</f>
        <v>752</v>
      </c>
      <c r="G18" s="34">
        <f t="shared" si="1"/>
        <v>779</v>
      </c>
      <c r="H18" s="34">
        <f t="shared" si="1"/>
        <v>989</v>
      </c>
      <c r="I18" s="34">
        <f t="shared" si="1"/>
        <v>993</v>
      </c>
      <c r="J18" s="34">
        <f t="shared" si="1"/>
        <v>832.5</v>
      </c>
      <c r="K18" s="34">
        <f t="shared" si="1"/>
        <v>900</v>
      </c>
      <c r="L18" s="34">
        <f t="shared" si="1"/>
        <v>956</v>
      </c>
      <c r="M18" s="34">
        <f t="shared" si="1"/>
        <v>844</v>
      </c>
      <c r="N18" s="34">
        <f t="shared" si="1"/>
        <v>687</v>
      </c>
      <c r="O18" s="34">
        <f t="shared" si="1"/>
        <v>760</v>
      </c>
      <c r="P18" s="34">
        <f t="shared" si="1"/>
        <v>925</v>
      </c>
      <c r="Q18" s="34">
        <f t="shared" si="1"/>
        <v>781</v>
      </c>
      <c r="R18" s="34">
        <f t="shared" si="1"/>
        <v>736</v>
      </c>
      <c r="S18" s="34">
        <f t="shared" si="1"/>
        <v>736</v>
      </c>
      <c r="T18" s="34">
        <f t="shared" si="1"/>
        <v>683</v>
      </c>
      <c r="U18" s="34">
        <f t="shared" si="1"/>
        <v>530</v>
      </c>
      <c r="V18" s="34">
        <f t="shared" si="1"/>
        <v>735</v>
      </c>
      <c r="W18" s="34">
        <f>SUM(W6:W10)</f>
        <v>3082.5</v>
      </c>
      <c r="X18" s="35">
        <f>SUM(X6:X17)</f>
        <v>712.21428571428555</v>
      </c>
    </row>
    <row r="19" spans="1:24" ht="20.5">
      <c r="A19" s="36"/>
      <c r="B19" s="36"/>
      <c r="C19" s="36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8"/>
      <c r="X19" s="39"/>
    </row>
  </sheetData>
  <mergeCells count="17">
    <mergeCell ref="A13:C13"/>
    <mergeCell ref="A1:X1"/>
    <mergeCell ref="A2:X2"/>
    <mergeCell ref="A3:X3"/>
    <mergeCell ref="A4:C5"/>
    <mergeCell ref="A6:C6"/>
    <mergeCell ref="A7:C7"/>
    <mergeCell ref="A8:C8"/>
    <mergeCell ref="A9:C9"/>
    <mergeCell ref="A10:C10"/>
    <mergeCell ref="A11:C11"/>
    <mergeCell ref="A12:C12"/>
    <mergeCell ref="A14:C14"/>
    <mergeCell ref="A15:C15"/>
    <mergeCell ref="A16:C16"/>
    <mergeCell ref="A17:C17"/>
    <mergeCell ref="A18:C1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zoomScale="80" zoomScaleNormal="80" workbookViewId="0">
      <selection activeCell="I21" sqref="I21"/>
    </sheetView>
  </sheetViews>
  <sheetFormatPr defaultColWidth="13" defaultRowHeight="14.5"/>
  <cols>
    <col min="1" max="1" width="6.1796875" customWidth="1"/>
    <col min="2" max="2" width="5.7265625" customWidth="1"/>
    <col min="3" max="3" width="4.453125" customWidth="1"/>
    <col min="11" max="11" width="0" hidden="1" customWidth="1"/>
    <col min="17" max="17" width="10" customWidth="1"/>
    <col min="18" max="19" width="10.90625" customWidth="1"/>
    <col min="20" max="20" width="10.1796875" customWidth="1"/>
    <col min="21" max="21" width="10.36328125" customWidth="1"/>
    <col min="22" max="22" width="10.6328125" customWidth="1"/>
    <col min="23" max="23" width="9.54296875" customWidth="1"/>
    <col min="24" max="24" width="10.453125" customWidth="1"/>
  </cols>
  <sheetData>
    <row r="1" spans="1:24" ht="20.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1"/>
    </row>
    <row r="2" spans="1:24" ht="20.5">
      <c r="A2" s="82" t="s">
        <v>53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4"/>
    </row>
    <row r="3" spans="1:24" ht="22" thickBot="1">
      <c r="A3" s="85" t="s">
        <v>2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</row>
    <row r="4" spans="1:24" ht="20.5">
      <c r="A4" s="88" t="s">
        <v>3</v>
      </c>
      <c r="B4" s="89"/>
      <c r="C4" s="90"/>
      <c r="D4" s="40" t="s">
        <v>4</v>
      </c>
      <c r="E4" s="41" t="s">
        <v>4</v>
      </c>
      <c r="F4" s="41" t="s">
        <v>4</v>
      </c>
      <c r="G4" s="42" t="s">
        <v>4</v>
      </c>
      <c r="H4" s="43" t="s">
        <v>4</v>
      </c>
      <c r="I4" s="43" t="s">
        <v>4</v>
      </c>
      <c r="J4" s="44" t="s">
        <v>4</v>
      </c>
      <c r="K4" s="44" t="s">
        <v>4</v>
      </c>
      <c r="L4" s="45" t="s">
        <v>4</v>
      </c>
      <c r="M4" s="46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8" t="s">
        <v>4</v>
      </c>
      <c r="S4" s="48" t="s">
        <v>4</v>
      </c>
      <c r="T4" s="48" t="s">
        <v>4</v>
      </c>
      <c r="U4" s="48" t="s">
        <v>4</v>
      </c>
      <c r="V4" s="49" t="s">
        <v>4</v>
      </c>
      <c r="W4" s="10" t="s">
        <v>5</v>
      </c>
      <c r="X4" s="11" t="s">
        <v>6</v>
      </c>
    </row>
    <row r="5" spans="1:24" ht="21" thickBot="1">
      <c r="A5" s="91"/>
      <c r="B5" s="92"/>
      <c r="C5" s="93"/>
      <c r="D5" s="50" t="s">
        <v>7</v>
      </c>
      <c r="E5" s="51" t="s">
        <v>8</v>
      </c>
      <c r="F5" s="51" t="s">
        <v>9</v>
      </c>
      <c r="G5" s="52" t="s">
        <v>10</v>
      </c>
      <c r="H5" s="53" t="s">
        <v>11</v>
      </c>
      <c r="I5" s="53" t="s">
        <v>12</v>
      </c>
      <c r="J5" s="54" t="s">
        <v>13</v>
      </c>
      <c r="K5" s="54" t="s">
        <v>40</v>
      </c>
      <c r="L5" s="55" t="s">
        <v>14</v>
      </c>
      <c r="M5" s="56" t="s">
        <v>15</v>
      </c>
      <c r="N5" s="57" t="s">
        <v>16</v>
      </c>
      <c r="O5" s="57" t="s">
        <v>17</v>
      </c>
      <c r="P5" s="57" t="s">
        <v>18</v>
      </c>
      <c r="Q5" s="58" t="s">
        <v>19</v>
      </c>
      <c r="R5" s="58" t="s">
        <v>21</v>
      </c>
      <c r="S5" s="58" t="s">
        <v>22</v>
      </c>
      <c r="T5" s="58" t="s">
        <v>23</v>
      </c>
      <c r="U5" s="58" t="s">
        <v>24</v>
      </c>
      <c r="V5" s="59" t="s">
        <v>25</v>
      </c>
      <c r="W5" s="18" t="s">
        <v>26</v>
      </c>
      <c r="X5" s="19" t="s">
        <v>26</v>
      </c>
    </row>
    <row r="6" spans="1:24" ht="20.5">
      <c r="A6" s="94" t="s">
        <v>54</v>
      </c>
      <c r="B6" s="95"/>
      <c r="C6" s="96"/>
      <c r="D6" s="20">
        <v>10</v>
      </c>
      <c r="E6" s="21">
        <v>8</v>
      </c>
      <c r="F6" s="21">
        <v>2</v>
      </c>
      <c r="G6" s="22">
        <v>15</v>
      </c>
      <c r="H6" s="22">
        <v>6</v>
      </c>
      <c r="I6" s="22">
        <v>6</v>
      </c>
      <c r="J6" s="22">
        <v>0</v>
      </c>
      <c r="K6" s="22">
        <v>0</v>
      </c>
      <c r="L6" s="22">
        <v>6</v>
      </c>
      <c r="M6" s="22">
        <v>5</v>
      </c>
      <c r="N6" s="22">
        <v>5</v>
      </c>
      <c r="O6" s="22">
        <v>9</v>
      </c>
      <c r="P6" s="22">
        <v>0</v>
      </c>
      <c r="Q6" s="22">
        <v>10</v>
      </c>
      <c r="R6" s="22">
        <v>14</v>
      </c>
      <c r="S6" s="22">
        <v>29</v>
      </c>
      <c r="T6" s="22">
        <v>27</v>
      </c>
      <c r="U6" s="22">
        <v>9</v>
      </c>
      <c r="V6" s="23">
        <v>25</v>
      </c>
      <c r="W6" s="24">
        <v>186</v>
      </c>
      <c r="X6" s="25">
        <f t="shared" ref="X6:X17" si="0">+W6/21</f>
        <v>8.8571428571428577</v>
      </c>
    </row>
    <row r="7" spans="1:24" ht="20.5">
      <c r="A7" s="73" t="s">
        <v>55</v>
      </c>
      <c r="B7" s="74"/>
      <c r="C7" s="75"/>
      <c r="D7" s="26">
        <v>69</v>
      </c>
      <c r="E7" s="27">
        <v>62</v>
      </c>
      <c r="F7" s="27">
        <v>26</v>
      </c>
      <c r="G7" s="28">
        <v>55</v>
      </c>
      <c r="H7" s="28">
        <v>44</v>
      </c>
      <c r="I7" s="28">
        <v>44</v>
      </c>
      <c r="J7" s="28">
        <v>56</v>
      </c>
      <c r="K7" s="28">
        <v>0</v>
      </c>
      <c r="L7" s="28">
        <v>50</v>
      </c>
      <c r="M7" s="28">
        <v>69</v>
      </c>
      <c r="N7" s="28">
        <v>76</v>
      </c>
      <c r="O7" s="28">
        <v>120</v>
      </c>
      <c r="P7" s="28">
        <v>80</v>
      </c>
      <c r="Q7" s="28">
        <v>77</v>
      </c>
      <c r="R7" s="28">
        <v>145</v>
      </c>
      <c r="S7" s="28">
        <v>140</v>
      </c>
      <c r="T7" s="28">
        <v>157</v>
      </c>
      <c r="U7" s="28">
        <v>146</v>
      </c>
      <c r="V7" s="28">
        <v>59</v>
      </c>
      <c r="W7" s="29">
        <v>1475</v>
      </c>
      <c r="X7" s="30">
        <f>+W7/21</f>
        <v>70.238095238095241</v>
      </c>
    </row>
    <row r="8" spans="1:24" ht="20.5">
      <c r="A8" s="73" t="s">
        <v>56</v>
      </c>
      <c r="B8" s="74"/>
      <c r="C8" s="75"/>
      <c r="D8" s="26">
        <v>87</v>
      </c>
      <c r="E8" s="27">
        <v>84</v>
      </c>
      <c r="F8" s="27">
        <v>85</v>
      </c>
      <c r="G8" s="27">
        <v>84</v>
      </c>
      <c r="H8" s="28">
        <v>72</v>
      </c>
      <c r="I8" s="28">
        <v>72</v>
      </c>
      <c r="J8" s="28">
        <v>140</v>
      </c>
      <c r="K8" s="28">
        <v>0</v>
      </c>
      <c r="L8" s="28">
        <v>82</v>
      </c>
      <c r="M8" s="28">
        <v>138</v>
      </c>
      <c r="N8" s="28">
        <v>85</v>
      </c>
      <c r="O8" s="28">
        <v>78</v>
      </c>
      <c r="P8" s="28">
        <v>96</v>
      </c>
      <c r="Q8" s="28">
        <v>53</v>
      </c>
      <c r="R8" s="28">
        <v>106</v>
      </c>
      <c r="S8" s="28">
        <v>110</v>
      </c>
      <c r="T8" s="28">
        <v>126</v>
      </c>
      <c r="U8" s="28">
        <v>184</v>
      </c>
      <c r="V8" s="31">
        <v>74</v>
      </c>
      <c r="W8" s="29">
        <v>1756</v>
      </c>
      <c r="X8" s="30">
        <f t="shared" si="0"/>
        <v>83.61904761904762</v>
      </c>
    </row>
    <row r="9" spans="1:24" ht="20.5">
      <c r="A9" s="73" t="s">
        <v>57</v>
      </c>
      <c r="B9" s="74"/>
      <c r="C9" s="75"/>
      <c r="D9" s="26">
        <v>115</v>
      </c>
      <c r="E9" s="27">
        <v>115</v>
      </c>
      <c r="F9" s="27">
        <v>85</v>
      </c>
      <c r="G9" s="27">
        <v>110</v>
      </c>
      <c r="H9" s="28">
        <v>70</v>
      </c>
      <c r="I9" s="28">
        <v>70</v>
      </c>
      <c r="J9" s="28">
        <v>52</v>
      </c>
      <c r="K9" s="28">
        <v>0</v>
      </c>
      <c r="L9" s="28">
        <v>108</v>
      </c>
      <c r="M9" s="28">
        <v>85</v>
      </c>
      <c r="N9" s="28">
        <v>60</v>
      </c>
      <c r="O9" s="28">
        <v>62</v>
      </c>
      <c r="P9" s="28">
        <v>75</v>
      </c>
      <c r="Q9" s="28">
        <v>47</v>
      </c>
      <c r="R9" s="28">
        <v>54</v>
      </c>
      <c r="S9" s="28">
        <v>55</v>
      </c>
      <c r="T9" s="28">
        <v>61</v>
      </c>
      <c r="U9" s="28">
        <v>58</v>
      </c>
      <c r="V9" s="28">
        <v>58</v>
      </c>
      <c r="W9" s="29">
        <v>1340</v>
      </c>
      <c r="X9" s="30">
        <f t="shared" si="0"/>
        <v>63.80952380952381</v>
      </c>
    </row>
    <row r="10" spans="1:24" ht="20.5">
      <c r="A10" s="73" t="s">
        <v>58</v>
      </c>
      <c r="B10" s="74"/>
      <c r="C10" s="75"/>
      <c r="D10" s="26">
        <v>151</v>
      </c>
      <c r="E10" s="27">
        <v>152</v>
      </c>
      <c r="F10" s="27">
        <v>187</v>
      </c>
      <c r="G10" s="27">
        <v>122</v>
      </c>
      <c r="H10" s="27">
        <v>166</v>
      </c>
      <c r="I10" s="27">
        <v>166</v>
      </c>
      <c r="J10" s="27">
        <v>177</v>
      </c>
      <c r="K10" s="27">
        <v>0</v>
      </c>
      <c r="L10" s="27">
        <v>175</v>
      </c>
      <c r="M10" s="27">
        <v>120</v>
      </c>
      <c r="N10" s="27">
        <v>105</v>
      </c>
      <c r="O10" s="27">
        <v>112</v>
      </c>
      <c r="P10" s="27">
        <v>131</v>
      </c>
      <c r="Q10" s="27">
        <v>157</v>
      </c>
      <c r="R10" s="28">
        <v>109</v>
      </c>
      <c r="S10" s="28">
        <v>129</v>
      </c>
      <c r="T10" s="28">
        <v>126</v>
      </c>
      <c r="U10" s="28">
        <v>90</v>
      </c>
      <c r="V10" s="28">
        <v>107</v>
      </c>
      <c r="W10" s="29">
        <v>2482</v>
      </c>
      <c r="X10" s="30">
        <f t="shared" si="0"/>
        <v>118.19047619047619</v>
      </c>
    </row>
    <row r="11" spans="1:24" ht="20.5">
      <c r="A11" s="73" t="s">
        <v>59</v>
      </c>
      <c r="B11" s="74"/>
      <c r="C11" s="75"/>
      <c r="D11" s="32">
        <v>142</v>
      </c>
      <c r="E11" s="27">
        <v>106</v>
      </c>
      <c r="F11" s="27">
        <v>130</v>
      </c>
      <c r="G11" s="27">
        <v>92</v>
      </c>
      <c r="H11" s="27">
        <v>94</v>
      </c>
      <c r="I11" s="27">
        <v>94</v>
      </c>
      <c r="J11" s="27">
        <v>105</v>
      </c>
      <c r="K11" s="27">
        <v>0</v>
      </c>
      <c r="L11" s="27">
        <v>107</v>
      </c>
      <c r="M11" s="27">
        <v>175</v>
      </c>
      <c r="N11" s="27">
        <v>160</v>
      </c>
      <c r="O11" s="27">
        <v>180</v>
      </c>
      <c r="P11" s="27">
        <v>192</v>
      </c>
      <c r="Q11" s="27">
        <v>286</v>
      </c>
      <c r="R11" s="27">
        <v>86</v>
      </c>
      <c r="S11" s="27">
        <v>94</v>
      </c>
      <c r="T11" s="27">
        <v>95</v>
      </c>
      <c r="U11" s="27">
        <v>90</v>
      </c>
      <c r="V11" s="27">
        <v>167</v>
      </c>
      <c r="W11" s="29">
        <v>2395</v>
      </c>
      <c r="X11" s="30">
        <f t="shared" si="0"/>
        <v>114.04761904761905</v>
      </c>
    </row>
    <row r="12" spans="1:24" ht="20.5">
      <c r="A12" s="73" t="s">
        <v>60</v>
      </c>
      <c r="B12" s="74"/>
      <c r="C12" s="75"/>
      <c r="D12" s="32">
        <v>70</v>
      </c>
      <c r="E12" s="27">
        <v>70</v>
      </c>
      <c r="F12" s="27">
        <v>106</v>
      </c>
      <c r="G12" s="27">
        <v>77</v>
      </c>
      <c r="H12" s="27">
        <v>145</v>
      </c>
      <c r="I12" s="27">
        <v>145</v>
      </c>
      <c r="J12" s="27">
        <v>120</v>
      </c>
      <c r="K12" s="27">
        <v>0</v>
      </c>
      <c r="L12" s="27">
        <v>126</v>
      </c>
      <c r="M12" s="27">
        <v>152</v>
      </c>
      <c r="N12" s="27">
        <v>170</v>
      </c>
      <c r="O12" s="27">
        <v>155</v>
      </c>
      <c r="P12" s="27">
        <v>144</v>
      </c>
      <c r="Q12" s="27">
        <v>154</v>
      </c>
      <c r="R12" s="27">
        <v>56</v>
      </c>
      <c r="S12" s="27">
        <v>88</v>
      </c>
      <c r="T12" s="27">
        <v>70</v>
      </c>
      <c r="U12" s="27">
        <v>59</v>
      </c>
      <c r="V12" s="27">
        <v>107</v>
      </c>
      <c r="W12" s="29">
        <v>2014</v>
      </c>
      <c r="X12" s="30">
        <f t="shared" si="0"/>
        <v>95.904761904761898</v>
      </c>
    </row>
    <row r="13" spans="1:24" ht="20.5">
      <c r="A13" s="73" t="s">
        <v>61</v>
      </c>
      <c r="B13" s="74"/>
      <c r="C13" s="75"/>
      <c r="D13" s="26">
        <v>98</v>
      </c>
      <c r="E13" s="26">
        <v>101</v>
      </c>
      <c r="F13" s="26">
        <v>221</v>
      </c>
      <c r="G13" s="26">
        <v>111</v>
      </c>
      <c r="H13" s="27">
        <v>106</v>
      </c>
      <c r="I13" s="27">
        <v>106</v>
      </c>
      <c r="J13" s="27">
        <v>105</v>
      </c>
      <c r="K13" s="27">
        <v>0</v>
      </c>
      <c r="L13" s="27">
        <v>112</v>
      </c>
      <c r="M13" s="27">
        <v>53</v>
      </c>
      <c r="N13" s="27">
        <v>65</v>
      </c>
      <c r="O13" s="27">
        <v>100</v>
      </c>
      <c r="P13" s="27">
        <v>66</v>
      </c>
      <c r="Q13" s="27">
        <v>77</v>
      </c>
      <c r="R13" s="27">
        <v>114</v>
      </c>
      <c r="S13" s="27">
        <v>101</v>
      </c>
      <c r="T13" s="27">
        <v>108</v>
      </c>
      <c r="U13" s="27">
        <v>73</v>
      </c>
      <c r="V13" s="27">
        <v>45</v>
      </c>
      <c r="W13" s="29">
        <v>1762</v>
      </c>
      <c r="X13" s="30">
        <f t="shared" si="0"/>
        <v>83.904761904761898</v>
      </c>
    </row>
    <row r="14" spans="1:24" ht="20.5">
      <c r="A14" s="73" t="s">
        <v>62</v>
      </c>
      <c r="B14" s="74"/>
      <c r="C14" s="75"/>
      <c r="D14" s="26">
        <v>257</v>
      </c>
      <c r="E14" s="27">
        <v>246</v>
      </c>
      <c r="F14" s="27">
        <v>318</v>
      </c>
      <c r="G14" s="27">
        <v>217</v>
      </c>
      <c r="H14" s="28">
        <v>397</v>
      </c>
      <c r="I14" s="28">
        <v>397</v>
      </c>
      <c r="J14" s="28">
        <v>408</v>
      </c>
      <c r="K14" s="28">
        <v>0</v>
      </c>
      <c r="L14" s="28">
        <v>287</v>
      </c>
      <c r="M14" s="28">
        <v>287</v>
      </c>
      <c r="N14" s="28">
        <v>438</v>
      </c>
      <c r="O14" s="28">
        <v>383</v>
      </c>
      <c r="P14" s="28">
        <v>365</v>
      </c>
      <c r="Q14" s="28">
        <v>409</v>
      </c>
      <c r="R14" s="28">
        <v>136</v>
      </c>
      <c r="S14" s="28">
        <v>157</v>
      </c>
      <c r="T14" s="28">
        <v>133</v>
      </c>
      <c r="U14" s="28">
        <v>145</v>
      </c>
      <c r="V14" s="28">
        <v>256</v>
      </c>
      <c r="W14" s="29">
        <v>5236</v>
      </c>
      <c r="X14" s="30">
        <f t="shared" si="0"/>
        <v>249.33333333333334</v>
      </c>
    </row>
    <row r="15" spans="1:24" ht="20.5">
      <c r="A15" s="73" t="s">
        <v>63</v>
      </c>
      <c r="B15" s="74"/>
      <c r="C15" s="75"/>
      <c r="D15" s="26">
        <v>156</v>
      </c>
      <c r="E15" s="27">
        <v>158</v>
      </c>
      <c r="F15" s="27">
        <v>165</v>
      </c>
      <c r="G15" s="27">
        <v>136</v>
      </c>
      <c r="H15" s="27">
        <v>171</v>
      </c>
      <c r="I15" s="27">
        <v>171</v>
      </c>
      <c r="J15" s="27">
        <v>184</v>
      </c>
      <c r="K15" s="27">
        <v>0</v>
      </c>
      <c r="L15" s="27">
        <v>151</v>
      </c>
      <c r="M15" s="27">
        <v>139</v>
      </c>
      <c r="N15" s="27">
        <v>154</v>
      </c>
      <c r="O15" s="27">
        <v>134</v>
      </c>
      <c r="P15" s="27">
        <v>156</v>
      </c>
      <c r="Q15" s="27">
        <v>120</v>
      </c>
      <c r="R15" s="27">
        <v>226</v>
      </c>
      <c r="S15" s="27">
        <v>266</v>
      </c>
      <c r="T15" s="27">
        <v>236</v>
      </c>
      <c r="U15" s="27">
        <v>171</v>
      </c>
      <c r="V15" s="27">
        <v>63</v>
      </c>
      <c r="W15" s="29">
        <v>2957</v>
      </c>
      <c r="X15" s="30">
        <f t="shared" si="0"/>
        <v>140.8095238095238</v>
      </c>
    </row>
    <row r="16" spans="1:24" ht="20.5">
      <c r="A16" s="73" t="s">
        <v>64</v>
      </c>
      <c r="B16" s="74"/>
      <c r="C16" s="75"/>
      <c r="D16" s="32">
        <v>88</v>
      </c>
      <c r="E16" s="27">
        <v>93</v>
      </c>
      <c r="F16" s="27">
        <v>70</v>
      </c>
      <c r="G16" s="27">
        <v>64</v>
      </c>
      <c r="H16" s="27">
        <v>117</v>
      </c>
      <c r="I16" s="27">
        <v>117</v>
      </c>
      <c r="J16" s="27">
        <v>158</v>
      </c>
      <c r="K16" s="27">
        <v>0</v>
      </c>
      <c r="L16" s="27">
        <v>94</v>
      </c>
      <c r="M16" s="27">
        <v>59</v>
      </c>
      <c r="N16" s="27">
        <v>73</v>
      </c>
      <c r="O16" s="27">
        <v>49</v>
      </c>
      <c r="P16" s="27">
        <v>46</v>
      </c>
      <c r="Q16" s="27">
        <v>55</v>
      </c>
      <c r="R16" s="27">
        <v>102</v>
      </c>
      <c r="S16" s="27">
        <v>110</v>
      </c>
      <c r="T16" s="27">
        <v>104</v>
      </c>
      <c r="U16" s="27">
        <v>59</v>
      </c>
      <c r="V16" s="27">
        <v>36</v>
      </c>
      <c r="W16" s="29">
        <v>1494</v>
      </c>
      <c r="X16" s="30">
        <f t="shared" si="0"/>
        <v>71.142857142857139</v>
      </c>
    </row>
    <row r="17" spans="1:24" ht="21" thickBot="1">
      <c r="A17" s="73" t="s">
        <v>65</v>
      </c>
      <c r="B17" s="74"/>
      <c r="C17" s="75"/>
      <c r="D17" s="32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8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9">
        <v>8</v>
      </c>
      <c r="X17" s="30">
        <f t="shared" si="0"/>
        <v>0.38095238095238093</v>
      </c>
    </row>
    <row r="18" spans="1:24" ht="21" thickBot="1">
      <c r="A18" s="76" t="s">
        <v>5</v>
      </c>
      <c r="B18" s="77"/>
      <c r="C18" s="78"/>
      <c r="D18" s="60">
        <f>SUM(D6:D17)</f>
        <v>1243</v>
      </c>
      <c r="E18" s="61">
        <f t="shared" ref="E18:R18" si="1">SUM(E6:E17)</f>
        <v>1195</v>
      </c>
      <c r="F18" s="62">
        <f>SUM(F6:F17)</f>
        <v>1395</v>
      </c>
      <c r="G18" s="63">
        <f t="shared" si="1"/>
        <v>1083</v>
      </c>
      <c r="H18" s="63">
        <f t="shared" si="1"/>
        <v>1388</v>
      </c>
      <c r="I18" s="63">
        <f t="shared" si="1"/>
        <v>1388</v>
      </c>
      <c r="J18" s="63">
        <f t="shared" si="1"/>
        <v>1513</v>
      </c>
      <c r="K18" s="63">
        <f t="shared" si="1"/>
        <v>0</v>
      </c>
      <c r="L18" s="63">
        <f t="shared" si="1"/>
        <v>1298</v>
      </c>
      <c r="M18" s="63">
        <f t="shared" si="1"/>
        <v>1282</v>
      </c>
      <c r="N18" s="63">
        <f t="shared" si="1"/>
        <v>1391</v>
      </c>
      <c r="O18" s="63">
        <f t="shared" si="1"/>
        <v>1382</v>
      </c>
      <c r="P18" s="63">
        <f>SUM(P6:P17)</f>
        <v>1351</v>
      </c>
      <c r="Q18" s="63">
        <f t="shared" si="1"/>
        <v>1445</v>
      </c>
      <c r="R18" s="63">
        <f t="shared" si="1"/>
        <v>1148</v>
      </c>
      <c r="S18" s="63">
        <f t="shared" ref="S18:X18" si="2">SUM(S6:S17)</f>
        <v>1279</v>
      </c>
      <c r="T18" s="63">
        <f t="shared" si="2"/>
        <v>1243</v>
      </c>
      <c r="U18" s="63">
        <f t="shared" si="2"/>
        <v>1084</v>
      </c>
      <c r="V18" s="64">
        <f t="shared" si="2"/>
        <v>997</v>
      </c>
      <c r="W18" s="65">
        <f t="shared" si="2"/>
        <v>23105</v>
      </c>
      <c r="X18" s="66">
        <f t="shared" si="2"/>
        <v>1100.2380952380952</v>
      </c>
    </row>
    <row r="19" spans="1:24" ht="20.5">
      <c r="A19" s="36"/>
      <c r="B19" s="36"/>
      <c r="C19" s="36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8"/>
      <c r="X19" s="39"/>
    </row>
  </sheetData>
  <mergeCells count="17">
    <mergeCell ref="A13:C13"/>
    <mergeCell ref="A1:X1"/>
    <mergeCell ref="A2:X2"/>
    <mergeCell ref="A3:X3"/>
    <mergeCell ref="A4:C5"/>
    <mergeCell ref="A6:C6"/>
    <mergeCell ref="A7:C7"/>
    <mergeCell ref="A8:C8"/>
    <mergeCell ref="A9:C9"/>
    <mergeCell ref="A10:C10"/>
    <mergeCell ref="A11:C11"/>
    <mergeCell ref="A12:C12"/>
    <mergeCell ref="A14:C14"/>
    <mergeCell ref="A15:C15"/>
    <mergeCell ref="A16:C16"/>
    <mergeCell ref="A17:C17"/>
    <mergeCell ref="A18:C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>
      <selection activeCell="K16" sqref="K16"/>
    </sheetView>
  </sheetViews>
  <sheetFormatPr defaultRowHeight="14.5"/>
  <cols>
    <col min="1" max="1" width="0.90625" customWidth="1"/>
    <col min="3" max="3" width="4.36328125" customWidth="1"/>
    <col min="4" max="9" width="8.6328125" customWidth="1"/>
    <col min="10" max="10" width="10.1796875" customWidth="1"/>
    <col min="11" max="17" width="8.6328125" customWidth="1"/>
    <col min="18" max="22" width="8.7265625" customWidth="1"/>
    <col min="23" max="23" width="9" customWidth="1"/>
    <col min="24" max="24" width="9.08984375" customWidth="1"/>
  </cols>
  <sheetData>
    <row r="1" spans="1:24" ht="20.5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1"/>
    </row>
    <row r="2" spans="1:24" ht="20.5">
      <c r="A2" s="82" t="s">
        <v>66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4"/>
    </row>
    <row r="3" spans="1:24" ht="22" thickBot="1">
      <c r="A3" s="85" t="s">
        <v>2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</row>
    <row r="4" spans="1:24" ht="20.5">
      <c r="A4" s="88" t="s">
        <v>3</v>
      </c>
      <c r="B4" s="89"/>
      <c r="C4" s="90"/>
      <c r="D4" s="40" t="s">
        <v>4</v>
      </c>
      <c r="E4" s="41" t="s">
        <v>4</v>
      </c>
      <c r="F4" s="41" t="s">
        <v>4</v>
      </c>
      <c r="G4" s="42" t="s">
        <v>4</v>
      </c>
      <c r="H4" s="43" t="s">
        <v>4</v>
      </c>
      <c r="I4" s="43" t="s">
        <v>4</v>
      </c>
      <c r="J4" s="44" t="s">
        <v>4</v>
      </c>
      <c r="K4" s="44" t="s">
        <v>4</v>
      </c>
      <c r="L4" s="45" t="s">
        <v>4</v>
      </c>
      <c r="M4" s="46" t="s">
        <v>4</v>
      </c>
      <c r="N4" s="47" t="s">
        <v>4</v>
      </c>
      <c r="O4" s="47" t="s">
        <v>4</v>
      </c>
      <c r="P4" s="47" t="s">
        <v>4</v>
      </c>
      <c r="Q4" s="47" t="s">
        <v>4</v>
      </c>
      <c r="R4" s="48" t="s">
        <v>4</v>
      </c>
      <c r="S4" s="48" t="s">
        <v>4</v>
      </c>
      <c r="T4" s="48" t="s">
        <v>4</v>
      </c>
      <c r="U4" s="48" t="s">
        <v>4</v>
      </c>
      <c r="V4" s="49" t="s">
        <v>4</v>
      </c>
      <c r="W4" s="10" t="s">
        <v>5</v>
      </c>
      <c r="X4" s="11" t="s">
        <v>6</v>
      </c>
    </row>
    <row r="5" spans="1:24" ht="27.5" customHeight="1" thickBot="1">
      <c r="A5" s="91"/>
      <c r="B5" s="92"/>
      <c r="C5" s="93"/>
      <c r="D5" s="50" t="s">
        <v>7</v>
      </c>
      <c r="E5" s="51" t="s">
        <v>8</v>
      </c>
      <c r="F5" s="51" t="s">
        <v>9</v>
      </c>
      <c r="G5" s="52" t="s">
        <v>10</v>
      </c>
      <c r="H5" s="53" t="s">
        <v>11</v>
      </c>
      <c r="I5" s="53" t="s">
        <v>12</v>
      </c>
      <c r="J5" s="54" t="s">
        <v>13</v>
      </c>
      <c r="K5" s="54" t="s">
        <v>40</v>
      </c>
      <c r="L5" s="55" t="s">
        <v>14</v>
      </c>
      <c r="M5" s="56" t="s">
        <v>15</v>
      </c>
      <c r="N5" s="57" t="s">
        <v>16</v>
      </c>
      <c r="O5" s="57" t="s">
        <v>17</v>
      </c>
      <c r="P5" s="57" t="s">
        <v>18</v>
      </c>
      <c r="Q5" s="58" t="s">
        <v>19</v>
      </c>
      <c r="R5" s="58" t="s">
        <v>21</v>
      </c>
      <c r="S5" s="58" t="s">
        <v>22</v>
      </c>
      <c r="T5" s="58" t="s">
        <v>23</v>
      </c>
      <c r="U5" s="58" t="s">
        <v>24</v>
      </c>
      <c r="V5" s="59" t="s">
        <v>25</v>
      </c>
      <c r="W5" s="18" t="s">
        <v>26</v>
      </c>
      <c r="X5" s="19" t="s">
        <v>26</v>
      </c>
    </row>
    <row r="6" spans="1:24" ht="18" customHeight="1">
      <c r="A6" s="94" t="s">
        <v>67</v>
      </c>
      <c r="B6" s="95"/>
      <c r="C6" s="96"/>
      <c r="D6" s="20">
        <f>[1]ม.ค.64!D37</f>
        <v>0</v>
      </c>
      <c r="E6" s="21">
        <f>[1]ม.ค.64!E37</f>
        <v>0</v>
      </c>
      <c r="F6" s="21">
        <f>[1]ม.ค.64!F37</f>
        <v>0</v>
      </c>
      <c r="G6" s="22">
        <f>[1]ม.ค.64!G37</f>
        <v>0</v>
      </c>
      <c r="H6" s="22">
        <f>[1]ม.ค.64!J37</f>
        <v>0</v>
      </c>
      <c r="I6" s="22">
        <f>[1]ม.ค.64!I37</f>
        <v>0</v>
      </c>
      <c r="J6" s="22">
        <f>[1]ม.ค.64!K37</f>
        <v>0</v>
      </c>
      <c r="K6" s="22">
        <f>[1]ม.ค.64!L37</f>
        <v>0</v>
      </c>
      <c r="L6" s="22">
        <f>[1]ม.ค.64!M37</f>
        <v>0</v>
      </c>
      <c r="M6" s="22">
        <f>[1]ม.ค.64!N37</f>
        <v>0</v>
      </c>
      <c r="N6" s="22">
        <f>[1]ม.ค.64!O37</f>
        <v>0</v>
      </c>
      <c r="O6" s="22">
        <f>[1]ม.ค.64!P37</f>
        <v>0</v>
      </c>
      <c r="P6" s="22">
        <f>[1]ม.ค.64!Q37</f>
        <v>0</v>
      </c>
      <c r="Q6" s="22">
        <f>[1]ม.ค.64!R37</f>
        <v>0</v>
      </c>
      <c r="R6" s="22">
        <f>[1]ม.ค.64!T37</f>
        <v>0</v>
      </c>
      <c r="S6" s="22">
        <f>[1]ม.ค.64!U37</f>
        <v>0</v>
      </c>
      <c r="T6" s="22">
        <f>[1]ม.ค.64!V37</f>
        <v>0</v>
      </c>
      <c r="U6" s="22">
        <f>[1]ม.ค.64!W37</f>
        <v>0</v>
      </c>
      <c r="V6" s="23">
        <f>[1]ม.ค.64!X37</f>
        <v>0</v>
      </c>
      <c r="W6" s="24">
        <f t="shared" ref="W6:W17" si="0">SUM(D6:V6)</f>
        <v>0</v>
      </c>
      <c r="X6" s="25">
        <f t="shared" ref="X6:X17" si="1">+W6/21</f>
        <v>0</v>
      </c>
    </row>
    <row r="7" spans="1:24" ht="18" customHeight="1">
      <c r="A7" s="73" t="s">
        <v>68</v>
      </c>
      <c r="B7" s="74"/>
      <c r="C7" s="75"/>
      <c r="D7" s="26">
        <f>[1]ก.พ.64!D35</f>
        <v>0</v>
      </c>
      <c r="E7" s="27">
        <f>[1]ก.พ.64!E35</f>
        <v>0</v>
      </c>
      <c r="F7" s="27">
        <f>[1]ก.พ.64!F35</f>
        <v>0</v>
      </c>
      <c r="G7" s="28">
        <f>[1]ก.พ.64!G35</f>
        <v>0</v>
      </c>
      <c r="H7" s="28">
        <f>[1]ก.พ.64!J35</f>
        <v>0</v>
      </c>
      <c r="I7" s="28">
        <f>[1]ก.พ.64!I35</f>
        <v>0</v>
      </c>
      <c r="J7" s="28">
        <f>[1]ก.พ.64!K35</f>
        <v>0</v>
      </c>
      <c r="K7" s="28">
        <f>[1]ก.พ.64!L35</f>
        <v>0</v>
      </c>
      <c r="L7" s="28">
        <f>[1]ก.พ.64!M35</f>
        <v>0</v>
      </c>
      <c r="M7" s="28">
        <f>[1]ก.พ.64!N35</f>
        <v>7</v>
      </c>
      <c r="N7" s="28">
        <f>[1]ก.พ.64!O35</f>
        <v>3</v>
      </c>
      <c r="O7" s="28">
        <f>[1]ก.พ.64!P35</f>
        <v>15</v>
      </c>
      <c r="P7" s="28">
        <f>[1]ก.พ.64!Q35</f>
        <v>0</v>
      </c>
      <c r="Q7" s="28">
        <f>[1]ก.พ.64!R35</f>
        <v>20</v>
      </c>
      <c r="R7" s="28">
        <f>[1]ก.พ.64!T35</f>
        <v>4</v>
      </c>
      <c r="S7" s="28">
        <f>[1]ก.พ.64!U35</f>
        <v>13</v>
      </c>
      <c r="T7" s="28">
        <f>[1]ก.พ.64!V35</f>
        <v>3</v>
      </c>
      <c r="U7" s="28">
        <f>[1]ก.พ.64!W35</f>
        <v>0</v>
      </c>
      <c r="V7" s="28">
        <f>[1]ก.พ.64!X35</f>
        <v>12</v>
      </c>
      <c r="W7" s="29">
        <f t="shared" si="0"/>
        <v>77</v>
      </c>
      <c r="X7" s="30">
        <f>+W7/21</f>
        <v>3.6666666666666665</v>
      </c>
    </row>
    <row r="8" spans="1:24" ht="18" customHeight="1">
      <c r="A8" s="73" t="s">
        <v>69</v>
      </c>
      <c r="B8" s="74"/>
      <c r="C8" s="75"/>
      <c r="D8" s="26">
        <f>[1]มี.ค.64!D37</f>
        <v>46</v>
      </c>
      <c r="E8" s="27">
        <f>[1]มี.ค.64!E37</f>
        <v>47</v>
      </c>
      <c r="F8" s="27">
        <f>[1]มี.ค.64!F37</f>
        <v>40</v>
      </c>
      <c r="G8" s="27">
        <f>[1]มี.ค.64!G37</f>
        <v>12</v>
      </c>
      <c r="H8" s="28">
        <f>[1]มี.ค.64!J37</f>
        <v>38</v>
      </c>
      <c r="I8" s="28">
        <f>[1]มี.ค.64!I37</f>
        <v>38</v>
      </c>
      <c r="J8" s="28">
        <f>[1]มี.ค.64!K37</f>
        <v>52</v>
      </c>
      <c r="K8" s="28">
        <f>[1]มี.ค.64!L37</f>
        <v>35</v>
      </c>
      <c r="L8" s="28">
        <f>[1]มี.ค.64!M37</f>
        <v>39</v>
      </c>
      <c r="M8" s="28">
        <f>[1]มี.ค.64!N37</f>
        <v>42</v>
      </c>
      <c r="N8" s="28">
        <f>[1]มี.ค.64!O37</f>
        <v>33</v>
      </c>
      <c r="O8" s="28">
        <f>[1]มี.ค.64!P37</f>
        <v>52</v>
      </c>
      <c r="P8" s="28">
        <f>[1]มี.ค.64!Q37</f>
        <v>50</v>
      </c>
      <c r="Q8" s="28">
        <f>[1]มี.ค.64!R37</f>
        <v>66</v>
      </c>
      <c r="R8" s="28">
        <f>[1]มี.ค.64!T37</f>
        <v>37</v>
      </c>
      <c r="S8" s="28">
        <f>[1]มี.ค.64!U37</f>
        <v>47</v>
      </c>
      <c r="T8" s="28">
        <f>[1]มี.ค.64!V37</f>
        <v>33</v>
      </c>
      <c r="U8" s="28">
        <f>[1]มี.ค.64!W37</f>
        <v>35</v>
      </c>
      <c r="V8" s="31">
        <f>[1]มี.ค.64!X37</f>
        <v>8</v>
      </c>
      <c r="W8" s="29">
        <f t="shared" si="0"/>
        <v>750</v>
      </c>
      <c r="X8" s="30">
        <f t="shared" si="1"/>
        <v>35.714285714285715</v>
      </c>
    </row>
    <row r="9" spans="1:24" ht="18" customHeight="1">
      <c r="A9" s="73" t="s">
        <v>70</v>
      </c>
      <c r="B9" s="74"/>
      <c r="C9" s="75"/>
      <c r="D9" s="26">
        <f>[1]เม.ย.64!D37</f>
        <v>179</v>
      </c>
      <c r="E9" s="27">
        <f>[1]เม.ย.64!E37</f>
        <v>174</v>
      </c>
      <c r="F9" s="27">
        <f>[1]เม.ย.64!F37</f>
        <v>170</v>
      </c>
      <c r="G9" s="27">
        <f>[1]เม.ย.64!G37</f>
        <v>158</v>
      </c>
      <c r="H9" s="28">
        <f>[1]เม.ย.64!J37</f>
        <v>265</v>
      </c>
      <c r="I9" s="28">
        <f>[1]เม.ย.64!I37</f>
        <v>265</v>
      </c>
      <c r="J9" s="28">
        <f>[1]เม.ย.64!K37</f>
        <v>308</v>
      </c>
      <c r="K9" s="28">
        <f>[1]เม.ย.64!L37</f>
        <v>240</v>
      </c>
      <c r="L9" s="28">
        <f>[1]เม.ย.64!M37</f>
        <v>265</v>
      </c>
      <c r="M9" s="28">
        <f>[1]เม.ย.64!N37</f>
        <v>86</v>
      </c>
      <c r="N9" s="28">
        <f>[1]เม.ย.64!O37</f>
        <v>69</v>
      </c>
      <c r="O9" s="28">
        <f>[1]เม.ย.64!P37</f>
        <v>41</v>
      </c>
      <c r="P9" s="28">
        <f>[1]เม.ย.64!Q37</f>
        <v>35</v>
      </c>
      <c r="Q9" s="28">
        <f>[1]เม.ย.64!R37</f>
        <v>115</v>
      </c>
      <c r="R9" s="28">
        <f>[1]เม.ย.64!T37</f>
        <v>270</v>
      </c>
      <c r="S9" s="28">
        <f>[1]เม.ย.64!U37</f>
        <v>279</v>
      </c>
      <c r="T9" s="28">
        <f>[1]เม.ย.64!V37</f>
        <v>276</v>
      </c>
      <c r="U9" s="28">
        <f>[1]เม.ย.64!W37</f>
        <v>264</v>
      </c>
      <c r="V9" s="28">
        <f>[1]เม.ย.64!X37</f>
        <v>127</v>
      </c>
      <c r="W9" s="29">
        <f t="shared" si="0"/>
        <v>3586</v>
      </c>
      <c r="X9" s="30">
        <f t="shared" si="1"/>
        <v>170.76190476190476</v>
      </c>
    </row>
    <row r="10" spans="1:24" ht="18" customHeight="1">
      <c r="A10" s="73" t="s">
        <v>71</v>
      </c>
      <c r="B10" s="74"/>
      <c r="C10" s="75"/>
      <c r="D10" s="26">
        <f>[1]พ.ค.64!D37</f>
        <v>83</v>
      </c>
      <c r="E10" s="27">
        <f>[1]พ.ค.64!E37</f>
        <v>81</v>
      </c>
      <c r="F10" s="27">
        <f>[1]พ.ค.64!F37</f>
        <v>63</v>
      </c>
      <c r="G10" s="27">
        <f>[1]พ.ค.64!G37</f>
        <v>54</v>
      </c>
      <c r="H10" s="27">
        <f>[1]พ.ค.64!J37</f>
        <v>112</v>
      </c>
      <c r="I10" s="27">
        <f>[1]พ.ค.64!I37</f>
        <v>112</v>
      </c>
      <c r="J10" s="27">
        <f>[1]พ.ค.64!K37</f>
        <v>138</v>
      </c>
      <c r="K10" s="27">
        <f>[1]พ.ค.64!L37</f>
        <v>120</v>
      </c>
      <c r="L10" s="27">
        <f>[1]พ.ค.64!M37</f>
        <v>132</v>
      </c>
      <c r="M10" s="27">
        <f>[1]พ.ค.64!N37</f>
        <v>69</v>
      </c>
      <c r="N10" s="27">
        <f>[1]พ.ค.64!O37</f>
        <v>73</v>
      </c>
      <c r="O10" s="27">
        <f>[1]พ.ค.64!P37</f>
        <v>80</v>
      </c>
      <c r="P10" s="27">
        <f>[1]พ.ค.64!Q37</f>
        <v>75</v>
      </c>
      <c r="Q10" s="27">
        <f>[1]พ.ค.64!R37</f>
        <v>85</v>
      </c>
      <c r="R10" s="28">
        <f>[1]พ.ค.64!T37</f>
        <v>168</v>
      </c>
      <c r="S10" s="28">
        <f>[1]พ.ค.64!U37</f>
        <v>178</v>
      </c>
      <c r="T10" s="28">
        <f>[1]พ.ค.64!V37</f>
        <v>181</v>
      </c>
      <c r="U10" s="28">
        <f>[1]พ.ค.64!W37</f>
        <v>161</v>
      </c>
      <c r="V10" s="28">
        <f>[1]พ.ค.64!X37</f>
        <v>62</v>
      </c>
      <c r="W10" s="29">
        <f t="shared" si="0"/>
        <v>2027</v>
      </c>
      <c r="X10" s="30">
        <f t="shared" si="1"/>
        <v>96.523809523809518</v>
      </c>
    </row>
    <row r="11" spans="1:24" ht="18" customHeight="1">
      <c r="A11" s="73" t="s">
        <v>72</v>
      </c>
      <c r="B11" s="74"/>
      <c r="C11" s="75"/>
      <c r="D11" s="32">
        <f>[1]มิ.ย.64!D37</f>
        <v>32</v>
      </c>
      <c r="E11" s="27">
        <f>[1]มิ.ย.64!E37</f>
        <v>25</v>
      </c>
      <c r="F11" s="27">
        <f>[1]มิ.ย.64!F37</f>
        <v>23</v>
      </c>
      <c r="G11" s="27">
        <f>[1]มิ.ย.64!G37</f>
        <v>26</v>
      </c>
      <c r="H11" s="27">
        <f>[1]มิ.ย.64!I37</f>
        <v>32</v>
      </c>
      <c r="I11" s="27">
        <f>[1]มิ.ย.64!J37</f>
        <v>32</v>
      </c>
      <c r="J11" s="27">
        <f>[1]มิ.ย.64!K37</f>
        <v>48</v>
      </c>
      <c r="K11" s="27">
        <f>[1]มิ.ย.64!L37</f>
        <v>20</v>
      </c>
      <c r="L11" s="27">
        <f>[1]มิ.ย.64!M37</f>
        <v>36</v>
      </c>
      <c r="M11" s="27">
        <f>[1]มิ.ย.64!N37</f>
        <v>69</v>
      </c>
      <c r="N11" s="27">
        <f>[1]มิ.ย.64!O37</f>
        <v>10</v>
      </c>
      <c r="O11" s="27">
        <f>[1]มิ.ย.64!P37</f>
        <v>22</v>
      </c>
      <c r="P11" s="27">
        <f>[1]มิ.ย.64!Q37</f>
        <v>24</v>
      </c>
      <c r="Q11" s="27">
        <f>[1]มิ.ย.64!R37</f>
        <v>39</v>
      </c>
      <c r="R11" s="27">
        <f>[1]มิ.ย.64!T37</f>
        <v>10</v>
      </c>
      <c r="S11" s="27">
        <f>[1]มิ.ย.64!U37</f>
        <v>10</v>
      </c>
      <c r="T11" s="27">
        <f>[1]มิ.ย.64!V37</f>
        <v>9</v>
      </c>
      <c r="U11" s="27">
        <f>[1]มิ.ย.64!W37</f>
        <v>40</v>
      </c>
      <c r="V11" s="27">
        <f>[1]มิ.ย.64!X37</f>
        <v>0</v>
      </c>
      <c r="W11" s="29">
        <f t="shared" si="0"/>
        <v>507</v>
      </c>
      <c r="X11" s="30">
        <f t="shared" si="1"/>
        <v>24.142857142857142</v>
      </c>
    </row>
    <row r="12" spans="1:24" ht="18" customHeight="1">
      <c r="A12" s="73" t="s">
        <v>73</v>
      </c>
      <c r="B12" s="74"/>
      <c r="C12" s="75"/>
      <c r="D12" s="32">
        <f>[1]ก.ค.64!D37</f>
        <v>233</v>
      </c>
      <c r="E12" s="27">
        <f>[1]ก.ค.64!E37</f>
        <v>223</v>
      </c>
      <c r="F12" s="27">
        <f>[1]ก.ค.64!F37</f>
        <v>240</v>
      </c>
      <c r="G12" s="27">
        <f>[1]ก.ค.64!G37</f>
        <v>150</v>
      </c>
      <c r="H12" s="27">
        <f>[1]ก.ค.64!J37</f>
        <v>209</v>
      </c>
      <c r="I12" s="27">
        <f>[1]ก.ค.64!I37</f>
        <v>209</v>
      </c>
      <c r="J12" s="27">
        <f>[1]ก.ค.64!K37</f>
        <v>213</v>
      </c>
      <c r="K12" s="27">
        <f>[1]ก.ค.64!L37</f>
        <v>210</v>
      </c>
      <c r="L12" s="27">
        <f>[1]ก.ค.64!M37</f>
        <v>215</v>
      </c>
      <c r="M12" s="27">
        <f>[1]ก.ค.64!N37</f>
        <v>155</v>
      </c>
      <c r="N12" s="27">
        <f>[1]ก.ค.64!O37</f>
        <v>132</v>
      </c>
      <c r="O12" s="27">
        <f>[1]ก.ค.64!P37</f>
        <v>151</v>
      </c>
      <c r="P12" s="27">
        <f>[1]ก.ค.64!Q37</f>
        <v>105</v>
      </c>
      <c r="Q12" s="27">
        <f>[1]ก.ค.64!R37</f>
        <v>145</v>
      </c>
      <c r="R12" s="27">
        <f>[1]ก.ค.64!T37</f>
        <v>140</v>
      </c>
      <c r="S12" s="27">
        <f>[1]ก.ค.64!U37</f>
        <v>190</v>
      </c>
      <c r="T12" s="27">
        <f>[1]ก.ค.64!V37</f>
        <v>129</v>
      </c>
      <c r="U12" s="27">
        <f>[1]ก.ค.64!W37</f>
        <v>174</v>
      </c>
      <c r="V12" s="27">
        <f>[1]ก.ค.64!Y37</f>
        <v>165</v>
      </c>
      <c r="W12" s="29">
        <f t="shared" si="0"/>
        <v>3388</v>
      </c>
      <c r="X12" s="30">
        <f t="shared" si="1"/>
        <v>161.33333333333334</v>
      </c>
    </row>
    <row r="13" spans="1:24" ht="18" customHeight="1">
      <c r="A13" s="73" t="s">
        <v>74</v>
      </c>
      <c r="B13" s="74"/>
      <c r="C13" s="75"/>
      <c r="D13" s="26">
        <f>[1]ส.ค.64!D37</f>
        <v>241</v>
      </c>
      <c r="E13" s="26">
        <f>[1]ส.ค.64!E37</f>
        <v>241</v>
      </c>
      <c r="F13" s="26">
        <f>[1]ส.ค.64!F37</f>
        <v>244</v>
      </c>
      <c r="G13" s="26">
        <f>[1]ส.ค.64!G37</f>
        <v>200</v>
      </c>
      <c r="H13" s="27">
        <f>[1]ส.ค.64!J37</f>
        <v>274</v>
      </c>
      <c r="I13" s="27">
        <f>[1]ส.ค.64!I37</f>
        <v>274</v>
      </c>
      <c r="J13" s="27">
        <f>[1]ส.ค.64!K37</f>
        <v>281</v>
      </c>
      <c r="K13" s="27">
        <f>[1]ส.ค.64!L37</f>
        <v>253</v>
      </c>
      <c r="L13" s="27">
        <f>[1]ส.ค.64!M37</f>
        <v>230</v>
      </c>
      <c r="M13" s="27">
        <f>[1]ส.ค.64!N37</f>
        <v>94</v>
      </c>
      <c r="N13" s="27">
        <f>[1]ส.ค.64!O37</f>
        <v>101</v>
      </c>
      <c r="O13" s="27">
        <f>[1]ส.ค.64!P37</f>
        <v>162</v>
      </c>
      <c r="P13" s="27">
        <f>[1]ส.ค.64!Q37</f>
        <v>120</v>
      </c>
      <c r="Q13" s="27">
        <f>[1]ส.ค.64!R37</f>
        <v>80</v>
      </c>
      <c r="R13" s="27">
        <f>[1]ส.ค.64!T37</f>
        <v>107</v>
      </c>
      <c r="S13" s="27">
        <f>[1]ส.ค.64!V37</f>
        <v>110</v>
      </c>
      <c r="T13" s="27">
        <f>[1]ส.ค.64!U37</f>
        <v>137</v>
      </c>
      <c r="U13" s="27">
        <f>[1]ส.ค.64!W37</f>
        <v>155</v>
      </c>
      <c r="V13" s="27">
        <f>[1]ส.ค.64!X37</f>
        <v>50</v>
      </c>
      <c r="W13" s="29">
        <f t="shared" si="0"/>
        <v>3354</v>
      </c>
      <c r="X13" s="30">
        <f t="shared" si="1"/>
        <v>159.71428571428572</v>
      </c>
    </row>
    <row r="14" spans="1:24" ht="18" customHeight="1">
      <c r="A14" s="73" t="s">
        <v>75</v>
      </c>
      <c r="B14" s="74"/>
      <c r="C14" s="75"/>
      <c r="D14" s="26">
        <f>[1]ก.ย.64!D37</f>
        <v>347</v>
      </c>
      <c r="E14" s="27">
        <f>[1]ก.ย.64!E37</f>
        <v>332</v>
      </c>
      <c r="F14" s="27">
        <f>[1]ก.ย.64!F37</f>
        <v>340</v>
      </c>
      <c r="G14" s="27">
        <f>[1]ก.ย.64!G37</f>
        <v>320</v>
      </c>
      <c r="H14" s="28">
        <f>[1]ก.ย.64!J37</f>
        <v>392</v>
      </c>
      <c r="I14" s="28">
        <f>[1]ก.ย.64!I37</f>
        <v>392</v>
      </c>
      <c r="J14" s="28">
        <f>[1]ก.ย.64!K37</f>
        <v>398</v>
      </c>
      <c r="K14" s="28">
        <f>[1]ก.ย.64!L37</f>
        <v>360</v>
      </c>
      <c r="L14" s="28">
        <f>[1]ก.ย.64!M37</f>
        <v>308</v>
      </c>
      <c r="M14" s="28">
        <f>[1]ก.ย.64!N37</f>
        <v>458</v>
      </c>
      <c r="N14" s="28">
        <f>[1]ก.ย.64!O37</f>
        <v>336</v>
      </c>
      <c r="O14" s="28">
        <f>[1]ก.ย.64!P37</f>
        <v>365</v>
      </c>
      <c r="P14" s="28">
        <f>[1]ก.ย.64!Q37</f>
        <v>215</v>
      </c>
      <c r="Q14" s="28">
        <f>[1]ก.ย.64!R37</f>
        <v>320</v>
      </c>
      <c r="R14" s="28">
        <f>[1]ก.ย.64!T37</f>
        <v>338</v>
      </c>
      <c r="S14" s="28">
        <f>[1]ก.ย.64!V37</f>
        <v>296</v>
      </c>
      <c r="T14" s="28">
        <f>[1]ก.ย.64!U37</f>
        <v>374</v>
      </c>
      <c r="U14" s="28">
        <f>[1]ก.ย.64!W37</f>
        <v>306</v>
      </c>
      <c r="V14" s="28">
        <f>[1]ก.ย.64!X37</f>
        <v>211</v>
      </c>
      <c r="W14" s="29">
        <f t="shared" si="0"/>
        <v>6408</v>
      </c>
      <c r="X14" s="30">
        <f t="shared" si="1"/>
        <v>305.14285714285717</v>
      </c>
    </row>
    <row r="15" spans="1:24" ht="18" customHeight="1">
      <c r="A15" s="73" t="s">
        <v>76</v>
      </c>
      <c r="B15" s="74"/>
      <c r="C15" s="75"/>
      <c r="D15" s="26">
        <f>[1]ต.ค.64!D37</f>
        <v>341</v>
      </c>
      <c r="E15" s="27">
        <f>[1]ต.ค.64!E37</f>
        <v>321</v>
      </c>
      <c r="F15" s="27">
        <f>[1]ต.ค.64!F37</f>
        <v>289</v>
      </c>
      <c r="G15" s="27">
        <f>[1]ต.ค.64!G37</f>
        <v>256</v>
      </c>
      <c r="H15" s="27">
        <f>[1]ต.ค.64!J37</f>
        <v>187</v>
      </c>
      <c r="I15" s="27">
        <f>[1]ต.ค.64!I37</f>
        <v>187</v>
      </c>
      <c r="J15" s="27">
        <f>[1]ต.ค.64!K37</f>
        <v>303</v>
      </c>
      <c r="K15" s="27">
        <f>[1]ต.ค.64!L37</f>
        <v>254</v>
      </c>
      <c r="L15" s="27">
        <f>[1]ต.ค.64!M37</f>
        <v>227</v>
      </c>
      <c r="M15" s="27">
        <f>[1]ต.ค.64!N37</f>
        <v>137</v>
      </c>
      <c r="N15" s="27">
        <f>[1]ต.ค.64!O37</f>
        <v>144</v>
      </c>
      <c r="O15" s="27">
        <f>[1]ต.ค.64!P37</f>
        <v>170</v>
      </c>
      <c r="P15" s="27">
        <f>[1]ต.ค.64!Q37</f>
        <v>110</v>
      </c>
      <c r="Q15" s="27">
        <f>[1]ต.ค.64!R37</f>
        <v>162</v>
      </c>
      <c r="R15" s="27">
        <f>[1]ต.ค.64!T37</f>
        <v>347</v>
      </c>
      <c r="S15" s="27">
        <f>[1]ต.ค.64!V37</f>
        <v>319</v>
      </c>
      <c r="T15" s="27">
        <f>[1]ต.ค.64!U37</f>
        <v>377</v>
      </c>
      <c r="U15" s="27">
        <f>[1]ต.ค.64!W37</f>
        <v>324</v>
      </c>
      <c r="V15" s="27">
        <f>[1]ต.ค.64!X37</f>
        <v>167</v>
      </c>
      <c r="W15" s="29">
        <f t="shared" si="0"/>
        <v>4622</v>
      </c>
      <c r="X15" s="30">
        <f t="shared" si="1"/>
        <v>220.0952380952381</v>
      </c>
    </row>
    <row r="16" spans="1:24" ht="18" customHeight="1">
      <c r="A16" s="73" t="s">
        <v>77</v>
      </c>
      <c r="B16" s="74"/>
      <c r="C16" s="75"/>
      <c r="D16" s="32">
        <f>[1]พ.ย.64!D37</f>
        <v>39</v>
      </c>
      <c r="E16" s="27">
        <f>[1]พ.ย.64!E37</f>
        <v>35</v>
      </c>
      <c r="F16" s="27">
        <f>[1]พ.ย.64!F37</f>
        <v>12</v>
      </c>
      <c r="G16" s="27">
        <f>[1]พ.ย.64!G37</f>
        <v>26</v>
      </c>
      <c r="H16" s="27">
        <f>[1]พ.ย.64!J37</f>
        <v>7</v>
      </c>
      <c r="I16" s="27">
        <f>[1]พ.ย.64!I37</f>
        <v>7</v>
      </c>
      <c r="J16" s="27">
        <f>[1]พ.ย.64!K37</f>
        <v>10</v>
      </c>
      <c r="K16" s="27">
        <f>[1]พ.ย.64!L37</f>
        <v>10</v>
      </c>
      <c r="L16" s="27">
        <f>[1]พ.ย.64!M37</f>
        <v>10</v>
      </c>
      <c r="M16" s="27">
        <f>[1]พ.ย.64!N37</f>
        <v>60</v>
      </c>
      <c r="N16" s="27">
        <f>[1]พ.ย.64!O37</f>
        <v>25</v>
      </c>
      <c r="O16" s="27">
        <f>[1]พ.ย.64!P37</f>
        <v>30</v>
      </c>
      <c r="P16" s="27">
        <f>[1]พ.ย.64!Q37</f>
        <v>15</v>
      </c>
      <c r="Q16" s="27">
        <f>[1]พ.ย.64!R37</f>
        <v>22</v>
      </c>
      <c r="R16" s="27">
        <f>[1]พ.ย.64!T37</f>
        <v>18</v>
      </c>
      <c r="S16" s="27">
        <f>[1]พ.ย.64!V37</f>
        <v>24</v>
      </c>
      <c r="T16" s="27">
        <f>[1]พ.ย.64!U37</f>
        <v>17</v>
      </c>
      <c r="U16" s="27">
        <f>[1]พ.ย.64!W37</f>
        <v>0</v>
      </c>
      <c r="V16" s="27">
        <f>[1]พ.ย.64!X37</f>
        <v>8</v>
      </c>
      <c r="W16" s="29">
        <f t="shared" si="0"/>
        <v>375</v>
      </c>
      <c r="X16" s="30">
        <f t="shared" si="1"/>
        <v>17.857142857142858</v>
      </c>
    </row>
    <row r="17" spans="1:24" ht="18" customHeight="1" thickBot="1">
      <c r="A17" s="73" t="s">
        <v>78</v>
      </c>
      <c r="B17" s="74"/>
      <c r="C17" s="75"/>
      <c r="D17" s="32">
        <f>[1]ธ.ค.64!D37</f>
        <v>0</v>
      </c>
      <c r="E17" s="27">
        <f>[1]ธ.ค.64!E37</f>
        <v>0</v>
      </c>
      <c r="F17" s="27">
        <f>[1]ธ.ค.64!G37</f>
        <v>0</v>
      </c>
      <c r="G17" s="27">
        <f>[1]ธ.ค.64!H37</f>
        <v>0</v>
      </c>
      <c r="H17" s="27">
        <f>[1]ธ.ค.64!K37</f>
        <v>0</v>
      </c>
      <c r="I17" s="27">
        <f>[1]ธ.ค.64!J37</f>
        <v>0</v>
      </c>
      <c r="J17" s="27">
        <f>[1]ธ.ค.64!L37</f>
        <v>0</v>
      </c>
      <c r="K17" s="27">
        <f>[1]ธ.ค.64!M37</f>
        <v>0</v>
      </c>
      <c r="L17" s="27">
        <f>[1]ธ.ค.64!N37</f>
        <v>0</v>
      </c>
      <c r="M17" s="27">
        <f>[1]ธ.ค.64!O37</f>
        <v>0</v>
      </c>
      <c r="N17" s="27">
        <f>[1]ธ.ค.64!P37</f>
        <v>0</v>
      </c>
      <c r="O17" s="27">
        <f>[1]ธ.ค.64!Q37</f>
        <v>0</v>
      </c>
      <c r="P17" s="27">
        <f>[1]ธ.ค.64!R37</f>
        <v>0</v>
      </c>
      <c r="Q17" s="27">
        <f>[1]ธ.ค.64!S37</f>
        <v>0</v>
      </c>
      <c r="R17" s="27">
        <f>[1]ธ.ค.64!W37</f>
        <v>0</v>
      </c>
      <c r="S17" s="27">
        <f>[1]ธ.ค.64!Y37</f>
        <v>0</v>
      </c>
      <c r="T17" s="27">
        <f>[1]ธ.ค.64!X37</f>
        <v>0</v>
      </c>
      <c r="U17" s="27">
        <f>[1]ธ.ค.64!Z37</f>
        <v>0</v>
      </c>
      <c r="V17" s="27">
        <f>[1]ธ.ค.64!AB37</f>
        <v>0</v>
      </c>
      <c r="W17" s="29">
        <f t="shared" si="0"/>
        <v>0</v>
      </c>
      <c r="X17" s="30">
        <f t="shared" si="1"/>
        <v>0</v>
      </c>
    </row>
    <row r="18" spans="1:24" ht="21" thickBot="1">
      <c r="A18" s="76" t="s">
        <v>5</v>
      </c>
      <c r="B18" s="77"/>
      <c r="C18" s="78"/>
      <c r="D18" s="60">
        <f>SUM(D6:D17)</f>
        <v>1541</v>
      </c>
      <c r="E18" s="61">
        <f t="shared" ref="E18:R18" si="2">SUM(E6:E17)</f>
        <v>1479</v>
      </c>
      <c r="F18" s="62">
        <f>SUM(F6:F17)</f>
        <v>1421</v>
      </c>
      <c r="G18" s="63">
        <f t="shared" si="2"/>
        <v>1202</v>
      </c>
      <c r="H18" s="63">
        <f t="shared" si="2"/>
        <v>1516</v>
      </c>
      <c r="I18" s="63">
        <f t="shared" si="2"/>
        <v>1516</v>
      </c>
      <c r="J18" s="63">
        <f t="shared" si="2"/>
        <v>1751</v>
      </c>
      <c r="K18" s="63">
        <f t="shared" si="2"/>
        <v>1502</v>
      </c>
      <c r="L18" s="63">
        <f t="shared" si="2"/>
        <v>1462</v>
      </c>
      <c r="M18" s="63">
        <f t="shared" si="2"/>
        <v>1177</v>
      </c>
      <c r="N18" s="63">
        <f t="shared" si="2"/>
        <v>926</v>
      </c>
      <c r="O18" s="63">
        <f t="shared" si="2"/>
        <v>1088</v>
      </c>
      <c r="P18" s="63">
        <f t="shared" si="2"/>
        <v>749</v>
      </c>
      <c r="Q18" s="63">
        <f t="shared" si="2"/>
        <v>1054</v>
      </c>
      <c r="R18" s="63">
        <f t="shared" si="2"/>
        <v>1439</v>
      </c>
      <c r="S18" s="63">
        <f t="shared" ref="S18:X18" si="3">SUM(S6:S17)</f>
        <v>1466</v>
      </c>
      <c r="T18" s="63">
        <f t="shared" si="3"/>
        <v>1536</v>
      </c>
      <c r="U18" s="63">
        <f t="shared" si="3"/>
        <v>1459</v>
      </c>
      <c r="V18" s="64">
        <f t="shared" si="3"/>
        <v>810</v>
      </c>
      <c r="W18" s="65">
        <f>SUM(W6:W17)</f>
        <v>25094</v>
      </c>
      <c r="X18" s="66">
        <f t="shared" si="3"/>
        <v>1194.952380952381</v>
      </c>
    </row>
    <row r="20" spans="1:24">
      <c r="B20" t="s">
        <v>83</v>
      </c>
      <c r="D20" s="72">
        <f>SUM(D6:D15)</f>
        <v>1502</v>
      </c>
      <c r="E20" s="72">
        <f t="shared" ref="E20:X20" si="4">SUM(E6:E15)</f>
        <v>1444</v>
      </c>
      <c r="F20" s="72">
        <f t="shared" si="4"/>
        <v>1409</v>
      </c>
      <c r="G20" s="72">
        <f t="shared" si="4"/>
        <v>1176</v>
      </c>
      <c r="H20" s="72">
        <f t="shared" si="4"/>
        <v>1509</v>
      </c>
      <c r="I20" s="72">
        <f t="shared" si="4"/>
        <v>1509</v>
      </c>
      <c r="J20" s="72">
        <f t="shared" si="4"/>
        <v>1741</v>
      </c>
      <c r="K20" s="72">
        <f t="shared" si="4"/>
        <v>1492</v>
      </c>
      <c r="L20" s="72">
        <f t="shared" si="4"/>
        <v>1452</v>
      </c>
      <c r="M20" s="72">
        <f t="shared" si="4"/>
        <v>1117</v>
      </c>
      <c r="N20" s="72">
        <f t="shared" si="4"/>
        <v>901</v>
      </c>
      <c r="O20" s="72">
        <f t="shared" si="4"/>
        <v>1058</v>
      </c>
      <c r="P20" s="72">
        <f t="shared" si="4"/>
        <v>734</v>
      </c>
      <c r="Q20" s="72">
        <f t="shared" si="4"/>
        <v>1032</v>
      </c>
      <c r="R20" s="72">
        <f t="shared" si="4"/>
        <v>1421</v>
      </c>
      <c r="S20" s="72">
        <f t="shared" si="4"/>
        <v>1442</v>
      </c>
      <c r="T20" s="72">
        <f t="shared" si="4"/>
        <v>1519</v>
      </c>
      <c r="U20" s="72">
        <f t="shared" si="4"/>
        <v>1459</v>
      </c>
      <c r="V20" s="72">
        <f t="shared" si="4"/>
        <v>802</v>
      </c>
      <c r="W20" s="72">
        <f t="shared" si="4"/>
        <v>24719</v>
      </c>
      <c r="X20" s="72">
        <f t="shared" si="4"/>
        <v>1177.0952380952381</v>
      </c>
    </row>
  </sheetData>
  <mergeCells count="17">
    <mergeCell ref="A13:C13"/>
    <mergeCell ref="A1:X1"/>
    <mergeCell ref="A2:X2"/>
    <mergeCell ref="A3:X3"/>
    <mergeCell ref="A4:C5"/>
    <mergeCell ref="A6:C6"/>
    <mergeCell ref="A7:C7"/>
    <mergeCell ref="A8:C8"/>
    <mergeCell ref="A9:C9"/>
    <mergeCell ref="A10:C10"/>
    <mergeCell ref="A11:C11"/>
    <mergeCell ref="A12:C12"/>
    <mergeCell ref="A14:C14"/>
    <mergeCell ref="A15:C15"/>
    <mergeCell ref="A16:C16"/>
    <mergeCell ref="A17:C17"/>
    <mergeCell ref="A18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รวม</vt:lpstr>
      <vt:lpstr>2568</vt:lpstr>
      <vt:lpstr>2567</vt:lpstr>
      <vt:lpstr>2566</vt:lpstr>
      <vt:lpstr>2565</vt:lpstr>
      <vt:lpstr>2564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Wilawan Neampan</dc:creator>
  <cp:lastModifiedBy>Wilawan Neampan</cp:lastModifiedBy>
  <dcterms:created xsi:type="dcterms:W3CDTF">2024-10-11T01:38:28Z</dcterms:created>
  <dcterms:modified xsi:type="dcterms:W3CDTF">2025-09-19T09:57:41Z</dcterms:modified>
</cp:coreProperties>
</file>