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การเรียนรู้\ข้อมูลส่ง Cane-yes2025\Soil group\ค่าวิเคราะห์ดิน\"/>
    </mc:Choice>
  </mc:AlternateContent>
  <bookViews>
    <workbookView xWindow="0" yWindow="0" windowWidth="4090" windowHeight="5280" activeTab="1"/>
  </bookViews>
  <sheets>
    <sheet name="รายแปลง" sheetId="3" r:id="rId1"/>
    <sheet name="วิเคราะห์ดินปี59-63" sheetId="1" r:id="rId2"/>
    <sheet name="วิเคราะห์ดินปี68" sheetId="5" r:id="rId3"/>
    <sheet name="Sheet6" sheetId="6" r:id="rId4"/>
  </sheets>
  <definedNames>
    <definedName name="_xlnm._FilterDatabase" localSheetId="0" hidden="1">รายแปลง!$A$2:$AS$589</definedName>
    <definedName name="_xlnm._FilterDatabase" localSheetId="1" hidden="1">'วิเคราะห์ดินปี59-63'!$A$3:$AG$368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6" i="1" l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1" i="1"/>
  <c r="E172" i="1"/>
  <c r="E176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</calcChain>
</file>

<file path=xl/sharedStrings.xml><?xml version="1.0" encoding="utf-8"?>
<sst xmlns="http://schemas.openxmlformats.org/spreadsheetml/2006/main" count="13027" uniqueCount="799">
  <si>
    <t>ผลวเคราะห์ดินทั้งหมดของไร่ด่านช้าง ( ปี 59-61 )</t>
  </si>
  <si>
    <t>สูตรปุ๋ยแนะนำตามค่าวิเคราะห์ดินอ้อยปลูก</t>
  </si>
  <si>
    <t>ลำดับที่</t>
  </si>
  <si>
    <t>ปี</t>
  </si>
  <si>
    <t>ชื่อไร่</t>
  </si>
  <si>
    <t>หมายเลขแปลง</t>
  </si>
  <si>
    <t>ผลการวิเคราะห์</t>
  </si>
  <si>
    <t>อ้อยปลูก (กก./ไร่)</t>
  </si>
  <si>
    <t>สูตรรองพื้น</t>
  </si>
  <si>
    <t>อัตรา (กก/ไร่)</t>
  </si>
  <si>
    <t>สูตรแต่งหน้า</t>
  </si>
  <si>
    <t>ธาตุอาหารที่ได้ (กก/ไร่)</t>
  </si>
  <si>
    <t>pH</t>
  </si>
  <si>
    <t>pH-Level</t>
  </si>
  <si>
    <t>EC saturated (dS/m)</t>
  </si>
  <si>
    <t>OM (%)</t>
  </si>
  <si>
    <t>OM-Level</t>
  </si>
  <si>
    <t>P (ppm)</t>
  </si>
  <si>
    <t>P-Level</t>
  </si>
  <si>
    <t>K (ppm)</t>
  </si>
  <si>
    <t>K-Level</t>
  </si>
  <si>
    <t>Ca (ppm)</t>
  </si>
  <si>
    <t>Mg (ppm)</t>
  </si>
  <si>
    <t>Na (ppm)</t>
  </si>
  <si>
    <t>N</t>
  </si>
  <si>
    <t>P</t>
  </si>
  <si>
    <t>K</t>
  </si>
  <si>
    <t>ไร่หนองขอน</t>
  </si>
  <si>
    <t>ปานกลาง</t>
  </si>
  <si>
    <t>สูง</t>
  </si>
  <si>
    <t>สูงมาก</t>
  </si>
  <si>
    <t>15</t>
  </si>
  <si>
    <t>6</t>
  </si>
  <si>
    <t>10</t>
  </si>
  <si>
    <t>16-8-8</t>
  </si>
  <si>
    <t>21-7-18</t>
  </si>
  <si>
    <t>ด่างแก่</t>
  </si>
  <si>
    <t>ต่ำมาก</t>
  </si>
  <si>
    <t>18</t>
  </si>
  <si>
    <t>16-16-8</t>
  </si>
  <si>
    <t>ด่างอ่อน</t>
  </si>
  <si>
    <t>ต่ำ</t>
  </si>
  <si>
    <t>9</t>
  </si>
  <si>
    <t>12</t>
  </si>
  <si>
    <t>ไร่หนองขาม</t>
  </si>
  <si>
    <t>20-8-20</t>
  </si>
  <si>
    <t>ไร่หนองกระทิง</t>
  </si>
  <si>
    <t>ขาดรุนแรง</t>
  </si>
  <si>
    <t xml:space="preserve">ไร่หนองกระทุ่ม1  </t>
  </si>
  <si>
    <t>ไร่สระบัวก่ำ</t>
  </si>
  <si>
    <t>ไร่หนองยายเงิน</t>
  </si>
  <si>
    <t>15-7-18</t>
  </si>
  <si>
    <t>ไร่หนองกระทุ่ม2</t>
  </si>
  <si>
    <t>ไร่เขาแหลม</t>
  </si>
  <si>
    <t>1226/2</t>
  </si>
  <si>
    <t>ไร่เขาประทุน</t>
  </si>
  <si>
    <t>กรดจัด</t>
  </si>
  <si>
    <t>ไร่ทัพหลวง</t>
  </si>
  <si>
    <t>ไร่ดงเชือก</t>
  </si>
  <si>
    <t xml:space="preserve">ไร่ลำอีซู </t>
  </si>
  <si>
    <t>ไร่หนองมะค่า</t>
  </si>
  <si>
    <t xml:space="preserve">ไร่ทุ่งโป่ง </t>
  </si>
  <si>
    <t xml:space="preserve">ไร่หนองขอน </t>
  </si>
  <si>
    <t xml:space="preserve">ไร่ดงเชือก </t>
  </si>
  <si>
    <t xml:space="preserve">ไร่หนองแก </t>
  </si>
  <si>
    <t xml:space="preserve">ไร่ทัพหลวง </t>
  </si>
  <si>
    <t xml:space="preserve">ไร่หนองปรือ </t>
  </si>
  <si>
    <t>1711/1</t>
  </si>
  <si>
    <t>1717/1</t>
  </si>
  <si>
    <t xml:space="preserve"> 520/2</t>
  </si>
  <si>
    <t xml:space="preserve"> 1721/1</t>
  </si>
  <si>
    <t xml:space="preserve"> 1721/2</t>
  </si>
  <si>
    <t xml:space="preserve"> 1723/1</t>
  </si>
  <si>
    <t xml:space="preserve"> 1727/1</t>
  </si>
  <si>
    <t>ไร่หนองแก</t>
  </si>
  <si>
    <t xml:space="preserve"> แปลงเช่า</t>
  </si>
  <si>
    <t>403/1</t>
  </si>
  <si>
    <t>ไร่ทัพผึ้ง</t>
  </si>
  <si>
    <t>807949/1</t>
  </si>
  <si>
    <t>รองพื้น</t>
  </si>
  <si>
    <t>ความต้องการธาตุอาหารอ้อยตอ ( กก./ไร่)</t>
  </si>
  <si>
    <t>สูตร/อัตรา รองพื้น ( อ้อยตอ )</t>
  </si>
  <si>
    <t>อัตรา
 ( กก./ไร่)</t>
  </si>
  <si>
    <t>สูตร/อัตรา, แต่งหน้าอ้อยตอ</t>
  </si>
  <si>
    <t>อัตรา
( กก./ไร่ )</t>
  </si>
  <si>
    <t>ปริมาณธาตุอาหารอ้อบตอ ( กก./ไร่ )</t>
  </si>
  <si>
    <t>อ้อยปลูก</t>
  </si>
  <si>
    <t>1332/1</t>
  </si>
  <si>
    <t>1323/1</t>
  </si>
  <si>
    <t>1503/1</t>
  </si>
  <si>
    <t>25-7-7</t>
  </si>
  <si>
    <t>1721/2</t>
  </si>
  <si>
    <t>1721/1</t>
  </si>
  <si>
    <t>1727/1</t>
  </si>
  <si>
    <t>1723/1</t>
  </si>
  <si>
    <t>16-16-16</t>
  </si>
  <si>
    <t>1208/1</t>
  </si>
  <si>
    <t>หนองขอน</t>
  </si>
  <si>
    <t>สระบัวก่ำ</t>
  </si>
  <si>
    <t>หนองยายเงิน</t>
  </si>
  <si>
    <t>15-7-15</t>
  </si>
  <si>
    <t>หนองปรือ</t>
  </si>
  <si>
    <t>ไร่หนองกระทุ่ม 1</t>
  </si>
  <si>
    <t>ไร่หนองกระทุ่ม 2</t>
  </si>
  <si>
    <t>ไร่ลำอีซู</t>
  </si>
  <si>
    <t>16-10-12</t>
  </si>
  <si>
    <t xml:space="preserve">หนองมะค่า </t>
  </si>
  <si>
    <t>สายงาน</t>
  </si>
  <si>
    <t>ลำดับ</t>
  </si>
  <si>
    <t>รหัสโควต้า</t>
  </si>
  <si>
    <t>รหัสแปลง</t>
  </si>
  <si>
    <t>เลขแปลง</t>
  </si>
  <si>
    <t>พื้นที่หมุนเวียน</t>
  </si>
  <si>
    <t>พักดิน68/69</t>
  </si>
  <si>
    <t xml:space="preserve">พื้นที่อ้อย </t>
  </si>
  <si>
    <t>ประเภทอ้อย</t>
  </si>
  <si>
    <t>ประเภท2</t>
  </si>
  <si>
    <t>พันธุ์อ้อย</t>
  </si>
  <si>
    <t>น้ำ</t>
  </si>
  <si>
    <t>จำนวนครั้ง</t>
  </si>
  <si>
    <t>แหล่งน้ำ</t>
  </si>
  <si>
    <t>ปริมาตรในสระ</t>
  </si>
  <si>
    <t>แหล่งเติมน้ำ</t>
  </si>
  <si>
    <t>ต้นกำลัง</t>
  </si>
  <si>
    <t>ประเภทให้น้ำ</t>
  </si>
  <si>
    <t>เกรดน้ำ100%</t>
  </si>
  <si>
    <t>ให้น้ำ</t>
  </si>
  <si>
    <t>คาดฯใช้น้ำ</t>
  </si>
  <si>
    <t>ชื่อผู้รับเหมา</t>
  </si>
  <si>
    <t>ชุด</t>
  </si>
  <si>
    <t>ให้น้ำ (ไร่)</t>
  </si>
  <si>
    <t>อุปกรณ์ผู้รับเหมา</t>
  </si>
  <si>
    <t>อุปกรณ์</t>
  </si>
  <si>
    <t>ร่อง</t>
  </si>
  <si>
    <t>ระยะร่อง</t>
  </si>
  <si>
    <t>ดิน</t>
  </si>
  <si>
    <t>กระทุ่ม 1</t>
  </si>
  <si>
    <t>อ้อยตอ 1</t>
  </si>
  <si>
    <t>อ้อยตอ</t>
  </si>
  <si>
    <t>CSB15-221</t>
  </si>
  <si>
    <t>Fully</t>
  </si>
  <si>
    <t>สระ 902301</t>
  </si>
  <si>
    <t>น้ำฝน</t>
  </si>
  <si>
    <t>เครื่องยนต์สูบน้ำ/Solar  Mobile</t>
  </si>
  <si>
    <t>น้ำหยดบนดิน  Fix</t>
  </si>
  <si>
    <t>กษมา1</t>
  </si>
  <si>
    <t>เดี่ยว</t>
  </si>
  <si>
    <t>เหนียว</t>
  </si>
  <si>
    <t>พักดิน</t>
  </si>
  <si>
    <t>KK-3</t>
  </si>
  <si>
    <t>sup</t>
  </si>
  <si>
    <t>กษมา</t>
  </si>
  <si>
    <t>อุปกรณ์ของผู้รับเหมา</t>
  </si>
  <si>
    <t>MPT12-358</t>
  </si>
  <si>
    <t>กษมา2</t>
  </si>
  <si>
    <t>คู่</t>
  </si>
  <si>
    <t>MPT-618</t>
  </si>
  <si>
    <t>กษมา3</t>
  </si>
  <si>
    <t>สระ 902302</t>
  </si>
  <si>
    <t>เครื่องยนต์สุบน้ำ</t>
  </si>
  <si>
    <t>น้ำหยดบนดิน Move</t>
  </si>
  <si>
    <t>อ้อยตอ 2</t>
  </si>
  <si>
    <t xml:space="preserve">ทองภูมิ 6 </t>
  </si>
  <si>
    <t>เครื่องยนต์สูบน้ำ/โรงสูบน้ำ Solar Cell</t>
  </si>
  <si>
    <t>น้ำหยด 3/ราดร่อง</t>
  </si>
  <si>
    <t>MPT-442</t>
  </si>
  <si>
    <t>เครื่องยนต์/โรงสูบน้ำ Solar Cell</t>
  </si>
  <si>
    <t>MTP-618</t>
  </si>
  <si>
    <t>617/1</t>
  </si>
  <si>
    <t>Csb08-108</t>
  </si>
  <si>
    <t>อ้อยน้ำราด</t>
  </si>
  <si>
    <t>KK-3,MPT-618</t>
  </si>
  <si>
    <t>อ้อยตุลาคม</t>
  </si>
  <si>
    <t>KK-3/PK-2</t>
  </si>
  <si>
    <t>kk-3</t>
  </si>
  <si>
    <t>MPT14-618,KK3</t>
  </si>
  <si>
    <t>สระ 902303 (โซล่า)</t>
  </si>
  <si>
    <t>โรงสูบน้ำ Solar Cell</t>
  </si>
  <si>
    <t>PK-3</t>
  </si>
  <si>
    <t>สระ 902304 (ติดตั้งโซล่า)</t>
  </si>
  <si>
    <t>743/1</t>
  </si>
  <si>
    <t>MPT14-618,ทองภูมิ6</t>
  </si>
  <si>
    <t>KK-3,MPT-358</t>
  </si>
  <si>
    <t>เอราวัณ</t>
  </si>
  <si>
    <t>ทองภูมิ6</t>
  </si>
  <si>
    <t>MPT12-74</t>
  </si>
  <si>
    <t>KK-3,MPT-12-74</t>
  </si>
  <si>
    <t>MPT-12-1782,KK-3</t>
  </si>
  <si>
    <t xml:space="preserve">สระ 902304 </t>
  </si>
  <si>
    <t>สระ 902305</t>
  </si>
  <si>
    <t>สระน้ำในแปลง</t>
  </si>
  <si>
    <t>MPT-12-1782/MPT-618</t>
  </si>
  <si>
    <t>สระ 902140</t>
  </si>
  <si>
    <t>รับใหม่</t>
  </si>
  <si>
    <t>ทราย</t>
  </si>
  <si>
    <t>สระในแปลงซื้อใหม่</t>
  </si>
  <si>
    <t>กระทุ่ม 2</t>
  </si>
  <si>
    <t>ระพีพันธ์</t>
  </si>
  <si>
    <t>สระ 906302</t>
  </si>
  <si>
    <t>Solar floating</t>
  </si>
  <si>
    <t>ฤดี กาฬภักดี</t>
  </si>
  <si>
    <t>อุปกรณ์ผู้รับเหมา+น้ำมันบริษัท</t>
  </si>
  <si>
    <t>MPT12-358,MPT12-442</t>
  </si>
  <si>
    <t>MPT14-618</t>
  </si>
  <si>
    <t>สระ 906301</t>
  </si>
  <si>
    <t>สระ 11 (บ่อบำบัด)</t>
  </si>
  <si>
    <t>ระบบ ไฟฟ้า</t>
  </si>
  <si>
    <t>เผชิญ กาฬภักดี</t>
  </si>
  <si>
    <t>CSB15-221/MPT-618</t>
  </si>
  <si>
    <t>MPT12-618,Csb08-108</t>
  </si>
  <si>
    <t>923/1</t>
  </si>
  <si>
    <t>ลำดวน เนียมปาน</t>
  </si>
  <si>
    <t>922/1</t>
  </si>
  <si>
    <t>CSB15-221/KK-3</t>
  </si>
  <si>
    <t>ระบบ ไฟฟ้า/เครื่องสูบน้ำ</t>
  </si>
  <si>
    <t>KK-3,MPT-12-74,MPT-12-82,MPT 358</t>
  </si>
  <si>
    <t>CSB15-221,KK-3</t>
  </si>
  <si>
    <t>สระ 906303</t>
  </si>
  <si>
    <t>สระ 906304</t>
  </si>
  <si>
    <t>น้ำหยดบนดิน  Move</t>
  </si>
  <si>
    <t>934/1</t>
  </si>
  <si>
    <t>เรียง สูงปานเขา</t>
  </si>
  <si>
    <t>น้ำหยด 3/สปริงเกอร์</t>
  </si>
  <si>
    <t>ณรงค์ กาฬภักดี</t>
  </si>
  <si>
    <t>สระ 906307 (OASIS2)</t>
  </si>
  <si>
    <t>สระ 906305</t>
  </si>
  <si>
    <t>สามารถ กลิ่นสายทอง</t>
  </si>
  <si>
    <t>MPT2542</t>
  </si>
  <si>
    <t>สระ 10 (บำบัด)</t>
  </si>
  <si>
    <t>สระโรงงาน(บ่อบำบัด)</t>
  </si>
  <si>
    <t>MPT12561,MPT1782,MPT12-74,MPT12-618,CSB08-108</t>
  </si>
  <si>
    <t xml:space="preserve"> เรียง สูงปานเขา</t>
  </si>
  <si>
    <t>MPT 12-74</t>
  </si>
  <si>
    <t>สระ 1032</t>
  </si>
  <si>
    <t>สระ 906306</t>
  </si>
  <si>
    <t>วิภา ยมมาก</t>
  </si>
  <si>
    <t>MPT12-74/MPT14-618</t>
  </si>
  <si>
    <t>เครื่องยนต์สุบน้ำ/Solar Mobine</t>
  </si>
  <si>
    <t>กิโลแปด</t>
  </si>
  <si>
    <t>สระ 901103</t>
  </si>
  <si>
    <t>สระโรงงาน124(บ่อบำบัด)</t>
  </si>
  <si>
    <t xml:space="preserve"> ชาตรี(หมี) </t>
  </si>
  <si>
    <t xml:space="preserve"> เครื่องผู้รับเหมา+สายผู้รับเหมา+น้ำมันผูรับเหมา </t>
  </si>
  <si>
    <t>CSB08-108,ทองภูมิ6</t>
  </si>
  <si>
    <t>อ้อยตอ 3</t>
  </si>
  <si>
    <t>CSB08-108</t>
  </si>
  <si>
    <t>PK-3,Q250</t>
  </si>
  <si>
    <t>สระ 901110</t>
  </si>
  <si>
    <t>ไม่ทราบปริมาณน้ำ</t>
  </si>
  <si>
    <t>สระ 901112</t>
  </si>
  <si>
    <t>Csb08-108,KK-3</t>
  </si>
  <si>
    <t>สระ 901124</t>
  </si>
  <si>
    <t xml:space="preserve">สระบ่อน้ำดิบ </t>
  </si>
  <si>
    <t xml:space="preserve"> กรรณิกา เขียวเกษม </t>
  </si>
  <si>
    <t xml:space="preserve"> อุปกรณ์บริษัท </t>
  </si>
  <si>
    <t>Sup</t>
  </si>
  <si>
    <t>CSB08-108,KK-3</t>
  </si>
  <si>
    <t>CSB08-108,KK-3,ทองภูมิ6</t>
  </si>
  <si>
    <t>MPT358/KK3</t>
  </si>
  <si>
    <t>MPT-358,KK-3</t>
  </si>
  <si>
    <t>MPT12-1782</t>
  </si>
  <si>
    <t>802430/1</t>
  </si>
  <si>
    <t>802429/1</t>
  </si>
  <si>
    <t>สระ 901135</t>
  </si>
  <si>
    <t>สระ 901138</t>
  </si>
  <si>
    <t>KK-3/PK3</t>
  </si>
  <si>
    <t>KK-3/PK2/PK3</t>
  </si>
  <si>
    <t>สมเกียรติ</t>
  </si>
  <si>
    <t>สระ 903301</t>
  </si>
  <si>
    <t>นายจรูญ  กาฬภักดี</t>
  </si>
  <si>
    <t>2 ชุด เครื่องผรม.(สายน้ำหยด)+น้ำมันบริษัท</t>
  </si>
  <si>
    <t>Q250</t>
  </si>
  <si>
    <t>Kps16-1-203, Kps16-8-6, CSB15-144, CSB15-243, KK3</t>
  </si>
  <si>
    <t>ท่อโครงการปันน้ำใช้</t>
  </si>
  <si>
    <t>ดูท่อมีจริงป่าว</t>
  </si>
  <si>
    <t>MPT-442,KK-3</t>
  </si>
  <si>
    <t>สระ 903302</t>
  </si>
  <si>
    <t>ยังไม่มีน้ำ</t>
  </si>
  <si>
    <t>Rain</t>
  </si>
  <si>
    <t>สระ 903304</t>
  </si>
  <si>
    <t>ท่อปั้นน้ำใช้</t>
  </si>
  <si>
    <t>ห้วยขจี</t>
  </si>
  <si>
    <t>สระ 903305</t>
  </si>
  <si>
    <t>สระโรงงน(บ่อบำบัด)</t>
  </si>
  <si>
    <t>นาย ก.</t>
  </si>
  <si>
    <t>1 ชุด เครื่องผรม.(สายน้ำหยด)+น้ำมันบริษัท</t>
  </si>
  <si>
    <t>CSB08-108/KK-3</t>
  </si>
  <si>
    <t>สระ 903306</t>
  </si>
  <si>
    <t>น้ำฝน (น้ำหมดสระ)</t>
  </si>
  <si>
    <t>สระ 921303</t>
  </si>
  <si>
    <t>KK-4</t>
  </si>
  <si>
    <t>สระ 903307</t>
  </si>
  <si>
    <t>MPT 2542</t>
  </si>
  <si>
    <t>สระ 903308</t>
  </si>
  <si>
    <t>น.ส.แสงดาว ทองพิกุล</t>
  </si>
  <si>
    <t>ท่อปันน้ำใช้</t>
  </si>
  <si>
    <t>สระน้ำ 303</t>
  </si>
  <si>
    <t>เขาประทุน</t>
  </si>
  <si>
    <t>บรรจบ</t>
  </si>
  <si>
    <t>สระ 917101</t>
  </si>
  <si>
    <t>สมศักดิ์ บุญประเสริฐ</t>
  </si>
  <si>
    <t>2 ชุด เครื่อง 3+ สายผรม.+น้ำมันบริษัท</t>
  </si>
  <si>
    <t>สระ 917103</t>
  </si>
  <si>
    <t>สระ 917105</t>
  </si>
  <si>
    <t>สระ 917108</t>
  </si>
  <si>
    <t>สระ 917108/บาดาล109</t>
  </si>
  <si>
    <t>สระ 917109</t>
  </si>
  <si>
    <t>บ่อบาดาล 111 (2 บ่อ)</t>
  </si>
  <si>
    <t>ระบบ ไฟฟ้า/Solar Fix</t>
  </si>
  <si>
    <t>2 ชุด บ่อบาดาล+ สายผรม.+น้ำมันบริษัท</t>
  </si>
  <si>
    <t>MPT12-618</t>
  </si>
  <si>
    <t>บ่อบาดาล 112</t>
  </si>
  <si>
    <t>Solar Cell Fix</t>
  </si>
  <si>
    <t>บ่อบาดาล 113</t>
  </si>
  <si>
    <t>บ่อบาดาล 114</t>
  </si>
  <si>
    <t>บ่อบาดาล 115</t>
  </si>
  <si>
    <t>1317/1</t>
  </si>
  <si>
    <t>สระ 917115</t>
  </si>
  <si>
    <t>สระ 917115/บาดาล 117</t>
  </si>
  <si>
    <t>1323/2</t>
  </si>
  <si>
    <t>บ่อบาดาล 119</t>
  </si>
  <si>
    <t>บ่อบาดาล 120</t>
  </si>
  <si>
    <t>บ่อบาดาล 121</t>
  </si>
  <si>
    <t>บ่อบาดาล 122</t>
  </si>
  <si>
    <t>บ่อบาดาล 123</t>
  </si>
  <si>
    <t>สระ 917115/บาดาล 124</t>
  </si>
  <si>
    <t>บ่อบาดาล 125</t>
  </si>
  <si>
    <t>บ่อบาดาล 126</t>
  </si>
  <si>
    <t>KK-3,PK-3</t>
  </si>
  <si>
    <t>สระ 917127</t>
  </si>
  <si>
    <t>520/1</t>
  </si>
  <si>
    <t>แหล่งน้ำธรรมชาติ</t>
  </si>
  <si>
    <t xml:space="preserve">เขาแหลม </t>
  </si>
  <si>
    <t>วินัย</t>
  </si>
  <si>
    <t>สระน้ำ 907102</t>
  </si>
  <si>
    <t>บ่อบาดาล Solar เติมสระ</t>
  </si>
  <si>
    <t xml:space="preserve"> นางสาวพัทยา เชิญรัมย์ </t>
  </si>
  <si>
    <t xml:space="preserve"> อุปกรณ์+เครื่อง+น้ำมันบริษัท </t>
  </si>
  <si>
    <t>บ่อบาดาล 102</t>
  </si>
  <si>
    <t xml:space="preserve"> อุปกรณ์ของบริษัท(บาดาล) </t>
  </si>
  <si>
    <t>1205/1</t>
  </si>
  <si>
    <t>บ่อบาดาล 104</t>
  </si>
  <si>
    <t>บ่อบาดาล 105</t>
  </si>
  <si>
    <t xml:space="preserve"> นายสมศักดิ์ บุญประเสริฐ  </t>
  </si>
  <si>
    <t>KK-4,MPT-618</t>
  </si>
  <si>
    <t>บ่อบาดาล 106</t>
  </si>
  <si>
    <t>KK-4,KK-3</t>
  </si>
  <si>
    <t>บ่อบาดาล 107</t>
  </si>
  <si>
    <t>CSB15-144 ,MTP12-442,ทองภูมิ6</t>
  </si>
  <si>
    <t>สระ 907110</t>
  </si>
  <si>
    <t xml:space="preserve"> อุปกรณ์+น้ำมันบริษัท+เครื่องผรม. </t>
  </si>
  <si>
    <t xml:space="preserve">MPT-12561 </t>
  </si>
  <si>
    <t>สระ 907111</t>
  </si>
  <si>
    <t>ไม่มีน้ำ</t>
  </si>
  <si>
    <t>KK-4,KK-3,LK92-11,MPT-618</t>
  </si>
  <si>
    <t>สระ 907112/บาดาล113</t>
  </si>
  <si>
    <t>บ่อบาดาล113 Solar เติมสระ</t>
  </si>
  <si>
    <t>MPT12-618,MPT12-1782</t>
  </si>
  <si>
    <t>บ่อบาดาล Solar</t>
  </si>
  <si>
    <t>สระ 907112/บาดาล117</t>
  </si>
  <si>
    <t>บ่อบาดาล117 Solar เติมสระ</t>
  </si>
  <si>
    <t>เครื่องยนต์สูบน้ำ</t>
  </si>
  <si>
    <t> </t>
  </si>
  <si>
    <t>ทองภูมิ 6,MPT618</t>
  </si>
  <si>
    <t>สระ 907112/บาดาล118</t>
  </si>
  <si>
    <t>บ่อบาดาล118 Solar เติมสระ</t>
  </si>
  <si>
    <t>สระ 907119</t>
  </si>
  <si>
    <t>1224/1</t>
  </si>
  <si>
    <t>สระ 907121</t>
  </si>
  <si>
    <t>สระ 907119/บาดาล124</t>
  </si>
  <si>
    <t>บ่อบาดาล124 Solar เติมสระ</t>
  </si>
  <si>
    <t>สระ 907119/บาดาล125</t>
  </si>
  <si>
    <t>บ่อบาดาล125 Solar เติมสระ</t>
  </si>
  <si>
    <t>สระ 907119/บาดาล126</t>
  </si>
  <si>
    <t>บ่อบาดาล126 Solar เติมสระ</t>
  </si>
  <si>
    <t>ทองภูมิ6,MPT-358</t>
  </si>
  <si>
    <t>ขาดแหล่งน้ำ</t>
  </si>
  <si>
    <t xml:space="preserve">ทัพผึ้ง </t>
  </si>
  <si>
    <t>พรเทพ</t>
  </si>
  <si>
    <t>สระ 927101</t>
  </si>
  <si>
    <t>ผรม.นันทวุฒิ โพธิ์ทอง</t>
  </si>
  <si>
    <t>2ชุด+เครื่อง+สายผรม.+น้ำมัน บริษํท</t>
  </si>
  <si>
    <t>807903/2</t>
  </si>
  <si>
    <t>สระ 927101/บ่อบาดาล105</t>
  </si>
  <si>
    <t>น้ำฝน/บาดาลเติมสระ</t>
  </si>
  <si>
    <t>เครื่องยนต์สุบน้ำ/Solar Fix</t>
  </si>
  <si>
    <t>สระ 927112</t>
  </si>
  <si>
    <t>สระ 927114</t>
  </si>
  <si>
    <t>สระ 927114/บ่อบาดาล115</t>
  </si>
  <si>
    <t>น้ำฝน/บาดาลเสริม</t>
  </si>
  <si>
    <t>น้ำหยด IOT</t>
  </si>
  <si>
    <t>สระ 927114/บ่อบาดาล116</t>
  </si>
  <si>
    <t>807929/1</t>
  </si>
  <si>
    <t>ทองภูมิ 6</t>
  </si>
  <si>
    <t>สระ 927302</t>
  </si>
  <si>
    <t>ไม่ทราบ</t>
  </si>
  <si>
    <t>สระ 927125</t>
  </si>
  <si>
    <t xml:space="preserve">MPT-12561,MPT12-358,MPT12-442 </t>
  </si>
  <si>
    <t>บ่อบาดาล 127</t>
  </si>
  <si>
    <t>MPT-358</t>
  </si>
  <si>
    <t>น้ำธรรมชาติ</t>
  </si>
  <si>
    <t>ทัพหลวง</t>
  </si>
  <si>
    <t>พรไพรสน</t>
  </si>
  <si>
    <t>CSB-221</t>
  </si>
  <si>
    <t>สระ 4-5</t>
  </si>
  <si>
    <t>MPT12-74,MPT-618</t>
  </si>
  <si>
    <t>MPT-12-1782</t>
  </si>
  <si>
    <t>ผรม.วสันต์ แก้วไข่</t>
  </si>
  <si>
    <t>1 ชุด+อุปกรณ์ผรม+น้ำมันบริษัท</t>
  </si>
  <si>
    <t>สระ 5-6</t>
  </si>
  <si>
    <t>สระ 2</t>
  </si>
  <si>
    <t>สระ 1</t>
  </si>
  <si>
    <t>สระ 3</t>
  </si>
  <si>
    <t xml:space="preserve">หนองแก </t>
  </si>
  <si>
    <t>สระ 928130-104</t>
  </si>
  <si>
    <t>บ่อบาลเติมสระ101</t>
  </si>
  <si>
    <t xml:space="preserve"> นายพันอยู่ สุขสวัสดิ์ </t>
  </si>
  <si>
    <t xml:space="preserve"> อุปกรณ์ของบริษัท </t>
  </si>
  <si>
    <t>สระ 928104</t>
  </si>
  <si>
    <t xml:space="preserve"> นายทวี โพธิ์ทอง </t>
  </si>
  <si>
    <t xml:space="preserve"> อุปกรณ์ผู้รับเหมา + น้ำมันบริษัท </t>
  </si>
  <si>
    <t>สระ 928111/บ่อบาดาล</t>
  </si>
  <si>
    <t>บ่อบาลเติมสระ 110</t>
  </si>
  <si>
    <t xml:space="preserve"> อุปกรณ์ของบริษัท+น้ำมันบริษัท </t>
  </si>
  <si>
    <t>สระ 928112</t>
  </si>
  <si>
    <t>สระ 928120</t>
  </si>
  <si>
    <t>สระ 928124</t>
  </si>
  <si>
    <t>สระ 928301</t>
  </si>
  <si>
    <t>806806/1</t>
  </si>
  <si>
    <t>สระ 928130</t>
  </si>
  <si>
    <t>MPT12-618,Q250</t>
  </si>
  <si>
    <t>สระ 928202-141</t>
  </si>
  <si>
    <t>หนองขาม</t>
  </si>
  <si>
    <t>สระ 911101</t>
  </si>
  <si>
    <t>1 ชุด +เครื่องยนต์+สายผรม.+น้ำมันบริษัท</t>
  </si>
  <si>
    <t>CSB15-144 ,MTP12-442</t>
  </si>
  <si>
    <t>สระ 911104</t>
  </si>
  <si>
    <t>MPT-358,MPT-442,MTP618</t>
  </si>
  <si>
    <t>LK92-11</t>
  </si>
  <si>
    <t>1 ชุด +ไฟฟ้าบจก.+สายผรม.+น้ำมันบริษัท</t>
  </si>
  <si>
    <t xml:space="preserve"> CSB15-144 ,MPT12-358</t>
  </si>
  <si>
    <t>Csb08-108,MPT-618,MPT12-358</t>
  </si>
  <si>
    <t>สระ 911403</t>
  </si>
  <si>
    <t>สระ 911110</t>
  </si>
  <si>
    <t>น้ำฝน (ไม่ทราบปริมาณน้ำ)</t>
  </si>
  <si>
    <t>บ่อบาดาล 111</t>
  </si>
  <si>
    <t>บ่อบาดาล 116</t>
  </si>
  <si>
    <t>โซล่าเซลล+สายผรม.</t>
  </si>
  <si>
    <t>บ่อบาดาล 117</t>
  </si>
  <si>
    <t>บ่อบาดาล 118</t>
  </si>
  <si>
    <t>สระ 91119</t>
  </si>
  <si>
    <t>สมชาย</t>
  </si>
  <si>
    <t>MPT12561,MPT2542</t>
  </si>
  <si>
    <t>บ่อบาดาล 101</t>
  </si>
  <si>
    <t>บุญนอม กาฬภัคดี</t>
  </si>
  <si>
    <t>2 ชุด+บ่อบาดาลโซล่า+สายน้ำผรม.</t>
  </si>
  <si>
    <t>MPT-1782,MPT12-618</t>
  </si>
  <si>
    <t>MPT12542,MPT-1309</t>
  </si>
  <si>
    <t>บ่อบาดาล 103</t>
  </si>
  <si>
    <t>MPT-1309</t>
  </si>
  <si>
    <t>1504/1</t>
  </si>
  <si>
    <t>1504/2</t>
  </si>
  <si>
    <t>CSB08-108,MPT-1309</t>
  </si>
  <si>
    <t>บ่อบาดาล 108</t>
  </si>
  <si>
    <t>1505/1</t>
  </si>
  <si>
    <t>บ่อบาดาล 109</t>
  </si>
  <si>
    <t>1505/2</t>
  </si>
  <si>
    <t>1506/1</t>
  </si>
  <si>
    <t>1507/1</t>
  </si>
  <si>
    <t>พัักดิน</t>
  </si>
  <si>
    <t>1512/1</t>
  </si>
  <si>
    <t>บ่อบาดาล 908116</t>
  </si>
  <si>
    <t>บ่อบาดาล 908117</t>
  </si>
  <si>
    <t>MPT-1782,MPT12-442,MPT-618</t>
  </si>
  <si>
    <t>สระ 908121/บาดาล118</t>
  </si>
  <si>
    <t>2 ชุด+เครื่อง+สายน้ำผรม.+น้ำมันบริษํท</t>
  </si>
  <si>
    <t>สระ 908121</t>
  </si>
  <si>
    <t>สระ 908121/บาดาล1/120</t>
  </si>
  <si>
    <t>MPT-358,MPT12-618</t>
  </si>
  <si>
    <t xml:space="preserve">ดงเชือก </t>
  </si>
  <si>
    <t>ขอนแก่น3</t>
  </si>
  <si>
    <t>สระ 924301</t>
  </si>
  <si>
    <t>คลองกระเสียว</t>
  </si>
  <si>
    <t>ระบบ ไฟฟ้า/Solar pupm</t>
  </si>
  <si>
    <t>ชัยนรินทร์ โคกคำ</t>
  </si>
  <si>
    <t>อุปกรณ์ผู้รับเหมา + น้ำมันบริษัท</t>
  </si>
  <si>
    <t>MPT17-703,MPT18-12733,MTP12-358</t>
  </si>
  <si>
    <t>ขอนแก่น 3,MPT12-1048</t>
  </si>
  <si>
    <t>PK-2</t>
  </si>
  <si>
    <t>น้ำธรรมชาติ(ห้วยกระเสียว)</t>
  </si>
  <si>
    <t>อุปกรณ์ผู้รับเหมาทั้งหมด</t>
  </si>
  <si>
    <t>CSB144</t>
  </si>
  <si>
    <t>สระ 804612</t>
  </si>
  <si>
    <t>น้ำราดร่อง</t>
  </si>
  <si>
    <t>KPS0112</t>
  </si>
  <si>
    <t>นาวี กนกหงษ์</t>
  </si>
  <si>
    <t>CSB08-108,MPT14-618</t>
  </si>
  <si>
    <t>ระบบ ไฟฟ้า/Solar pump</t>
  </si>
  <si>
    <t>สระ 924123</t>
  </si>
  <si>
    <t>ผู้รับเหมาทั้งหมด</t>
  </si>
  <si>
    <t>บ่อน้ำตื่น (ซื้อน้ำหลวง)</t>
  </si>
  <si>
    <t>สระ 924135</t>
  </si>
  <si>
    <t>ซื้อน้ำหลวง</t>
  </si>
  <si>
    <t>กิมเพชร</t>
  </si>
  <si>
    <t>CSB 15-221</t>
  </si>
  <si>
    <t>สระ 921301</t>
  </si>
  <si>
    <t>ทำเอง</t>
  </si>
  <si>
    <t>รายวันทำเอง</t>
  </si>
  <si>
    <t>น้ำหยดใต้ดิน</t>
  </si>
  <si>
    <t>สระ 921302</t>
  </si>
  <si>
    <t>MPT12-358,MPT12-442,MPT12-74</t>
  </si>
  <si>
    <t>CSB08-108,MPT14-618,KK3</t>
  </si>
  <si>
    <t>สามารถ</t>
  </si>
  <si>
    <t>อุปกรณ์ผู้รับเหมา+น้ำมันเรา</t>
  </si>
  <si>
    <t>ห้วยศจี</t>
  </si>
  <si>
    <t>แหล่งน้ำธรรมชาติ (ห้วยกระเสียว)</t>
  </si>
  <si>
    <t>วิทยา</t>
  </si>
  <si>
    <t>สระ 921304</t>
  </si>
  <si>
    <t>น้ำฝน(น้ำแห้ง)</t>
  </si>
  <si>
    <t>สระ 921305</t>
  </si>
  <si>
    <t>812559/1</t>
  </si>
  <si>
    <t>สระในแปลง</t>
  </si>
  <si>
    <t>เพิ่มพท.เช่า</t>
  </si>
  <si>
    <t>สระในแปลง (30%)</t>
  </si>
  <si>
    <t>สามชุก</t>
  </si>
  <si>
    <t>ถนนดอกไม้</t>
  </si>
  <si>
    <t>สระน้ำในแปลง(ขุดขยาย)</t>
  </si>
  <si>
    <t>คลองส่งน้ำกระเสียว</t>
  </si>
  <si>
    <t>KK-3,ทองภูมิ6</t>
  </si>
  <si>
    <t>สระนำ 301</t>
  </si>
  <si>
    <t>คลองระบายน้ำ</t>
  </si>
  <si>
    <t xml:space="preserve"> เมืองไพร </t>
  </si>
  <si>
    <t xml:space="preserve"> อุปกรณ์+เครื่อง+น้ำมัน ผรม </t>
  </si>
  <si>
    <t>CSB08-108,MPT14-618,ทองภูมิ6</t>
  </si>
  <si>
    <t>สระนำ 302</t>
  </si>
  <si>
    <t>เครื่องยนต์สูบน้ำ/Solar pump</t>
  </si>
  <si>
    <t xml:space="preserve">หนองกระทิง </t>
  </si>
  <si>
    <t>วารี</t>
  </si>
  <si>
    <t>สระ 926101/บ่อบาล1</t>
  </si>
  <si>
    <t>วิภา โยมมาก</t>
  </si>
  <si>
    <t>อุปกรณ์ผู้รับเหมา + น้ำมันเรา</t>
  </si>
  <si>
    <t>สระ 926303/บ่อบาล1</t>
  </si>
  <si>
    <t>คณึง บัญฑิต</t>
  </si>
  <si>
    <t>อุปกรณ์เขา + ไฟฟ้าเรา</t>
  </si>
  <si>
    <t>สระ 926304</t>
  </si>
  <si>
    <t>บ่อบาดาล Solar2</t>
  </si>
  <si>
    <t xml:space="preserve">อุปกรณ์ผู้รับเหมา + น้ำมันเรา </t>
  </si>
  <si>
    <t>สระ 926305</t>
  </si>
  <si>
    <t>บ่อบาดาล Salar 3</t>
  </si>
  <si>
    <t>CSB15-221,MTP12-618</t>
  </si>
  <si>
    <t>CSB07-199</t>
  </si>
  <si>
    <t>CSB15-144</t>
  </si>
  <si>
    <t>MPT-12-1782,MPT12-358</t>
  </si>
  <si>
    <t>สระ 926305,306</t>
  </si>
  <si>
    <t>สระ 926307/บ่อบาล1</t>
  </si>
  <si>
    <t>บ่อบาดาลปั้มไฟฟ้า</t>
  </si>
  <si>
    <t>สระ 926301</t>
  </si>
  <si>
    <t xml:space="preserve">ทุ่งโป่ง </t>
  </si>
  <si>
    <t>ธนพล</t>
  </si>
  <si>
    <t>MPT12-442</t>
  </si>
  <si>
    <t>สระ 919111</t>
  </si>
  <si>
    <t>บุญยืน น้ำแก้ว</t>
  </si>
  <si>
    <t>2 ชุด +เครื่องและสาย น้ำมัน บจก.</t>
  </si>
  <si>
    <t>MPT-12-1782/MPT358/MPT12-74</t>
  </si>
  <si>
    <t>สระ 919115</t>
  </si>
  <si>
    <t>สระ 919115/บาดาล 104</t>
  </si>
  <si>
    <t>สระ 919115/บาดาล 105</t>
  </si>
  <si>
    <t>สระ 919115/บาดาล 106</t>
  </si>
  <si>
    <t>สระ 919113</t>
  </si>
  <si>
    <t>สระ 919112/บาดาล 109</t>
  </si>
  <si>
    <t>รุ่งอรุณ แคพันดุง</t>
  </si>
  <si>
    <t>1907/1</t>
  </si>
  <si>
    <t>สระ 919112</t>
  </si>
  <si>
    <t>1907/2</t>
  </si>
  <si>
    <t>1908/1</t>
  </si>
  <si>
    <t>1909/1</t>
  </si>
  <si>
    <t>MPT-12-1782/ทองภูมิ6</t>
  </si>
  <si>
    <t>สระ 919117/บาดาล 115</t>
  </si>
  <si>
    <t>1913/2</t>
  </si>
  <si>
    <t>สระ 919117</t>
  </si>
  <si>
    <t>สระ 919119/บาดาล 118</t>
  </si>
  <si>
    <t>คลองธรรมชาติ</t>
  </si>
  <si>
    <t>สระ 919119/บาดาล 119</t>
  </si>
  <si>
    <t xml:space="preserve">สระขุดใหม่ </t>
  </si>
  <si>
    <t>สระขุดใหม่ /บาดาล2 บ่อ</t>
  </si>
  <si>
    <t>นางเตือนใจ บัวคลี่</t>
  </si>
  <si>
    <t>ผจก.จัดหา</t>
  </si>
  <si>
    <t>น้ำหยดบนดิน Fix</t>
  </si>
  <si>
    <t xml:space="preserve">ลำอีซู </t>
  </si>
  <si>
    <t>ญาโนภาส</t>
  </si>
  <si>
    <t>CSB15-144 /MPT-618</t>
  </si>
  <si>
    <t>สระ 920104</t>
  </si>
  <si>
    <t xml:space="preserve"> อุปกรณ์+เครื่อง+น้ำมันบริษัท</t>
  </si>
  <si>
    <t>แยกรหัส</t>
  </si>
  <si>
    <t>สระ 920106</t>
  </si>
  <si>
    <t>เครื่องยนต์สุบน้ำ/solar pupm</t>
  </si>
  <si>
    <t>MPT-12-1782/MPT12-74</t>
  </si>
  <si>
    <t>คู่+เดี่ยว</t>
  </si>
  <si>
    <t>ปรีชา ศักดิ์ศรี</t>
  </si>
  <si>
    <t xml:space="preserve"> อุปกรณ์ผรม.+เครื่องผรม.+น้ำมันบริษัท</t>
  </si>
  <si>
    <t>KK-3,KK-4,MPT-442,MPT 618</t>
  </si>
  <si>
    <t>สระ 920204</t>
  </si>
  <si>
    <t>สระ 920113/บาดาล108</t>
  </si>
  <si>
    <t>สระ 920113</t>
  </si>
  <si>
    <t>PK-3/PK-2</t>
  </si>
  <si>
    <t>สระ 920113/บาดาล110</t>
  </si>
  <si>
    <t>เครื่องยนต์สุบน้ำ+โซล่าเซลล์</t>
  </si>
  <si>
    <t>ลำดวน จันทนุรักษ์</t>
  </si>
  <si>
    <t>2ชุด อุปกรณ์ผรม+น้ำมันบจก.</t>
  </si>
  <si>
    <t xml:space="preserve"> CSB15-144 ,MPT12-442,MPT12-74,MPT14-618</t>
  </si>
  <si>
    <t>บ่อบาดาล 102 (2 บ่อ)</t>
  </si>
  <si>
    <t>สระ 910104</t>
  </si>
  <si>
    <t>1705/1</t>
  </si>
  <si>
    <t>KK-3,PK-2</t>
  </si>
  <si>
    <t>สระ 910104/บาดาล 105</t>
  </si>
  <si>
    <t>1706/1</t>
  </si>
  <si>
    <t>สระ 910104/บาดาล 109</t>
  </si>
  <si>
    <t>สระ 910110/บาดาล 110</t>
  </si>
  <si>
    <t>สระ 910110</t>
  </si>
  <si>
    <t>1712/6</t>
  </si>
  <si>
    <t>สระ 910116</t>
  </si>
  <si>
    <t>สระ 910116/บาดาล 118</t>
  </si>
  <si>
    <t>สระ 913111</t>
  </si>
  <si>
    <t>2 ชุด อุปกรณ์ผรม.+น้ำมันบจก.</t>
  </si>
  <si>
    <t>น้ำหยด/Pivot Irrigation</t>
  </si>
  <si>
    <t>Pivot</t>
  </si>
  <si>
    <t>สระ 913111/บ่อบาดาล 105</t>
  </si>
  <si>
    <t>สระ 913111/บ่อบาดาล 106</t>
  </si>
  <si>
    <t>สระ 913111/สระ 913108</t>
  </si>
  <si>
    <t>สระ 913111/บ่อบาดาล 109</t>
  </si>
  <si>
    <t>1723/2</t>
  </si>
  <si>
    <t>1725/1</t>
  </si>
  <si>
    <t>รวม</t>
  </si>
  <si>
    <t xml:space="preserve">ไร่ </t>
  </si>
  <si>
    <t>pH (1:5)</t>
  </si>
  <si>
    <t>EC 1:5 (dS/m)</t>
  </si>
  <si>
    <t>Available P (mg/kg) : Bray II Method</t>
  </si>
  <si>
    <t>แปลง</t>
  </si>
  <si>
    <t>ความต้องการธาตุอาหาร (กก./ไร่)</t>
  </si>
  <si>
    <t>คำแนะนำการใช้ปุ๋ยสำหรับอ้อยปลูก</t>
  </si>
  <si>
    <t>คำแนะนำการใช้ปุ๋ยสำหรับอ้อยตอ</t>
  </si>
  <si>
    <t>แปลงพักดิน ปี 2568/69  เพื่อปลูกอ้อยตุลาคม  ปี 2569/70</t>
  </si>
  <si>
    <t xml:space="preserve">อ้อยปลูก </t>
  </si>
  <si>
    <t>สูตรปุ๋ยรองพื้น</t>
  </si>
  <si>
    <t>อัตรา</t>
  </si>
  <si>
    <t>สูตรปุ๋ยแต่งหน้า</t>
  </si>
  <si>
    <t>ธาตุอาหารที่ได้</t>
  </si>
  <si>
    <t>สูตรปุ๋ยดพิ่มผลผลิต</t>
  </si>
  <si>
    <t>รหัสตัวอย่าง</t>
  </si>
  <si>
    <t>ชื่อผู้ส่งตัวอย่าง</t>
  </si>
  <si>
    <t>สถานที่เก็บตัวอย่าง</t>
  </si>
  <si>
    <t>ระดับ</t>
  </si>
  <si>
    <t>EC (mS/cm)</t>
  </si>
  <si>
    <t>P (mg/kg)</t>
  </si>
  <si>
    <t>K (mg/kg)</t>
  </si>
  <si>
    <t xml:space="preserve"> N</t>
  </si>
  <si>
    <t>(กก./ไร่)</t>
  </si>
  <si>
    <t>6826Mar01</t>
  </si>
  <si>
    <t>ธวุธ</t>
  </si>
  <si>
    <t>หนองแก</t>
  </si>
  <si>
    <t>ไม่เค็ม</t>
  </si>
  <si>
    <t>14-7-35</t>
  </si>
  <si>
    <t>46-0-0</t>
  </si>
  <si>
    <t>6826Mar02</t>
  </si>
  <si>
    <t>20-8-8</t>
  </si>
  <si>
    <t>14-6-28</t>
  </si>
  <si>
    <t>6826Mar03</t>
  </si>
  <si>
    <t>6826Mar04</t>
  </si>
  <si>
    <t>6826Mar05</t>
  </si>
  <si>
    <t>6826Mar06</t>
  </si>
  <si>
    <t>6826Mar07</t>
  </si>
  <si>
    <t>6826Mar08</t>
  </si>
  <si>
    <t>6826Mar09</t>
  </si>
  <si>
    <t>6826Mar10</t>
  </si>
  <si>
    <t>6826Mar11</t>
  </si>
  <si>
    <t>6826Mar12</t>
  </si>
  <si>
    <t>6826Mar13</t>
  </si>
  <si>
    <t>6826Mar14</t>
  </si>
  <si>
    <t>เขาแหลม</t>
  </si>
  <si>
    <t>6826Mar15</t>
  </si>
  <si>
    <t>6826Mar16</t>
  </si>
  <si>
    <t>6826Mar17</t>
  </si>
  <si>
    <t>6826Mar18</t>
  </si>
  <si>
    <t>6826Mar19</t>
  </si>
  <si>
    <t>6826Mar20</t>
  </si>
  <si>
    <t>ทัพผึ้ง</t>
  </si>
  <si>
    <t>6826Mar21</t>
  </si>
  <si>
    <t>6826Mar22</t>
  </si>
  <si>
    <t>6826Mar23</t>
  </si>
  <si>
    <t>6826Mar24</t>
  </si>
  <si>
    <t>6826Mar25</t>
  </si>
  <si>
    <t>6826Mar26</t>
  </si>
  <si>
    <t>6826Mar27</t>
  </si>
  <si>
    <t>กรดจัดมาก</t>
  </si>
  <si>
    <t>6826Mar28</t>
  </si>
  <si>
    <t>6826Mar29</t>
  </si>
  <si>
    <t>เค็มน้อย</t>
  </si>
  <si>
    <t>6826Mar30</t>
  </si>
  <si>
    <t>6826Mar31</t>
  </si>
  <si>
    <t>6826Mar32</t>
  </si>
  <si>
    <t>ณัฐพล</t>
  </si>
  <si>
    <t>กิโล8</t>
  </si>
  <si>
    <t>6826Mar33</t>
  </si>
  <si>
    <t>6826Mar34</t>
  </si>
  <si>
    <t>6826Mar35</t>
  </si>
  <si>
    <t>6826Mar36</t>
  </si>
  <si>
    <t>6826Mar37</t>
  </si>
  <si>
    <t>6826Mar38</t>
  </si>
  <si>
    <t>ดงเชือก</t>
  </si>
  <si>
    <t>6826Mar39</t>
  </si>
  <si>
    <t>6826Mar40</t>
  </si>
  <si>
    <t>6826Mar41</t>
  </si>
  <si>
    <t>6826Mar42</t>
  </si>
  <si>
    <t>6826Mar43</t>
  </si>
  <si>
    <t>6826Mar44</t>
  </si>
  <si>
    <t>6826Mar45</t>
  </si>
  <si>
    <t>6826Mar46</t>
  </si>
  <si>
    <t>6826Mar47</t>
  </si>
  <si>
    <t>6826Mar48</t>
  </si>
  <si>
    <t>6826Mar49</t>
  </si>
  <si>
    <t>6826Mar50</t>
  </si>
  <si>
    <t>6826Mar51</t>
  </si>
  <si>
    <t>6826Mar52</t>
  </si>
  <si>
    <t>6826Mar53</t>
  </si>
  <si>
    <t>6826Mar54</t>
  </si>
  <si>
    <t>6826Mar55</t>
  </si>
  <si>
    <t>6826Mar56</t>
  </si>
  <si>
    <t>6826Mar57</t>
  </si>
  <si>
    <t>6826Mar58</t>
  </si>
  <si>
    <t>6826Mar59</t>
  </si>
  <si>
    <t>6826Mar60</t>
  </si>
  <si>
    <t>6826Mar61</t>
  </si>
  <si>
    <t>6826Mar62</t>
  </si>
  <si>
    <t>6826Mar63</t>
  </si>
  <si>
    <t>6826Mar64</t>
  </si>
  <si>
    <t>6826Mar65</t>
  </si>
  <si>
    <t>6826Mar66</t>
  </si>
  <si>
    <t>6826Mar67</t>
  </si>
  <si>
    <t>6826Mar68</t>
  </si>
  <si>
    <t>6826Mar69</t>
  </si>
  <si>
    <t>6826Mar70</t>
  </si>
  <si>
    <t>6826Mar71</t>
  </si>
  <si>
    <t>6826Mar72</t>
  </si>
  <si>
    <t>6826Mar73</t>
  </si>
  <si>
    <t>ทุ่งโป่ง</t>
  </si>
  <si>
    <t>6826Mar74</t>
  </si>
  <si>
    <t>6826Mar75</t>
  </si>
  <si>
    <t>6826Mar76</t>
  </si>
  <si>
    <t>6826Mar77</t>
  </si>
  <si>
    <t>6826Mar78</t>
  </si>
  <si>
    <t>6826Mar79</t>
  </si>
  <si>
    <t>ลำอีซู</t>
  </si>
  <si>
    <t>6826Mar80</t>
  </si>
  <si>
    <t>6826Mar81</t>
  </si>
  <si>
    <t>6826Mar82</t>
  </si>
  <si>
    <t>6826Mar83</t>
  </si>
  <si>
    <t>6826Mar84</t>
  </si>
  <si>
    <t>6826Mar85</t>
  </si>
  <si>
    <t>6826Mar86</t>
  </si>
  <si>
    <t>หนองกระทิง</t>
  </si>
  <si>
    <t>6826Mar87</t>
  </si>
  <si>
    <t>หนองกระทุ่ม 2</t>
  </si>
  <si>
    <t>6826Mar88</t>
  </si>
  <si>
    <t>6826Mar89</t>
  </si>
  <si>
    <t>6826Mar90</t>
  </si>
  <si>
    <t>6826Mar91</t>
  </si>
  <si>
    <t>6826Mar92</t>
  </si>
  <si>
    <t>6826Mar93</t>
  </si>
  <si>
    <t>6826Mar94</t>
  </si>
  <si>
    <t>6826Mar95</t>
  </si>
  <si>
    <t>6826Mar96</t>
  </si>
  <si>
    <t>6826Mar97</t>
  </si>
  <si>
    <t>6826Mar98</t>
  </si>
  <si>
    <t>6826Mar99</t>
  </si>
  <si>
    <t>6826Mar100</t>
  </si>
  <si>
    <t>6826Mar101</t>
  </si>
  <si>
    <t>6826Mar102</t>
  </si>
  <si>
    <t>6826Mar103</t>
  </si>
  <si>
    <t>6826Mar104</t>
  </si>
  <si>
    <t>6826Mar105</t>
  </si>
  <si>
    <t>6826Mar106</t>
  </si>
  <si>
    <t>6826Mar107</t>
  </si>
  <si>
    <t>6826Mar108</t>
  </si>
  <si>
    <t>6826Mar109</t>
  </si>
  <si>
    <t>6826Mar110</t>
  </si>
  <si>
    <t>6826Mar111</t>
  </si>
  <si>
    <t>6826Mar112</t>
  </si>
  <si>
    <t>6826Mar113</t>
  </si>
  <si>
    <t xml:space="preserve">เฉลี่ย </t>
  </si>
  <si>
    <t>หน้าโรงงาน</t>
  </si>
  <si>
    <t>Parameters and Reports (As Dried Basis)</t>
  </si>
  <si>
    <t>%OM-Walkely and Black</t>
  </si>
  <si>
    <t>Extractable K (mg/kg)  : NH4OAc Extracted &amp; ICP</t>
  </si>
  <si>
    <t>non-detected</t>
  </si>
  <si>
    <r>
      <t xml:space="preserve">ลำดับที่ </t>
    </r>
    <r>
      <rPr>
        <sz val="9"/>
        <rFont val="Century Gothic"/>
        <family val="2"/>
      </rPr>
      <t>(No.)</t>
    </r>
  </si>
  <si>
    <r>
      <t xml:space="preserve">เลขทะเบียนตัวอย่าง </t>
    </r>
    <r>
      <rPr>
        <sz val="9"/>
        <rFont val="Century Gothic"/>
        <family val="2"/>
      </rPr>
      <t>(Sample Code)</t>
    </r>
  </si>
  <si>
    <r>
      <t xml:space="preserve">ชื่อตัวอย่าง </t>
    </r>
    <r>
      <rPr>
        <sz val="9"/>
        <rFont val="Century Gothic"/>
        <family val="2"/>
      </rPr>
      <t>(Sample Name)</t>
    </r>
  </si>
  <si>
    <t xml:space="preserve">หนองปรือ </t>
  </si>
  <si>
    <t xml:space="preserve">ไร่สามชุก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</si>
</sst>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67" formatCode="_-* #,##0.00_-;\-* #,##0.00_-;_-* &quot;-&quot;??_-;_-@_-"/>
    <numFmt numFmtId="168" formatCode="&quot;$&quot;#,##0_);[Red]\(&quot;$&quot;#,##0\)"/>
    <numFmt numFmtId="169" formatCode="_(&quot;$&quot;* #,##0_);_(&quot;$&quot;* \(#,##0\);_(&quot;$&quot;* &quot;-&quot;_);_(@_)"/>
    <numFmt numFmtId="170" formatCode="_-* #,##0_-;\-* #,##0_-;_-* &quot;-&quot;??_-;_-@_-"/>
    <numFmt numFmtId="171" formatCode="_-* #,##0.0_-;\-* #,##0.0_-;_-* &quot;-&quot;??_-;_-@_-"/>
    <numFmt numFmtId="172" formatCode="[$-1070000]d/m/yy;@"/>
    <numFmt numFmtId="173" formatCode="_-* #,##0.00\ _D_M_-;\-* #,##0.00\ _D_M_-;_-* &quot;-&quot;??\ _D_M_-;_-@_-"/>
    <numFmt numFmtId="174" formatCode="&quot;?&quot;#,##0.00;\-&quot;?&quot;#,##0.00"/>
    <numFmt numFmtId="175" formatCode="_-&quot;?&quot;* #,##0_-;\-&quot;?&quot;* #,##0_-;_-&quot;?&quot;* &quot;-&quot;_-;_-@_-"/>
    <numFmt numFmtId="176" formatCode="&quot;฿&quot;\t#,##0_);[Red]\(&quot;฿&quot;\t#,##0\)"/>
    <numFmt numFmtId="177" formatCode="0.00_)"/>
    <numFmt numFmtId="178" formatCode="[$-101041E]d\ mmm\ yy;@"/>
    <numFmt numFmtId="179" formatCode="[$-107041E]d\ mmmm\ yyyy;@"/>
    <numFmt numFmtId="180" formatCode="_(* #,##0_);_(* \(#,##0\);_(* &quot;-&quot;??_);_(@_)"/>
    <numFmt numFmtId="194" formatCode="#,##0.0"/>
  </numFmts>
  <fonts count="8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charset val="222"/>
      <scheme val="major"/>
    </font>
    <font>
      <sz val="10"/>
      <name val="Arial"/>
      <family val="2"/>
    </font>
    <font>
      <sz val="14"/>
      <name val="Cordia New"/>
      <family val="2"/>
    </font>
    <font>
      <sz val="11"/>
      <color theme="1"/>
      <name val="Arial Unicode MS"/>
      <family val="2"/>
      <charset val="222"/>
    </font>
    <font>
      <sz val="11"/>
      <color theme="0"/>
      <name val="Arial Unicode MS"/>
      <family val="2"/>
      <charset val="222"/>
    </font>
    <font>
      <sz val="14"/>
      <name val="FreesiaUPC"/>
      <family val="2"/>
      <charset val="222"/>
    </font>
    <font>
      <sz val="10"/>
      <name val="MS Sans Serif"/>
      <family val="2"/>
      <charset val="222"/>
    </font>
    <font>
      <sz val="11"/>
      <color indexed="8"/>
      <name val="Calibri"/>
      <family val="2"/>
      <charset val="222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4"/>
      <name val="CordiaUPC"/>
      <family val="2"/>
      <charset val="222"/>
    </font>
    <font>
      <sz val="7"/>
      <name val="Small Fonts"/>
      <family val="2"/>
    </font>
    <font>
      <b/>
      <i/>
      <sz val="16"/>
      <name val="Helv"/>
    </font>
    <font>
      <b/>
      <sz val="11"/>
      <color rgb="FFFA7D00"/>
      <name val="Arial Unicode MS"/>
      <family val="2"/>
      <charset val="222"/>
    </font>
    <font>
      <sz val="11"/>
      <color rgb="FFFF0000"/>
      <name val="Arial Unicode MS"/>
      <family val="2"/>
      <charset val="222"/>
    </font>
    <font>
      <i/>
      <sz val="11"/>
      <color rgb="FF7F7F7F"/>
      <name val="Arial Unicode MS"/>
      <family val="2"/>
      <charset val="222"/>
    </font>
    <font>
      <sz val="11"/>
      <color indexed="8"/>
      <name val="Tahoma"/>
      <family val="2"/>
      <charset val="222"/>
    </font>
    <font>
      <b/>
      <sz val="11"/>
      <color theme="0"/>
      <name val="Arial Unicode MS"/>
      <family val="2"/>
      <charset val="222"/>
    </font>
    <font>
      <sz val="11"/>
      <color rgb="FFFA7D00"/>
      <name val="Arial Unicode MS"/>
      <family val="2"/>
      <charset val="222"/>
    </font>
    <font>
      <sz val="11"/>
      <color rgb="FF006100"/>
      <name val="Arial Unicode MS"/>
      <family val="2"/>
      <charset val="222"/>
    </font>
    <font>
      <sz val="11"/>
      <color rgb="FF3F3F76"/>
      <name val="Arial Unicode MS"/>
      <family val="2"/>
      <charset val="222"/>
    </font>
    <font>
      <sz val="11"/>
      <color rgb="FF9C6500"/>
      <name val="Arial Unicode MS"/>
      <family val="2"/>
      <charset val="222"/>
    </font>
    <font>
      <b/>
      <sz val="11"/>
      <color theme="1"/>
      <name val="Arial Unicode MS"/>
      <family val="2"/>
      <charset val="222"/>
    </font>
    <font>
      <sz val="11"/>
      <color rgb="FF9C0006"/>
      <name val="Arial Unicode MS"/>
      <family val="2"/>
      <charset val="222"/>
    </font>
    <font>
      <b/>
      <sz val="11"/>
      <color rgb="FF3F3F3F"/>
      <name val="Arial Unicode MS"/>
      <family val="2"/>
      <charset val="222"/>
    </font>
    <font>
      <b/>
      <sz val="15"/>
      <color theme="3"/>
      <name val="Arial Unicode MS"/>
      <family val="2"/>
      <charset val="222"/>
    </font>
    <font>
      <b/>
      <sz val="13"/>
      <color theme="3"/>
      <name val="Arial Unicode MS"/>
      <family val="2"/>
      <charset val="222"/>
    </font>
    <font>
      <b/>
      <sz val="11"/>
      <color theme="3"/>
      <name val="Arial Unicode MS"/>
      <family val="2"/>
      <charset val="22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entury Gothic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charset val="222"/>
      <scheme val="minor"/>
    </font>
    <font>
      <sz val="12"/>
      <name val="Century Gothic"/>
      <family val="2"/>
    </font>
    <font>
      <sz val="9"/>
      <color theme="1"/>
      <name val="Century Gothic"/>
      <family val="2"/>
    </font>
    <font>
      <sz val="9"/>
      <color theme="1"/>
      <name val="Calibri"/>
      <family val="2"/>
      <charset val="222"/>
      <scheme val="minor"/>
    </font>
    <font>
      <sz val="9"/>
      <color theme="1"/>
      <name val="Calibri"/>
      <family val="2"/>
      <scheme val="minor"/>
    </font>
    <font>
      <sz val="9"/>
      <name val="Century Gothic"/>
      <family val="2"/>
    </font>
    <font>
      <b/>
      <sz val="9"/>
      <name val="Century Gothic"/>
      <family val="2"/>
    </font>
    <font>
      <sz val="9"/>
      <color rgb="FFFF0000"/>
      <name val="Century Gothic"/>
      <family val="2"/>
    </font>
    <font>
      <sz val="9"/>
      <name val="Tahoma"/>
      <family val="2"/>
    </font>
    <font>
      <b/>
      <sz val="9"/>
      <color rgb="FF002060"/>
      <name val="Century Gothic"/>
      <family val="2"/>
    </font>
    <font>
      <sz val="9"/>
      <color rgb="FF002060"/>
      <name val="Century Gothic"/>
      <family val="2"/>
    </font>
    <font>
      <sz val="11"/>
      <name val="Calibri"/>
      <family val="2"/>
      <charset val="222"/>
      <scheme val="minor"/>
    </font>
    <font>
      <b/>
      <sz val="12"/>
      <color rgb="FF0070C0"/>
      <name val="Century Gothic"/>
      <family val="2"/>
    </font>
    <font>
      <b/>
      <sz val="16"/>
      <color theme="1"/>
      <name val="FreesiaUPC"/>
      <family val="2"/>
    </font>
    <font>
      <sz val="14"/>
      <color theme="1"/>
      <name val="FreesiaUPC"/>
      <family val="2"/>
    </font>
    <font>
      <b/>
      <sz val="16"/>
      <color theme="1"/>
      <name val="FreesiaUPC"/>
      <family val="2"/>
      <charset val="222"/>
    </font>
    <font>
      <sz val="16"/>
      <color theme="1"/>
      <name val="FreesiaUPC"/>
      <family val="2"/>
      <charset val="222"/>
    </font>
    <font>
      <b/>
      <sz val="16"/>
      <color theme="0"/>
      <name val="FreesiaUPC"/>
      <family val="2"/>
      <charset val="222"/>
    </font>
    <font>
      <b/>
      <sz val="16"/>
      <color rgb="FF0070C0"/>
      <name val="FreesiaUPC"/>
      <family val="2"/>
      <charset val="222"/>
    </font>
    <font>
      <b/>
      <sz val="11"/>
      <color rgb="FF0070C0"/>
      <name val="Calibri"/>
      <family val="2"/>
      <scheme val="minor"/>
    </font>
    <font>
      <sz val="14"/>
      <color theme="1"/>
      <name val="FreesiaUPC"/>
      <family val="2"/>
      <charset val="222"/>
    </font>
    <font>
      <sz val="14"/>
      <color rgb="FF000000"/>
      <name val="FreesiaUPC"/>
      <family val="2"/>
    </font>
    <font>
      <sz val="14"/>
      <color rgb="FF000000"/>
      <name val="FreesiaUPC"/>
      <family val="2"/>
      <charset val="222"/>
    </font>
    <font>
      <b/>
      <sz val="14"/>
      <color theme="0"/>
      <name val="FreesiaUPC"/>
      <family val="2"/>
      <charset val="222"/>
    </font>
    <font>
      <b/>
      <sz val="14"/>
      <color rgb="FF0070C0"/>
      <name val="FreesiaUPC"/>
      <family val="2"/>
      <charset val="222"/>
    </font>
    <font>
      <b/>
      <sz val="16"/>
      <name val="FreesiaUPC"/>
      <family val="2"/>
      <charset val="222"/>
    </font>
    <font>
      <b/>
      <sz val="14"/>
      <name val="FreesiaUPC"/>
      <family val="2"/>
      <charset val="222"/>
    </font>
    <font>
      <b/>
      <sz val="14"/>
      <color theme="1"/>
      <name val="FreesiaUPC"/>
      <family val="2"/>
      <charset val="22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3E9F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0" tint="-0.249977111117893"/>
      </bottom>
      <diagonal/>
    </border>
    <border>
      <left/>
      <right/>
      <top style="thin">
        <color theme="1"/>
      </top>
      <bottom style="thin">
        <color theme="0" tint="-0.249977111117893"/>
      </bottom>
      <diagonal/>
    </border>
    <border>
      <left/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/>
      <diagonal/>
    </border>
    <border>
      <left style="thin">
        <color theme="1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429">
    <xf numFmtId="0" fontId="0" fillId="0" borderId="0"/>
    <xf numFmtId="43" fontId="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9" fillId="0" borderId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9" fillId="0" borderId="0"/>
    <xf numFmtId="167" fontId="20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72" fontId="21" fillId="10" borderId="0" applyNumberFormat="0" applyBorder="0" applyAlignment="0" applyProtection="0"/>
    <xf numFmtId="172" fontId="21" fillId="14" borderId="0" applyNumberFormat="0" applyBorder="0" applyAlignment="0" applyProtection="0"/>
    <xf numFmtId="172" fontId="21" fillId="18" borderId="0" applyNumberFormat="0" applyBorder="0" applyAlignment="0" applyProtection="0"/>
    <xf numFmtId="172" fontId="21" fillId="22" borderId="0" applyNumberFormat="0" applyBorder="0" applyAlignment="0" applyProtection="0"/>
    <xf numFmtId="172" fontId="21" fillId="26" borderId="0" applyNumberFormat="0" applyBorder="0" applyAlignment="0" applyProtection="0"/>
    <xf numFmtId="172" fontId="2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2" fontId="21" fillId="11" borderId="0" applyNumberFormat="0" applyBorder="0" applyAlignment="0" applyProtection="0"/>
    <xf numFmtId="172" fontId="21" fillId="15" borderId="0" applyNumberFormat="0" applyBorder="0" applyAlignment="0" applyProtection="0"/>
    <xf numFmtId="172" fontId="21" fillId="19" borderId="0" applyNumberFormat="0" applyBorder="0" applyAlignment="0" applyProtection="0"/>
    <xf numFmtId="172" fontId="21" fillId="23" borderId="0" applyNumberFormat="0" applyBorder="0" applyAlignment="0" applyProtection="0"/>
    <xf numFmtId="172" fontId="21" fillId="27" borderId="0" applyNumberFormat="0" applyBorder="0" applyAlignment="0" applyProtection="0"/>
    <xf numFmtId="172" fontId="2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172" fontId="22" fillId="12" borderId="0" applyNumberFormat="0" applyBorder="0" applyAlignment="0" applyProtection="0"/>
    <xf numFmtId="172" fontId="22" fillId="16" borderId="0" applyNumberFormat="0" applyBorder="0" applyAlignment="0" applyProtection="0"/>
    <xf numFmtId="172" fontId="22" fillId="20" borderId="0" applyNumberFormat="0" applyBorder="0" applyAlignment="0" applyProtection="0"/>
    <xf numFmtId="172" fontId="22" fillId="24" borderId="0" applyNumberFormat="0" applyBorder="0" applyAlignment="0" applyProtection="0"/>
    <xf numFmtId="172" fontId="22" fillId="28" borderId="0" applyNumberFormat="0" applyBorder="0" applyAlignment="0" applyProtection="0"/>
    <xf numFmtId="172" fontId="22" fillId="3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10" fillId="6" borderId="4" applyNumberFormat="0" applyAlignment="0" applyProtection="0"/>
    <xf numFmtId="0" fontId="10" fillId="6" borderId="4" applyNumberFormat="0" applyAlignment="0" applyProtection="0"/>
    <xf numFmtId="37" fontId="23" fillId="0" borderId="0"/>
    <xf numFmtId="0" fontId="12" fillId="7" borderId="7" applyNumberFormat="0" applyAlignment="0" applyProtection="0"/>
    <xf numFmtId="0" fontId="12" fillId="7" borderId="7" applyNumberFormat="0" applyAlignment="0" applyProtection="0"/>
    <xf numFmtId="167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6" fillId="0" borderId="0"/>
    <xf numFmtId="172" fontId="26" fillId="0" borderId="0"/>
    <xf numFmtId="174" fontId="20" fillId="0" borderId="0"/>
    <xf numFmtId="0" fontId="27" fillId="0" borderId="0" applyProtection="0"/>
    <xf numFmtId="172" fontId="27" fillId="0" borderId="0" applyProtection="0"/>
    <xf numFmtId="175" fontId="20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" fontId="27" fillId="0" borderId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38" fontId="28" fillId="38" borderId="0" applyNumberFormat="0" applyBorder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9" fillId="0" borderId="0" applyProtection="0"/>
    <xf numFmtId="172" fontId="29" fillId="0" borderId="0" applyProtection="0"/>
    <xf numFmtId="0" fontId="30" fillId="0" borderId="0" applyProtection="0"/>
    <xf numFmtId="172" fontId="30" fillId="0" borderId="0" applyProtection="0"/>
    <xf numFmtId="10" fontId="28" fillId="39" borderId="10" applyNumberFormat="0" applyBorder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8" fillId="5" borderId="4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37" fontId="32" fillId="0" borderId="0"/>
    <xf numFmtId="177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9" fillId="0" borderId="0"/>
    <xf numFmtId="0" fontId="19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9" fillId="6" borderId="5" applyNumberFormat="0" applyAlignment="0" applyProtection="0"/>
    <xf numFmtId="0" fontId="9" fillId="6" borderId="5" applyNumberFormat="0" applyAlignment="0" applyProtection="0"/>
    <xf numFmtId="1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0">
      <alignment vertical="justify"/>
    </xf>
    <xf numFmtId="172" fontId="19" fillId="0" borderId="0">
      <alignment vertical="justify"/>
    </xf>
    <xf numFmtId="0" fontId="19" fillId="0" borderId="0">
      <alignment vertical="justify"/>
    </xf>
    <xf numFmtId="1" fontId="19" fillId="0" borderId="17" applyNumberFormat="0" applyFill="0" applyAlignment="0" applyProtection="0">
      <alignment horizontal="center" vertical="center"/>
    </xf>
    <xf numFmtId="0" fontId="26" fillId="0" borderId="18" applyAlignment="0">
      <alignment horizontal="centerContinuous"/>
    </xf>
    <xf numFmtId="172" fontId="26" fillId="0" borderId="18" applyAlignment="0">
      <alignment horizontal="centerContinuous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2" fontId="27" fillId="0" borderId="19" applyProtection="0"/>
    <xf numFmtId="0" fontId="15" fillId="0" borderId="9" applyNumberFormat="0" applyFill="0" applyAlignment="0" applyProtection="0"/>
    <xf numFmtId="168" fontId="24" fillId="0" borderId="0" applyFont="0" applyFill="0" applyBorder="0" applyAlignment="0" applyProtection="0"/>
    <xf numFmtId="0" fontId="19" fillId="0" borderId="0">
      <alignment horizontal="centerContinuous" vertical="center"/>
    </xf>
    <xf numFmtId="172" fontId="19" fillId="0" borderId="0">
      <alignment horizontal="centerContinuous" vertical="center"/>
    </xf>
    <xf numFmtId="0" fontId="19" fillId="0" borderId="0">
      <alignment horizontal="centerContinuous"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2" fontId="34" fillId="6" borderId="4" applyNumberFormat="0" applyAlignment="0" applyProtection="0"/>
    <xf numFmtId="172" fontId="35" fillId="0" borderId="0" applyNumberFormat="0" applyFill="0" applyBorder="0" applyAlignment="0" applyProtection="0"/>
    <xf numFmtId="172" fontId="36" fillId="0" borderId="0" applyNumberForma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8" fillId="0" borderId="0" applyNumberFormat="0" applyFill="0" applyBorder="0" applyAlignment="0" applyProtection="0"/>
    <xf numFmtId="172" fontId="38" fillId="7" borderId="7" applyNumberFormat="0" applyAlignment="0" applyProtection="0"/>
    <xf numFmtId="172" fontId="39" fillId="0" borderId="6" applyNumberFormat="0" applyFill="0" applyAlignment="0" applyProtection="0"/>
    <xf numFmtId="172" fontId="40" fillId="2" borderId="0" applyNumberFormat="0" applyBorder="0" applyAlignment="0" applyProtection="0"/>
    <xf numFmtId="178" fontId="25" fillId="0" borderId="0"/>
    <xf numFmtId="178" fontId="21" fillId="0" borderId="0"/>
    <xf numFmtId="178" fontId="21" fillId="0" borderId="0"/>
    <xf numFmtId="178" fontId="21" fillId="0" borderId="0"/>
    <xf numFmtId="172" fontId="21" fillId="0" borderId="0"/>
    <xf numFmtId="178" fontId="2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9" fillId="0" borderId="0"/>
    <xf numFmtId="178" fontId="19" fillId="0" borderId="0"/>
    <xf numFmtId="178" fontId="19" fillId="0" borderId="0"/>
    <xf numFmtId="172" fontId="19" fillId="0" borderId="0"/>
    <xf numFmtId="178" fontId="1" fillId="0" borderId="0"/>
    <xf numFmtId="172" fontId="1" fillId="0" borderId="0"/>
    <xf numFmtId="172" fontId="1" fillId="0" borderId="0"/>
    <xf numFmtId="178" fontId="1" fillId="0" borderId="0"/>
    <xf numFmtId="172" fontId="19" fillId="0" borderId="0"/>
    <xf numFmtId="170" fontId="19" fillId="0" borderId="0"/>
    <xf numFmtId="0" fontId="17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21" fillId="0" borderId="0"/>
    <xf numFmtId="0" fontId="19" fillId="0" borderId="0"/>
    <xf numFmtId="178" fontId="19" fillId="0" borderId="0"/>
    <xf numFmtId="178" fontId="19" fillId="0" borderId="0"/>
    <xf numFmtId="172" fontId="19" fillId="0" borderId="0"/>
    <xf numFmtId="178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172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172" fontId="31" fillId="0" borderId="0"/>
    <xf numFmtId="0" fontId="21" fillId="0" borderId="0"/>
    <xf numFmtId="0" fontId="21" fillId="0" borderId="0"/>
    <xf numFmtId="0" fontId="21" fillId="0" borderId="0"/>
    <xf numFmtId="172" fontId="21" fillId="0" borderId="0"/>
    <xf numFmtId="178" fontId="1" fillId="0" borderId="0"/>
    <xf numFmtId="179" fontId="1" fillId="0" borderId="0"/>
    <xf numFmtId="179" fontId="1" fillId="0" borderId="0"/>
    <xf numFmtId="178" fontId="1" fillId="0" borderId="0"/>
    <xf numFmtId="178" fontId="20" fillId="0" borderId="0"/>
    <xf numFmtId="172" fontId="1" fillId="0" borderId="0"/>
    <xf numFmtId="172" fontId="1" fillId="0" borderId="0"/>
    <xf numFmtId="178" fontId="19" fillId="0" borderId="0"/>
    <xf numFmtId="178" fontId="19" fillId="0" borderId="0"/>
    <xf numFmtId="172" fontId="41" fillId="5" borderId="4" applyNumberFormat="0" applyAlignment="0" applyProtection="0"/>
    <xf numFmtId="172" fontId="42" fillId="4" borderId="0" applyNumberFormat="0" applyBorder="0" applyAlignment="0" applyProtection="0"/>
    <xf numFmtId="9" fontId="19" fillId="0" borderId="0" applyFont="0" applyFill="0" applyBorder="0" applyAlignment="0" applyProtection="0"/>
    <xf numFmtId="172" fontId="43" fillId="0" borderId="9" applyNumberFormat="0" applyFill="0" applyAlignment="0" applyProtection="0"/>
    <xf numFmtId="172" fontId="44" fillId="3" borderId="0" applyNumberFormat="0" applyBorder="0" applyAlignment="0" applyProtection="0"/>
    <xf numFmtId="172" fontId="22" fillId="9" borderId="0" applyNumberFormat="0" applyBorder="0" applyAlignment="0" applyProtection="0"/>
    <xf numFmtId="172" fontId="22" fillId="13" borderId="0" applyNumberFormat="0" applyBorder="0" applyAlignment="0" applyProtection="0"/>
    <xf numFmtId="172" fontId="22" fillId="17" borderId="0" applyNumberFormat="0" applyBorder="0" applyAlignment="0" applyProtection="0"/>
    <xf numFmtId="172" fontId="22" fillId="21" borderId="0" applyNumberFormat="0" applyBorder="0" applyAlignment="0" applyProtection="0"/>
    <xf numFmtId="172" fontId="22" fillId="25" borderId="0" applyNumberFormat="0" applyBorder="0" applyAlignment="0" applyProtection="0"/>
    <xf numFmtId="172" fontId="22" fillId="29" borderId="0" applyNumberFormat="0" applyBorder="0" applyAlignment="0" applyProtection="0"/>
    <xf numFmtId="172" fontId="45" fillId="6" borderId="5" applyNumberFormat="0" applyAlignment="0" applyProtection="0"/>
    <xf numFmtId="172" fontId="21" fillId="8" borderId="8" applyNumberFormat="0" applyFont="0" applyAlignment="0" applyProtection="0"/>
    <xf numFmtId="172" fontId="21" fillId="8" borderId="8" applyNumberFormat="0" applyFont="0" applyAlignment="0" applyProtection="0"/>
    <xf numFmtId="172" fontId="46" fillId="0" borderId="1" applyNumberFormat="0" applyFill="0" applyAlignment="0" applyProtection="0"/>
    <xf numFmtId="172" fontId="47" fillId="0" borderId="2" applyNumberFormat="0" applyFill="0" applyAlignment="0" applyProtection="0"/>
    <xf numFmtId="172" fontId="48" fillId="0" borderId="3" applyNumberFormat="0" applyFill="0" applyAlignment="0" applyProtection="0"/>
    <xf numFmtId="172" fontId="48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167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7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167" fontId="17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</cellStyleXfs>
  <cellXfs count="408">
    <xf numFmtId="0" fontId="0" fillId="0" borderId="0" xfId="0"/>
    <xf numFmtId="0" fontId="61" fillId="37" borderId="14" xfId="7" applyFont="1" applyFill="1" applyBorder="1" applyAlignment="1">
      <alignment horizontal="left" vertical="center"/>
    </xf>
    <xf numFmtId="0" fontId="61" fillId="0" borderId="14" xfId="9" applyNumberFormat="1" applyFont="1" applyFill="1" applyBorder="1" applyAlignment="1">
      <alignment horizontal="center" vertical="center"/>
    </xf>
    <xf numFmtId="4" fontId="59" fillId="42" borderId="10" xfId="7" applyNumberFormat="1" applyFont="1" applyFill="1" applyBorder="1" applyAlignment="1">
      <alignment horizontal="center" vertical="center" wrapText="1"/>
    </xf>
    <xf numFmtId="4" fontId="59" fillId="42" borderId="10" xfId="7" applyNumberFormat="1" applyFont="1" applyFill="1" applyBorder="1" applyAlignment="1">
      <alignment horizontal="left" vertical="center" wrapText="1"/>
    </xf>
    <xf numFmtId="0" fontId="59" fillId="0" borderId="12" xfId="7" applyFont="1" applyBorder="1" applyAlignment="1">
      <alignment horizontal="center" vertical="center" wrapText="1"/>
    </xf>
    <xf numFmtId="0" fontId="61" fillId="0" borderId="14" xfId="7" applyFont="1" applyBorder="1" applyAlignment="1">
      <alignment horizontal="left" vertical="center"/>
    </xf>
    <xf numFmtId="1" fontId="59" fillId="37" borderId="13" xfId="7" applyNumberFormat="1" applyFont="1" applyFill="1" applyBorder="1" applyAlignment="1">
      <alignment horizontal="left" vertical="center"/>
    </xf>
    <xf numFmtId="43" fontId="59" fillId="37" borderId="13" xfId="87" applyFont="1" applyFill="1" applyBorder="1" applyAlignment="1">
      <alignment horizontal="left" vertical="center"/>
    </xf>
    <xf numFmtId="180" fontId="59" fillId="41" borderId="14" xfId="87" applyNumberFormat="1" applyFont="1" applyFill="1" applyBorder="1" applyAlignment="1">
      <alignment horizontal="left" vertical="center"/>
    </xf>
    <xf numFmtId="43" fontId="59" fillId="41" borderId="13" xfId="87" applyFont="1" applyFill="1" applyBorder="1" applyAlignment="1">
      <alignment vertical="center"/>
    </xf>
    <xf numFmtId="0" fontId="59" fillId="0" borderId="14" xfId="7" applyFont="1" applyBorder="1" applyAlignment="1">
      <alignment horizontal="left" vertical="center"/>
    </xf>
    <xf numFmtId="0" fontId="59" fillId="41" borderId="14" xfId="7" applyFont="1" applyFill="1" applyBorder="1" applyAlignment="1">
      <alignment horizontal="left" vertical="center"/>
    </xf>
    <xf numFmtId="0" fontId="59" fillId="40" borderId="10" xfId="7" applyFont="1" applyFill="1" applyBorder="1" applyAlignment="1">
      <alignment horizontal="center" vertical="center"/>
    </xf>
    <xf numFmtId="43" fontId="60" fillId="34" borderId="10" xfId="87" applyFont="1" applyFill="1" applyBorder="1" applyAlignment="1">
      <alignment horizontal="center" vertical="center" wrapText="1"/>
    </xf>
    <xf numFmtId="0" fontId="59" fillId="0" borderId="10" xfId="7" applyFont="1" applyBorder="1" applyAlignment="1">
      <alignment horizontal="center" vertical="center" wrapText="1"/>
    </xf>
    <xf numFmtId="4" fontId="59" fillId="36" borderId="15" xfId="7" applyNumberFormat="1" applyFont="1" applyFill="1" applyBorder="1" applyAlignment="1">
      <alignment horizontal="center" vertical="center"/>
    </xf>
    <xf numFmtId="180" fontId="59" fillId="42" borderId="10" xfId="87" applyNumberFormat="1" applyFont="1" applyFill="1" applyBorder="1" applyAlignment="1">
      <alignment horizontal="center" vertical="center" wrapText="1"/>
    </xf>
    <xf numFmtId="180" fontId="59" fillId="0" borderId="12" xfId="87" applyNumberFormat="1" applyFont="1" applyFill="1" applyBorder="1" applyAlignment="1">
      <alignment horizontal="center" vertical="center" wrapText="1"/>
    </xf>
    <xf numFmtId="0" fontId="59" fillId="36" borderId="10" xfId="7" applyFont="1" applyFill="1" applyBorder="1" applyAlignment="1">
      <alignment horizontal="center" vertical="center"/>
    </xf>
    <xf numFmtId="0" fontId="59" fillId="34" borderId="36" xfId="6" applyFont="1" applyFill="1" applyBorder="1" applyAlignment="1">
      <alignment vertical="center"/>
    </xf>
    <xf numFmtId="0" fontId="59" fillId="0" borderId="14" xfId="7" applyFont="1" applyBorder="1" applyAlignment="1">
      <alignment horizontal="center" vertical="center"/>
    </xf>
    <xf numFmtId="14" fontId="59" fillId="0" borderId="14" xfId="7" applyNumberFormat="1" applyFont="1" applyBorder="1" applyAlignment="1">
      <alignment horizontal="left" vertical="center"/>
    </xf>
    <xf numFmtId="0" fontId="59" fillId="0" borderId="15" xfId="7" applyFont="1" applyBorder="1" applyAlignment="1">
      <alignment horizontal="left" vertical="center"/>
    </xf>
    <xf numFmtId="0" fontId="59" fillId="37" borderId="14" xfId="7" applyFont="1" applyFill="1" applyBorder="1" applyAlignment="1">
      <alignment horizontal="left" vertical="center"/>
    </xf>
    <xf numFmtId="180" fontId="59" fillId="37" borderId="14" xfId="87" applyNumberFormat="1" applyFont="1" applyFill="1" applyBorder="1" applyAlignment="1">
      <alignment horizontal="left" vertical="center"/>
    </xf>
    <xf numFmtId="0" fontId="59" fillId="37" borderId="14" xfId="7" applyFont="1" applyFill="1" applyBorder="1" applyAlignment="1">
      <alignment horizontal="center" vertical="center"/>
    </xf>
    <xf numFmtId="0" fontId="59" fillId="37" borderId="15" xfId="9" applyNumberFormat="1" applyFont="1" applyFill="1" applyBorder="1" applyAlignment="1">
      <alignment horizontal="left" vertical="center"/>
    </xf>
    <xf numFmtId="180" fontId="59" fillId="37" borderId="13" xfId="87" applyNumberFormat="1" applyFont="1" applyFill="1" applyBorder="1" applyAlignment="1">
      <alignment vertical="center"/>
    </xf>
    <xf numFmtId="180" fontId="59" fillId="37" borderId="13" xfId="87" applyNumberFormat="1" applyFont="1" applyFill="1" applyBorder="1" applyAlignment="1">
      <alignment horizontal="center" vertical="center"/>
    </xf>
    <xf numFmtId="43" fontId="59" fillId="37" borderId="13" xfId="87" applyFont="1" applyFill="1" applyBorder="1" applyAlignment="1">
      <alignment horizontal="center" vertical="center"/>
    </xf>
    <xf numFmtId="0" fontId="59" fillId="0" borderId="14" xfId="9" applyNumberFormat="1" applyFont="1" applyFill="1" applyBorder="1" applyAlignment="1">
      <alignment horizontal="center" vertical="center"/>
    </xf>
    <xf numFmtId="0" fontId="59" fillId="0" borderId="15" xfId="9" applyNumberFormat="1" applyFont="1" applyFill="1" applyBorder="1" applyAlignment="1">
      <alignment horizontal="center" vertical="center"/>
    </xf>
    <xf numFmtId="0" fontId="59" fillId="0" borderId="15" xfId="7" applyFont="1" applyFill="1" applyBorder="1" applyAlignment="1">
      <alignment horizontal="center" vertical="center"/>
    </xf>
    <xf numFmtId="0" fontId="59" fillId="0" borderId="14" xfId="7" applyFont="1" applyFill="1" applyBorder="1" applyAlignment="1">
      <alignment horizontal="center" vertical="center"/>
    </xf>
    <xf numFmtId="14" fontId="61" fillId="0" borderId="15" xfId="7" applyNumberFormat="1" applyFont="1" applyBorder="1" applyAlignment="1">
      <alignment horizontal="left" vertical="center"/>
    </xf>
    <xf numFmtId="0" fontId="61" fillId="37" borderId="13" xfId="7" applyFont="1" applyFill="1" applyBorder="1" applyAlignment="1">
      <alignment horizontal="center" vertical="center"/>
    </xf>
    <xf numFmtId="14" fontId="59" fillId="37" borderId="15" xfId="7" applyNumberFormat="1" applyFont="1" applyFill="1" applyBorder="1" applyAlignment="1">
      <alignment horizontal="left" vertical="center"/>
    </xf>
    <xf numFmtId="0" fontId="59" fillId="34" borderId="23" xfId="6" applyFont="1" applyFill="1" applyBorder="1" applyAlignment="1">
      <alignment vertical="center"/>
    </xf>
    <xf numFmtId="43" fontId="59" fillId="37" borderId="13" xfId="87" applyFont="1" applyFill="1" applyBorder="1" applyAlignment="1">
      <alignment vertical="center"/>
    </xf>
    <xf numFmtId="0" fontId="59" fillId="37" borderId="13" xfId="7" applyFont="1" applyFill="1" applyBorder="1" applyAlignment="1">
      <alignment horizontal="left" vertical="center"/>
    </xf>
    <xf numFmtId="180" fontId="59" fillId="37" borderId="14" xfId="87" applyNumberFormat="1" applyFont="1" applyFill="1" applyBorder="1" applyAlignment="1">
      <alignment horizontal="center" vertical="center"/>
    </xf>
    <xf numFmtId="0" fontId="59" fillId="37" borderId="14" xfId="9" applyNumberFormat="1" applyFont="1" applyFill="1" applyBorder="1" applyAlignment="1">
      <alignment horizontal="center" vertical="center"/>
    </xf>
    <xf numFmtId="0" fontId="59" fillId="37" borderId="15" xfId="9" applyNumberFormat="1" applyFont="1" applyFill="1" applyBorder="1" applyAlignment="1">
      <alignment horizontal="center" vertical="center"/>
    </xf>
    <xf numFmtId="0" fontId="59" fillId="0" borderId="16" xfId="7" applyFont="1" applyFill="1" applyBorder="1" applyAlignment="1">
      <alignment horizontal="center" vertical="center"/>
    </xf>
    <xf numFmtId="180" fontId="59" fillId="0" borderId="14" xfId="87" applyNumberFormat="1" applyFont="1" applyFill="1" applyBorder="1" applyAlignment="1">
      <alignment horizontal="left" vertical="center"/>
    </xf>
    <xf numFmtId="0" fontId="59" fillId="0" borderId="15" xfId="9" applyNumberFormat="1" applyFont="1" applyFill="1" applyBorder="1" applyAlignment="1">
      <alignment horizontal="left" vertical="center"/>
    </xf>
    <xf numFmtId="0" fontId="59" fillId="0" borderId="13" xfId="7" applyFont="1" applyBorder="1" applyAlignment="1">
      <alignment horizontal="center" vertical="center"/>
    </xf>
    <xf numFmtId="43" fontId="59" fillId="0" borderId="13" xfId="87" applyFont="1" applyFill="1" applyBorder="1" applyAlignment="1">
      <alignment vertical="center"/>
    </xf>
    <xf numFmtId="0" fontId="59" fillId="0" borderId="13" xfId="7" applyFont="1" applyBorder="1" applyAlignment="1">
      <alignment horizontal="left" vertical="center"/>
    </xf>
    <xf numFmtId="0" fontId="59" fillId="57" borderId="13" xfId="420" applyFont="1" applyFill="1" applyBorder="1" applyAlignment="1">
      <alignment horizontal="center"/>
    </xf>
    <xf numFmtId="0" fontId="59" fillId="57" borderId="13" xfId="420" applyFont="1" applyFill="1" applyBorder="1" applyAlignment="1">
      <alignment horizontal="left"/>
    </xf>
    <xf numFmtId="0" fontId="61" fillId="37" borderId="14" xfId="7" applyFont="1" applyFill="1" applyBorder="1" applyAlignment="1">
      <alignment horizontal="center" vertical="center"/>
    </xf>
    <xf numFmtId="0" fontId="59" fillId="0" borderId="15" xfId="7" applyFont="1" applyBorder="1" applyAlignment="1">
      <alignment vertical="center"/>
    </xf>
    <xf numFmtId="43" fontId="59" fillId="0" borderId="14" xfId="87" applyFont="1" applyFill="1" applyBorder="1" applyAlignment="1">
      <alignment horizontal="left" vertical="center"/>
    </xf>
    <xf numFmtId="0" fontId="61" fillId="0" borderId="14" xfId="7" applyFont="1" applyFill="1" applyBorder="1" applyAlignment="1">
      <alignment horizontal="center" vertical="center"/>
    </xf>
    <xf numFmtId="0" fontId="61" fillId="0" borderId="15" xfId="7" applyFont="1" applyFill="1" applyBorder="1" applyAlignment="1">
      <alignment horizontal="center" vertical="center"/>
    </xf>
    <xf numFmtId="167" fontId="59" fillId="37" borderId="14" xfId="7" applyNumberFormat="1" applyFont="1" applyFill="1" applyBorder="1" applyAlignment="1">
      <alignment horizontal="center" vertical="center"/>
    </xf>
    <xf numFmtId="14" fontId="61" fillId="0" borderId="14" xfId="7" applyNumberFormat="1" applyFont="1" applyBorder="1" applyAlignment="1">
      <alignment horizontal="left" vertical="center"/>
    </xf>
    <xf numFmtId="0" fontId="59" fillId="34" borderId="23" xfId="6" applyFont="1" applyFill="1" applyBorder="1" applyAlignment="1">
      <alignment vertical="center" wrapText="1"/>
    </xf>
    <xf numFmtId="0" fontId="62" fillId="57" borderId="13" xfId="420" applyFont="1" applyFill="1" applyBorder="1" applyAlignment="1">
      <alignment horizontal="left"/>
    </xf>
    <xf numFmtId="0" fontId="61" fillId="0" borderId="13" xfId="6" applyFont="1" applyBorder="1" applyAlignment="1">
      <alignment horizontal="center" vertical="center"/>
    </xf>
    <xf numFmtId="0" fontId="61" fillId="34" borderId="23" xfId="6" applyFont="1" applyFill="1" applyBorder="1" applyAlignment="1">
      <alignment vertical="center" wrapText="1"/>
    </xf>
    <xf numFmtId="43" fontId="61" fillId="44" borderId="14" xfId="87" applyFont="1" applyFill="1" applyBorder="1" applyAlignment="1">
      <alignment horizontal="center" vertical="center"/>
    </xf>
    <xf numFmtId="0" fontId="61" fillId="0" borderId="15" xfId="7" applyFont="1" applyBorder="1" applyAlignment="1">
      <alignment horizontal="left" vertical="center"/>
    </xf>
    <xf numFmtId="0" fontId="61" fillId="0" borderId="14" xfId="7" applyFont="1" applyBorder="1" applyAlignment="1">
      <alignment horizontal="center" vertical="center"/>
    </xf>
    <xf numFmtId="0" fontId="59" fillId="57" borderId="13" xfId="420" applyFont="1" applyFill="1" applyBorder="1"/>
    <xf numFmtId="0" fontId="59" fillId="0" borderId="13" xfId="420" applyFont="1" applyBorder="1"/>
    <xf numFmtId="0" fontId="59" fillId="0" borderId="13" xfId="420" applyFont="1" applyBorder="1" applyAlignment="1">
      <alignment horizontal="left"/>
    </xf>
    <xf numFmtId="0" fontId="56" fillId="0" borderId="14" xfId="7" applyFont="1" applyFill="1" applyBorder="1" applyAlignment="1">
      <alignment horizontal="center" vertical="center"/>
    </xf>
    <xf numFmtId="1" fontId="59" fillId="37" borderId="13" xfId="7" applyNumberFormat="1" applyFont="1" applyFill="1" applyBorder="1" applyAlignment="1">
      <alignment horizontal="center" vertical="center"/>
    </xf>
    <xf numFmtId="0" fontId="59" fillId="33" borderId="15" xfId="7" applyFont="1" applyFill="1" applyBorder="1" applyAlignment="1">
      <alignment horizontal="center" vertical="center"/>
    </xf>
    <xf numFmtId="0" fontId="59" fillId="33" borderId="15" xfId="9" applyNumberFormat="1" applyFont="1" applyFill="1" applyBorder="1" applyAlignment="1">
      <alignment horizontal="center" vertical="center"/>
    </xf>
    <xf numFmtId="43" fontId="61" fillId="37" borderId="13" xfId="87" applyFont="1" applyFill="1" applyBorder="1" applyAlignment="1">
      <alignment vertical="center"/>
    </xf>
    <xf numFmtId="0" fontId="59" fillId="34" borderId="23" xfId="6" applyFont="1" applyFill="1" applyBorder="1" applyAlignment="1">
      <alignment horizontal="left" vertical="center"/>
    </xf>
    <xf numFmtId="43" fontId="59" fillId="37" borderId="14" xfId="87" applyFont="1" applyFill="1" applyBorder="1" applyAlignment="1">
      <alignment horizontal="left" vertical="center"/>
    </xf>
    <xf numFmtId="180" fontId="59" fillId="37" borderId="14" xfId="87" applyNumberFormat="1" applyFont="1" applyFill="1" applyBorder="1" applyAlignment="1">
      <alignment vertical="top"/>
    </xf>
    <xf numFmtId="0" fontId="59" fillId="41" borderId="15" xfId="9" applyNumberFormat="1" applyFont="1" applyFill="1" applyBorder="1" applyAlignment="1">
      <alignment horizontal="left" vertical="center"/>
    </xf>
    <xf numFmtId="0" fontId="59" fillId="41" borderId="13" xfId="7" applyFont="1" applyFill="1" applyBorder="1" applyAlignment="1">
      <alignment horizontal="center" vertical="center"/>
    </xf>
    <xf numFmtId="180" fontId="59" fillId="41" borderId="13" xfId="87" applyNumberFormat="1" applyFont="1" applyFill="1" applyBorder="1" applyAlignment="1">
      <alignment horizontal="center" vertical="center"/>
    </xf>
    <xf numFmtId="43" fontId="59" fillId="41" borderId="13" xfId="87" applyFont="1" applyFill="1" applyBorder="1" applyAlignment="1">
      <alignment horizontal="center" vertical="center"/>
    </xf>
    <xf numFmtId="171" fontId="63" fillId="0" borderId="12" xfId="86" applyNumberFormat="1" applyFont="1" applyFill="1" applyBorder="1" applyAlignment="1">
      <alignment vertical="center"/>
    </xf>
    <xf numFmtId="171" fontId="60" fillId="0" borderId="10" xfId="86" applyNumberFormat="1" applyFont="1" applyFill="1" applyBorder="1" applyAlignment="1">
      <alignment vertical="center"/>
    </xf>
    <xf numFmtId="172" fontId="63" fillId="37" borderId="10" xfId="86" applyNumberFormat="1" applyFont="1" applyFill="1" applyBorder="1" applyAlignment="1">
      <alignment horizontal="left" vertical="center"/>
    </xf>
    <xf numFmtId="171" fontId="64" fillId="37" borderId="10" xfId="86" applyNumberFormat="1" applyFont="1" applyFill="1" applyBorder="1" applyAlignment="1">
      <alignment horizontal="left" vertical="center"/>
    </xf>
    <xf numFmtId="171" fontId="60" fillId="37" borderId="10" xfId="86" applyNumberFormat="1" applyFont="1" applyFill="1" applyBorder="1" applyAlignment="1">
      <alignment horizontal="left" vertical="center"/>
    </xf>
    <xf numFmtId="171" fontId="64" fillId="37" borderId="10" xfId="86" applyNumberFormat="1" applyFont="1" applyFill="1" applyBorder="1" applyAlignment="1">
      <alignment vertical="center"/>
    </xf>
    <xf numFmtId="171" fontId="60" fillId="37" borderId="10" xfId="86" applyNumberFormat="1" applyFont="1" applyFill="1" applyBorder="1" applyAlignment="1">
      <alignment horizontal="left"/>
    </xf>
    <xf numFmtId="171" fontId="60" fillId="37" borderId="10" xfId="86" applyNumberFormat="1" applyFont="1" applyFill="1" applyBorder="1" applyAlignment="1">
      <alignment horizontal="center"/>
    </xf>
    <xf numFmtId="170" fontId="60" fillId="37" borderId="10" xfId="86" applyNumberFormat="1" applyFont="1" applyFill="1" applyBorder="1" applyAlignment="1">
      <alignment horizontal="left"/>
    </xf>
    <xf numFmtId="171" fontId="60" fillId="37" borderId="10" xfId="86" applyNumberFormat="1" applyFont="1" applyFill="1" applyBorder="1"/>
    <xf numFmtId="171" fontId="60" fillId="37" borderId="12" xfId="86" applyNumberFormat="1" applyFont="1" applyFill="1" applyBorder="1" applyAlignment="1">
      <alignment horizontal="center" vertical="center"/>
    </xf>
    <xf numFmtId="180" fontId="60" fillId="37" borderId="12" xfId="87" applyNumberFormat="1" applyFont="1" applyFill="1" applyBorder="1" applyAlignment="1">
      <alignment horizontal="center" vertical="center"/>
    </xf>
    <xf numFmtId="180" fontId="60" fillId="37" borderId="12" xfId="87" applyNumberFormat="1" applyFont="1" applyFill="1" applyBorder="1" applyAlignment="1">
      <alignment horizontal="left" vertical="center"/>
    </xf>
    <xf numFmtId="171" fontId="60" fillId="37" borderId="10" xfId="86" applyNumberFormat="1" applyFont="1" applyFill="1" applyBorder="1" applyAlignment="1">
      <alignment vertical="center"/>
    </xf>
    <xf numFmtId="172" fontId="60" fillId="34" borderId="10" xfId="7" applyNumberFormat="1" applyFont="1" applyFill="1" applyBorder="1" applyAlignment="1">
      <alignment horizontal="center" vertical="center"/>
    </xf>
    <xf numFmtId="4" fontId="59" fillId="34" borderId="10" xfId="7" applyNumberFormat="1" applyFont="1" applyFill="1" applyBorder="1" applyAlignment="1">
      <alignment horizontal="center" vertical="center"/>
    </xf>
    <xf numFmtId="43" fontId="57" fillId="0" borderId="0" xfId="1" applyFont="1"/>
    <xf numFmtId="43" fontId="60" fillId="34" borderId="10" xfId="1" applyFont="1" applyFill="1" applyBorder="1" applyAlignment="1">
      <alignment horizontal="center" vertical="center" wrapText="1"/>
    </xf>
    <xf numFmtId="43" fontId="60" fillId="34" borderId="10" xfId="1" applyFont="1" applyFill="1" applyBorder="1" applyAlignment="1">
      <alignment horizontal="center" vertical="center"/>
    </xf>
    <xf numFmtId="43" fontId="59" fillId="0" borderId="14" xfId="1" applyFont="1" applyFill="1" applyBorder="1" applyAlignment="1">
      <alignment horizontal="center" vertical="center"/>
    </xf>
    <xf numFmtId="43" fontId="59" fillId="0" borderId="15" xfId="1" applyFont="1" applyFill="1" applyBorder="1" applyAlignment="1">
      <alignment horizontal="center" vertical="center"/>
    </xf>
    <xf numFmtId="43" fontId="61" fillId="0" borderId="15" xfId="1" applyFont="1" applyFill="1" applyBorder="1" applyAlignment="1">
      <alignment horizontal="center" vertical="center"/>
    </xf>
    <xf numFmtId="43" fontId="59" fillId="36" borderId="15" xfId="1" applyFont="1" applyFill="1" applyBorder="1" applyAlignment="1">
      <alignment horizontal="center" vertical="center"/>
    </xf>
    <xf numFmtId="43" fontId="59" fillId="0" borderId="14" xfId="1" applyFont="1" applyBorder="1" applyAlignment="1">
      <alignment horizontal="center" vertical="center"/>
    </xf>
    <xf numFmtId="43" fontId="59" fillId="33" borderId="15" xfId="1" applyFont="1" applyFill="1" applyBorder="1" applyAlignment="1">
      <alignment horizontal="center" vertical="center"/>
    </xf>
    <xf numFmtId="43" fontId="61" fillId="0" borderId="14" xfId="1" applyFont="1" applyFill="1" applyBorder="1" applyAlignment="1">
      <alignment horizontal="center" vertical="center"/>
    </xf>
    <xf numFmtId="43" fontId="59" fillId="34" borderId="14" xfId="1" applyFont="1" applyFill="1" applyBorder="1" applyAlignment="1">
      <alignment horizontal="center" vertical="center"/>
    </xf>
    <xf numFmtId="43" fontId="59" fillId="33" borderId="14" xfId="1" applyFont="1" applyFill="1" applyBorder="1" applyAlignment="1">
      <alignment horizontal="center" vertical="center"/>
    </xf>
    <xf numFmtId="43" fontId="59" fillId="0" borderId="14" xfId="1" applyFont="1" applyFill="1" applyBorder="1" applyAlignment="1">
      <alignment horizontal="left" vertical="center"/>
    </xf>
    <xf numFmtId="43" fontId="59" fillId="34" borderId="15" xfId="1" applyFont="1" applyFill="1" applyBorder="1" applyAlignment="1">
      <alignment horizontal="center" vertical="center"/>
    </xf>
    <xf numFmtId="43" fontId="59" fillId="0" borderId="13" xfId="1" applyFont="1" applyFill="1" applyBorder="1" applyAlignment="1">
      <alignment horizontal="center" vertical="center"/>
    </xf>
    <xf numFmtId="43" fontId="60" fillId="43" borderId="10" xfId="1" applyFont="1" applyFill="1" applyBorder="1" applyAlignment="1">
      <alignment horizontal="center" vertical="center"/>
    </xf>
    <xf numFmtId="43" fontId="63" fillId="43" borderId="10" xfId="1" applyFont="1" applyFill="1" applyBorder="1" applyAlignment="1">
      <alignment vertical="center"/>
    </xf>
    <xf numFmtId="167" fontId="59" fillId="37" borderId="13" xfId="7" applyNumberFormat="1" applyFont="1" applyFill="1" applyBorder="1" applyAlignment="1">
      <alignment horizontal="center" vertical="center"/>
    </xf>
    <xf numFmtId="0" fontId="59" fillId="0" borderId="21" xfId="6" applyFont="1" applyBorder="1" applyAlignment="1">
      <alignment horizontal="center" vertical="center"/>
    </xf>
    <xf numFmtId="0" fontId="59" fillId="41" borderId="14" xfId="7" applyFont="1" applyFill="1" applyBorder="1" applyAlignment="1">
      <alignment horizontal="center" vertical="center"/>
    </xf>
    <xf numFmtId="0" fontId="59" fillId="0" borderId="15" xfId="12" applyNumberFormat="1" applyFont="1" applyFill="1" applyBorder="1" applyAlignment="1">
      <alignment horizontal="center" vertical="center"/>
    </xf>
    <xf numFmtId="0" fontId="61" fillId="0" borderId="15" xfId="9" applyNumberFormat="1" applyFont="1" applyFill="1" applyBorder="1" applyAlignment="1">
      <alignment horizontal="center" vertical="center"/>
    </xf>
    <xf numFmtId="43" fontId="59" fillId="44" borderId="14" xfId="87" applyFont="1" applyFill="1" applyBorder="1" applyAlignment="1">
      <alignment horizontal="center" vertical="center"/>
    </xf>
    <xf numFmtId="14" fontId="56" fillId="0" borderId="15" xfId="7" applyNumberFormat="1" applyFont="1" applyBorder="1" applyAlignment="1">
      <alignment horizontal="left" vertical="center"/>
    </xf>
    <xf numFmtId="43" fontId="63" fillId="44" borderId="10" xfId="87" applyFont="1" applyFill="1" applyBorder="1" applyAlignment="1">
      <alignment vertical="center"/>
    </xf>
    <xf numFmtId="0" fontId="59" fillId="0" borderId="15" xfId="7" applyFont="1" applyBorder="1" applyAlignment="1">
      <alignment horizontal="center" vertical="center"/>
    </xf>
    <xf numFmtId="0" fontId="59" fillId="0" borderId="0" xfId="420" applyFont="1" applyAlignment="1">
      <alignment horizontal="left"/>
    </xf>
    <xf numFmtId="0" fontId="59" fillId="37" borderId="13" xfId="7" applyFont="1" applyFill="1" applyBorder="1" applyAlignment="1">
      <alignment horizontal="center" vertical="center"/>
    </xf>
    <xf numFmtId="14" fontId="59" fillId="0" borderId="15" xfId="7" applyNumberFormat="1" applyFont="1" applyBorder="1" applyAlignment="1">
      <alignment horizontal="left" vertical="center"/>
    </xf>
    <xf numFmtId="180" fontId="60" fillId="37" borderId="12" xfId="87" applyNumberFormat="1" applyFont="1" applyFill="1" applyBorder="1" applyAlignment="1">
      <alignment vertical="center"/>
    </xf>
    <xf numFmtId="0" fontId="57" fillId="0" borderId="0" xfId="0" applyFont="1"/>
    <xf numFmtId="0" fontId="59" fillId="33" borderId="14" xfId="9" applyNumberFormat="1" applyFont="1" applyFill="1" applyBorder="1" applyAlignment="1">
      <alignment horizontal="center" vertical="center"/>
    </xf>
    <xf numFmtId="4" fontId="59" fillId="36" borderId="10" xfId="7" applyNumberFormat="1" applyFont="1" applyFill="1" applyBorder="1" applyAlignment="1">
      <alignment horizontal="center" vertical="center" wrapText="1"/>
    </xf>
    <xf numFmtId="0" fontId="59" fillId="0" borderId="12" xfId="6" applyFont="1" applyBorder="1" applyAlignment="1">
      <alignment horizontal="center" vertical="center" wrapText="1"/>
    </xf>
    <xf numFmtId="0" fontId="59" fillId="0" borderId="10" xfId="7" applyFont="1" applyBorder="1" applyAlignment="1">
      <alignment horizontal="center" vertical="center"/>
    </xf>
    <xf numFmtId="0" fontId="56" fillId="0" borderId="10" xfId="420" applyFont="1" applyBorder="1" applyAlignment="1">
      <alignment vertical="center"/>
    </xf>
    <xf numFmtId="171" fontId="63" fillId="0" borderId="10" xfId="86" applyNumberFormat="1" applyFont="1" applyFill="1" applyBorder="1" applyAlignment="1">
      <alignment vertical="center"/>
    </xf>
    <xf numFmtId="0" fontId="56" fillId="0" borderId="14" xfId="7" applyFont="1" applyBorder="1" applyAlignment="1">
      <alignment horizontal="left" vertical="center"/>
    </xf>
    <xf numFmtId="0" fontId="59" fillId="0" borderId="13" xfId="6" applyFont="1" applyBorder="1" applyAlignment="1">
      <alignment horizontal="center" vertical="center"/>
    </xf>
    <xf numFmtId="180" fontId="59" fillId="37" borderId="13" xfId="87" applyNumberFormat="1" applyFont="1" applyFill="1" applyBorder="1" applyAlignment="1">
      <alignment horizontal="left" vertical="center"/>
    </xf>
    <xf numFmtId="167" fontId="59" fillId="37" borderId="13" xfId="7" applyNumberFormat="1" applyFont="1" applyFill="1" applyBorder="1" applyAlignment="1">
      <alignment horizontal="left" vertical="center"/>
    </xf>
    <xf numFmtId="0" fontId="59" fillId="0" borderId="14" xfId="12" applyNumberFormat="1" applyFont="1" applyFill="1" applyBorder="1" applyAlignment="1">
      <alignment horizontal="center" vertical="center"/>
    </xf>
    <xf numFmtId="0" fontId="62" fillId="57" borderId="13" xfId="420" applyFont="1" applyFill="1" applyBorder="1" applyAlignment="1">
      <alignment horizontal="center"/>
    </xf>
    <xf numFmtId="0" fontId="59" fillId="56" borderId="12" xfId="7" applyFont="1" applyFill="1" applyBorder="1" applyAlignment="1">
      <alignment horizontal="center" vertical="center" wrapText="1"/>
    </xf>
    <xf numFmtId="0" fontId="59" fillId="41" borderId="13" xfId="7" applyFont="1" applyFill="1" applyBorder="1" applyAlignment="1">
      <alignment horizontal="left" vertical="center"/>
    </xf>
    <xf numFmtId="171" fontId="63" fillId="0" borderId="21" xfId="86" applyNumberFormat="1" applyFont="1" applyFill="1" applyBorder="1" applyAlignment="1">
      <alignment vertical="center"/>
    </xf>
    <xf numFmtId="0" fontId="58" fillId="0" borderId="0" xfId="420" applyFont="1"/>
    <xf numFmtId="0" fontId="65" fillId="0" borderId="0" xfId="0" applyFont="1"/>
    <xf numFmtId="0" fontId="52" fillId="33" borderId="10" xfId="404" applyFont="1" applyFill="1" applyBorder="1" applyAlignment="1">
      <alignment horizontal="center" vertical="center" wrapText="1"/>
    </xf>
    <xf numFmtId="0" fontId="52" fillId="33" borderId="10" xfId="404" applyFont="1" applyFill="1" applyBorder="1" applyAlignment="1">
      <alignment horizontal="center" vertical="center"/>
    </xf>
    <xf numFmtId="0" fontId="52" fillId="0" borderId="29" xfId="403" applyFont="1" applyBorder="1" applyAlignment="1">
      <alignment horizontal="left" vertical="center"/>
    </xf>
    <xf numFmtId="0" fontId="55" fillId="0" borderId="29" xfId="403" applyFont="1" applyBorder="1" applyAlignment="1">
      <alignment horizontal="centerContinuous" vertical="center"/>
    </xf>
    <xf numFmtId="0" fontId="55" fillId="0" borderId="0" xfId="404" applyFont="1"/>
    <xf numFmtId="0" fontId="52" fillId="33" borderId="24" xfId="404" applyFont="1" applyFill="1" applyBorder="1"/>
    <xf numFmtId="0" fontId="55" fillId="0" borderId="0" xfId="0" applyFont="1"/>
    <xf numFmtId="0" fontId="55" fillId="50" borderId="10" xfId="403" applyFont="1" applyFill="1" applyBorder="1" applyAlignment="1">
      <alignment horizontal="center" vertical="center" shrinkToFit="1"/>
    </xf>
    <xf numFmtId="0" fontId="55" fillId="50" borderId="10" xfId="403" applyFont="1" applyFill="1" applyBorder="1" applyAlignment="1">
      <alignment horizontal="center" vertical="center" wrapText="1"/>
    </xf>
    <xf numFmtId="0" fontId="52" fillId="50" borderId="10" xfId="403" applyFont="1" applyFill="1" applyBorder="1" applyAlignment="1">
      <alignment horizontal="centerContinuous" vertical="center"/>
    </xf>
    <xf numFmtId="0" fontId="52" fillId="33" borderId="12" xfId="404" applyFont="1" applyFill="1" applyBorder="1" applyAlignment="1">
      <alignment horizontal="centerContinuous" vertical="center"/>
    </xf>
    <xf numFmtId="0" fontId="52" fillId="33" borderId="10" xfId="404" applyFont="1" applyFill="1" applyBorder="1" applyAlignment="1">
      <alignment horizontal="centerContinuous" vertical="center"/>
    </xf>
    <xf numFmtId="0" fontId="52" fillId="33" borderId="11" xfId="404" applyFont="1" applyFill="1" applyBorder="1" applyAlignment="1">
      <alignment horizontal="center" vertical="center"/>
    </xf>
    <xf numFmtId="0" fontId="52" fillId="33" borderId="34" xfId="404" applyFont="1" applyFill="1" applyBorder="1" applyAlignment="1">
      <alignment horizontal="center" vertical="center"/>
    </xf>
    <xf numFmtId="0" fontId="52" fillId="33" borderId="12" xfId="404" applyFont="1" applyFill="1" applyBorder="1" applyAlignment="1">
      <alignment horizontal="center" vertical="center"/>
    </xf>
    <xf numFmtId="0" fontId="52" fillId="0" borderId="10" xfId="404" applyFont="1" applyBorder="1" applyAlignment="1">
      <alignment vertical="center"/>
    </xf>
    <xf numFmtId="0" fontId="66" fillId="53" borderId="35" xfId="405" applyFont="1" applyFill="1" applyBorder="1" applyAlignment="1">
      <alignment horizontal="center" vertical="center"/>
    </xf>
    <xf numFmtId="0" fontId="66" fillId="53" borderId="24" xfId="405" applyFont="1" applyFill="1" applyBorder="1" applyAlignment="1">
      <alignment horizontal="center" vertical="center"/>
    </xf>
    <xf numFmtId="0" fontId="66" fillId="46" borderId="11" xfId="405" applyFont="1" applyFill="1" applyBorder="1" applyAlignment="1">
      <alignment horizontal="center" vertical="center"/>
    </xf>
    <xf numFmtId="0" fontId="66" fillId="46" borderId="34" xfId="405" applyFont="1" applyFill="1" applyBorder="1" applyAlignment="1">
      <alignment horizontal="center" vertical="center"/>
    </xf>
    <xf numFmtId="0" fontId="66" fillId="46" borderId="12" xfId="405" applyFont="1" applyFill="1" applyBorder="1" applyAlignment="1">
      <alignment horizontal="center" vertical="center"/>
    </xf>
    <xf numFmtId="0" fontId="66" fillId="46" borderId="35" xfId="405" applyFont="1" applyFill="1" applyBorder="1" applyAlignment="1">
      <alignment horizontal="center" vertical="center"/>
    </xf>
    <xf numFmtId="0" fontId="66" fillId="44" borderId="24" xfId="405" applyFont="1" applyFill="1" applyBorder="1" applyAlignment="1">
      <alignment horizontal="center" vertical="center" wrapText="1"/>
    </xf>
    <xf numFmtId="0" fontId="66" fillId="52" borderId="11" xfId="405" applyFont="1" applyFill="1" applyBorder="1" applyAlignment="1">
      <alignment horizontal="center" vertical="center"/>
    </xf>
    <xf numFmtId="0" fontId="66" fillId="52" borderId="34" xfId="405" applyFont="1" applyFill="1" applyBorder="1" applyAlignment="1">
      <alignment horizontal="center" vertical="center"/>
    </xf>
    <xf numFmtId="0" fontId="66" fillId="52" borderId="12" xfId="405" applyFont="1" applyFill="1" applyBorder="1" applyAlignment="1">
      <alignment horizontal="center" vertical="center"/>
    </xf>
    <xf numFmtId="0" fontId="66" fillId="36" borderId="24" xfId="405" applyFont="1" applyFill="1" applyBorder="1" applyAlignment="1">
      <alignment horizontal="center" vertical="center"/>
    </xf>
    <xf numFmtId="0" fontId="55" fillId="50" borderId="26" xfId="403" applyFont="1" applyFill="1" applyBorder="1" applyAlignment="1">
      <alignment vertical="center" shrinkToFit="1"/>
    </xf>
    <xf numFmtId="0" fontId="55" fillId="50" borderId="10" xfId="403" applyFont="1" applyFill="1" applyBorder="1" applyAlignment="1">
      <alignment vertical="center" wrapText="1"/>
    </xf>
    <xf numFmtId="0" fontId="55" fillId="50" borderId="31" xfId="403" applyFont="1" applyFill="1" applyBorder="1" applyAlignment="1">
      <alignment vertical="center" shrinkToFit="1"/>
    </xf>
    <xf numFmtId="0" fontId="52" fillId="50" borderId="10" xfId="403" applyFont="1" applyFill="1" applyBorder="1" applyAlignment="1">
      <alignment horizontal="center" vertical="center"/>
    </xf>
    <xf numFmtId="0" fontId="52" fillId="50" borderId="17" xfId="403" applyFont="1" applyFill="1" applyBorder="1" applyAlignment="1">
      <alignment horizontal="center" vertical="center" wrapText="1"/>
    </xf>
    <xf numFmtId="0" fontId="52" fillId="50" borderId="33" xfId="403" applyFont="1" applyFill="1" applyBorder="1" applyAlignment="1">
      <alignment horizontal="center" vertical="center" wrapText="1"/>
    </xf>
    <xf numFmtId="0" fontId="52" fillId="33" borderId="10" xfId="404" applyFont="1" applyFill="1" applyBorder="1" applyAlignment="1">
      <alignment horizontal="center" vertical="center"/>
    </xf>
    <xf numFmtId="0" fontId="52" fillId="0" borderId="10" xfId="404" applyFont="1" applyBorder="1" applyAlignment="1">
      <alignment horizontal="center" vertical="center"/>
    </xf>
    <xf numFmtId="0" fontId="66" fillId="53" borderId="10" xfId="405" applyFont="1" applyFill="1" applyBorder="1" applyAlignment="1">
      <alignment horizontal="center" vertical="center"/>
    </xf>
    <xf numFmtId="0" fontId="66" fillId="46" borderId="10" xfId="405" applyFont="1" applyFill="1" applyBorder="1" applyAlignment="1">
      <alignment horizontal="center" vertical="center"/>
    </xf>
    <xf numFmtId="0" fontId="66" fillId="44" borderId="20" xfId="405" applyFont="1" applyFill="1" applyBorder="1" applyAlignment="1">
      <alignment horizontal="center" vertical="center"/>
    </xf>
    <xf numFmtId="0" fontId="66" fillId="52" borderId="10" xfId="405" applyFont="1" applyFill="1" applyBorder="1" applyAlignment="1">
      <alignment horizontal="center" vertical="center"/>
    </xf>
    <xf numFmtId="0" fontId="66" fillId="44" borderId="20" xfId="405" applyFont="1" applyFill="1" applyBorder="1" applyAlignment="1">
      <alignment horizontal="center" vertical="center" wrapText="1"/>
    </xf>
    <xf numFmtId="0" fontId="66" fillId="47" borderId="10" xfId="405" applyFont="1" applyFill="1" applyBorder="1" applyAlignment="1">
      <alignment horizontal="center" vertical="center"/>
    </xf>
    <xf numFmtId="1" fontId="55" fillId="0" borderId="10" xfId="404" applyNumberFormat="1" applyFont="1" applyBorder="1" applyAlignment="1">
      <alignment horizontal="center" vertical="center"/>
    </xf>
    <xf numFmtId="0" fontId="55" fillId="0" borderId="10" xfId="404" quotePrefix="1" applyFont="1" applyBorder="1" applyAlignment="1">
      <alignment horizontal="center" vertical="center"/>
    </xf>
    <xf numFmtId="0" fontId="55" fillId="0" borderId="10" xfId="404" applyFont="1" applyBorder="1" applyAlignment="1">
      <alignment horizontal="center" vertical="center"/>
    </xf>
    <xf numFmtId="2" fontId="55" fillId="0" borderId="10" xfId="404" applyNumberFormat="1" applyFont="1" applyBorder="1" applyAlignment="1">
      <alignment horizontal="center" vertical="center"/>
    </xf>
    <xf numFmtId="3" fontId="55" fillId="0" borderId="10" xfId="404" applyNumberFormat="1" applyFont="1" applyBorder="1" applyAlignment="1">
      <alignment horizontal="center" vertical="center"/>
    </xf>
    <xf numFmtId="0" fontId="55" fillId="0" borderId="28" xfId="2" applyFont="1" applyBorder="1" applyAlignment="1">
      <alignment horizontal="center"/>
    </xf>
    <xf numFmtId="0" fontId="55" fillId="0" borderId="10" xfId="2" applyFont="1" applyBorder="1" applyAlignment="1">
      <alignment horizontal="center"/>
    </xf>
    <xf numFmtId="1" fontId="55" fillId="33" borderId="10" xfId="2" applyNumberFormat="1" applyFont="1" applyFill="1" applyBorder="1" applyAlignment="1">
      <alignment horizontal="center"/>
    </xf>
    <xf numFmtId="1" fontId="55" fillId="0" borderId="10" xfId="2" applyNumberFormat="1" applyFont="1" applyBorder="1" applyAlignment="1">
      <alignment horizontal="center"/>
    </xf>
    <xf numFmtId="1" fontId="55" fillId="48" borderId="10" xfId="2" applyNumberFormat="1" applyFont="1" applyFill="1" applyBorder="1" applyAlignment="1">
      <alignment horizontal="center"/>
    </xf>
    <xf numFmtId="0" fontId="55" fillId="41" borderId="10" xfId="404" applyFont="1" applyFill="1" applyBorder="1" applyAlignment="1">
      <alignment horizontal="center"/>
    </xf>
    <xf numFmtId="0" fontId="55" fillId="0" borderId="10" xfId="270" applyFont="1" applyBorder="1" applyAlignment="1">
      <alignment horizontal="center"/>
    </xf>
    <xf numFmtId="0" fontId="55" fillId="0" borderId="10" xfId="270" applyFont="1" applyBorder="1" applyAlignment="1">
      <alignment horizontal="center" vertical="center"/>
    </xf>
    <xf numFmtId="2" fontId="55" fillId="0" borderId="10" xfId="270" applyNumberFormat="1" applyFont="1" applyBorder="1" applyAlignment="1">
      <alignment horizontal="center"/>
    </xf>
    <xf numFmtId="0" fontId="55" fillId="0" borderId="10" xfId="404" applyFont="1" applyBorder="1"/>
    <xf numFmtId="2" fontId="55" fillId="0" borderId="10" xfId="406" applyNumberFormat="1" applyFont="1" applyBorder="1" applyAlignment="1">
      <alignment horizontal="center" vertical="center"/>
    </xf>
    <xf numFmtId="1" fontId="55" fillId="0" borderId="10" xfId="406" applyNumberFormat="1" applyFont="1" applyBorder="1" applyAlignment="1">
      <alignment horizontal="center" vertical="center"/>
    </xf>
    <xf numFmtId="3" fontId="55" fillId="0" borderId="10" xfId="406" applyNumberFormat="1" applyFont="1" applyBorder="1" applyAlignment="1">
      <alignment horizontal="center" vertical="center"/>
    </xf>
    <xf numFmtId="2" fontId="55" fillId="0" borderId="10" xfId="270" applyNumberFormat="1" applyFont="1" applyBorder="1" applyAlignment="1">
      <alignment horizontal="center" vertical="center"/>
    </xf>
    <xf numFmtId="0" fontId="55" fillId="0" borderId="10" xfId="405" applyFont="1" applyBorder="1" applyAlignment="1">
      <alignment horizontal="center" vertical="center"/>
    </xf>
    <xf numFmtId="2" fontId="55" fillId="0" borderId="10" xfId="405" applyNumberFormat="1" applyFont="1" applyBorder="1" applyAlignment="1">
      <alignment horizontal="center" vertical="center"/>
    </xf>
    <xf numFmtId="2" fontId="55" fillId="0" borderId="10" xfId="405" applyNumberFormat="1" applyFont="1" applyBorder="1" applyAlignment="1">
      <alignment vertical="center"/>
    </xf>
    <xf numFmtId="1" fontId="55" fillId="0" borderId="10" xfId="404" applyNumberFormat="1" applyFont="1" applyFill="1" applyBorder="1" applyAlignment="1">
      <alignment horizontal="center" vertical="center"/>
    </xf>
    <xf numFmtId="0" fontId="55" fillId="0" borderId="10" xfId="405" applyFont="1" applyFill="1" applyBorder="1" applyAlignment="1">
      <alignment horizontal="center" vertical="center"/>
    </xf>
    <xf numFmtId="0" fontId="55" fillId="0" borderId="10" xfId="404" applyFont="1" applyFill="1" applyBorder="1" applyAlignment="1">
      <alignment horizontal="center" vertical="center"/>
    </xf>
    <xf numFmtId="2" fontId="55" fillId="0" borderId="10" xfId="405" applyNumberFormat="1" applyFont="1" applyFill="1" applyBorder="1" applyAlignment="1">
      <alignment horizontal="center" vertical="center"/>
    </xf>
    <xf numFmtId="2" fontId="55" fillId="0" borderId="10" xfId="405" applyNumberFormat="1" applyFont="1" applyFill="1" applyBorder="1" applyAlignment="1">
      <alignment vertical="center"/>
    </xf>
    <xf numFmtId="0" fontId="55" fillId="0" borderId="10" xfId="403" applyFont="1" applyBorder="1" applyAlignment="1">
      <alignment horizontal="center" vertical="center"/>
    </xf>
    <xf numFmtId="2" fontId="55" fillId="0" borderId="10" xfId="403" applyNumberFormat="1" applyFont="1" applyBorder="1" applyAlignment="1">
      <alignment horizontal="center" vertical="center"/>
    </xf>
    <xf numFmtId="1" fontId="55" fillId="0" borderId="10" xfId="403" applyNumberFormat="1" applyFont="1" applyBorder="1" applyAlignment="1">
      <alignment horizontal="center" vertical="center"/>
    </xf>
    <xf numFmtId="3" fontId="55" fillId="0" borderId="10" xfId="403" applyNumberFormat="1" applyFont="1" applyBorder="1" applyAlignment="1">
      <alignment horizontal="center" vertical="center"/>
    </xf>
    <xf numFmtId="0" fontId="55" fillId="0" borderId="10" xfId="406" applyFont="1" applyBorder="1" applyAlignment="1">
      <alignment horizontal="center" vertical="center"/>
    </xf>
    <xf numFmtId="0" fontId="55" fillId="0" borderId="10" xfId="407" applyFont="1" applyBorder="1" applyAlignment="1">
      <alignment horizontal="center" vertical="center"/>
    </xf>
    <xf numFmtId="2" fontId="55" fillId="0" borderId="10" xfId="407" applyNumberFormat="1" applyFont="1" applyBorder="1" applyAlignment="1">
      <alignment horizontal="center" vertical="center"/>
    </xf>
    <xf numFmtId="1" fontId="55" fillId="0" borderId="10" xfId="407" applyNumberFormat="1" applyFont="1" applyBorder="1" applyAlignment="1">
      <alignment horizontal="center" vertical="center"/>
    </xf>
    <xf numFmtId="3" fontId="55" fillId="0" borderId="10" xfId="407" applyNumberFormat="1" applyFont="1" applyBorder="1" applyAlignment="1">
      <alignment horizontal="center" vertical="center"/>
    </xf>
    <xf numFmtId="0" fontId="55" fillId="0" borderId="10" xfId="407" applyFont="1" applyBorder="1" applyAlignment="1">
      <alignment horizontal="left" vertical="center"/>
    </xf>
    <xf numFmtId="0" fontId="55" fillId="0" borderId="10" xfId="404" applyFont="1" applyBorder="1" applyAlignment="1">
      <alignment horizontal="left" vertical="center"/>
    </xf>
    <xf numFmtId="0" fontId="55" fillId="0" borderId="10" xfId="403" applyFont="1" applyBorder="1" applyAlignment="1">
      <alignment horizontal="left" vertical="center"/>
    </xf>
    <xf numFmtId="0" fontId="55" fillId="0" borderId="10" xfId="405" applyFont="1" applyBorder="1" applyAlignment="1">
      <alignment horizontal="left" vertical="center"/>
    </xf>
    <xf numFmtId="0" fontId="55" fillId="50" borderId="17" xfId="403" applyFont="1" applyFill="1" applyBorder="1" applyAlignment="1">
      <alignment horizontal="left" vertical="center" shrinkToFit="1"/>
    </xf>
    <xf numFmtId="0" fontId="55" fillId="0" borderId="10" xfId="404" applyFont="1" applyBorder="1" applyAlignment="1">
      <alignment horizontal="left" vertical="justify"/>
    </xf>
    <xf numFmtId="0" fontId="55" fillId="0" borderId="10" xfId="270" applyFont="1" applyBorder="1" applyAlignment="1">
      <alignment horizontal="left"/>
    </xf>
    <xf numFmtId="0" fontId="55" fillId="0" borderId="10" xfId="405" applyFont="1" applyFill="1" applyBorder="1" applyAlignment="1">
      <alignment horizontal="left" vertical="center"/>
    </xf>
    <xf numFmtId="0" fontId="55" fillId="0" borderId="10" xfId="406" applyFont="1" applyBorder="1" applyAlignment="1">
      <alignment horizontal="left" vertical="center"/>
    </xf>
    <xf numFmtId="0" fontId="55" fillId="0" borderId="0" xfId="0" applyFont="1" applyAlignment="1">
      <alignment horizontal="left"/>
    </xf>
    <xf numFmtId="0" fontId="55" fillId="0" borderId="10" xfId="270" applyFont="1" applyBorder="1" applyAlignment="1">
      <alignment horizontal="left" vertical="center"/>
    </xf>
    <xf numFmtId="0" fontId="55" fillId="0" borderId="28" xfId="2" applyFont="1" applyBorder="1" applyAlignment="1">
      <alignment horizontal="center" vertical="center"/>
    </xf>
    <xf numFmtId="0" fontId="55" fillId="0" borderId="10" xfId="2" applyFont="1" applyBorder="1" applyAlignment="1">
      <alignment horizontal="center" vertical="center"/>
    </xf>
    <xf numFmtId="1" fontId="55" fillId="33" borderId="10" xfId="2" applyNumberFormat="1" applyFont="1" applyFill="1" applyBorder="1" applyAlignment="1">
      <alignment horizontal="center" vertical="center"/>
    </xf>
    <xf numFmtId="1" fontId="55" fillId="0" borderId="10" xfId="2" applyNumberFormat="1" applyFont="1" applyBorder="1" applyAlignment="1">
      <alignment horizontal="center" vertical="center"/>
    </xf>
    <xf numFmtId="1" fontId="55" fillId="48" borderId="10" xfId="2" applyNumberFormat="1" applyFont="1" applyFill="1" applyBorder="1" applyAlignment="1">
      <alignment horizontal="center" vertical="center"/>
    </xf>
    <xf numFmtId="0" fontId="55" fillId="41" borderId="10" xfId="404" applyFont="1" applyFill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10" xfId="404" applyFont="1" applyBorder="1" applyAlignment="1">
      <alignment vertical="center"/>
    </xf>
    <xf numFmtId="0" fontId="55" fillId="0" borderId="28" xfId="2" applyFont="1" applyFill="1" applyBorder="1" applyAlignment="1">
      <alignment horizontal="center" vertical="center"/>
    </xf>
    <xf numFmtId="0" fontId="55" fillId="0" borderId="10" xfId="2" applyFont="1" applyFill="1" applyBorder="1" applyAlignment="1">
      <alignment horizontal="center" vertical="center"/>
    </xf>
    <xf numFmtId="1" fontId="55" fillId="0" borderId="10" xfId="2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29" xfId="403" applyFont="1" applyBorder="1" applyAlignment="1">
      <alignment horizontal="left" vertical="center"/>
    </xf>
    <xf numFmtId="0" fontId="52" fillId="50" borderId="10" xfId="403" applyFont="1" applyFill="1" applyBorder="1" applyAlignment="1">
      <alignment horizontal="left" vertical="center"/>
    </xf>
    <xf numFmtId="0" fontId="52" fillId="50" borderId="17" xfId="403" applyFont="1" applyFill="1" applyBorder="1" applyAlignment="1">
      <alignment horizontal="left" vertical="center" wrapText="1"/>
    </xf>
    <xf numFmtId="2" fontId="55" fillId="0" borderId="10" xfId="404" applyNumberFormat="1" applyFont="1" applyBorder="1" applyAlignment="1">
      <alignment horizontal="left" vertical="center"/>
    </xf>
    <xf numFmtId="2" fontId="55" fillId="0" borderId="10" xfId="406" applyNumberFormat="1" applyFont="1" applyBorder="1" applyAlignment="1">
      <alignment horizontal="left" vertical="center"/>
    </xf>
    <xf numFmtId="2" fontId="55" fillId="0" borderId="10" xfId="405" applyNumberFormat="1" applyFont="1" applyBorder="1" applyAlignment="1">
      <alignment horizontal="left" vertical="center"/>
    </xf>
    <xf numFmtId="2" fontId="55" fillId="0" borderId="10" xfId="405" applyNumberFormat="1" applyFont="1" applyFill="1" applyBorder="1" applyAlignment="1">
      <alignment horizontal="left" vertical="center"/>
    </xf>
    <xf numFmtId="2" fontId="55" fillId="0" borderId="10" xfId="403" applyNumberFormat="1" applyFont="1" applyBorder="1" applyAlignment="1">
      <alignment horizontal="left" vertical="center"/>
    </xf>
    <xf numFmtId="2" fontId="55" fillId="0" borderId="10" xfId="407" applyNumberFormat="1" applyFont="1" applyBorder="1" applyAlignment="1">
      <alignment horizontal="left" vertical="center"/>
    </xf>
    <xf numFmtId="1" fontId="55" fillId="0" borderId="10" xfId="406" applyNumberFormat="1" applyFont="1" applyBorder="1" applyAlignment="1">
      <alignment horizontal="left" vertical="center"/>
    </xf>
    <xf numFmtId="1" fontId="55" fillId="0" borderId="10" xfId="403" applyNumberFormat="1" applyFont="1" applyBorder="1" applyAlignment="1">
      <alignment horizontal="left" vertical="center"/>
    </xf>
    <xf numFmtId="1" fontId="55" fillId="0" borderId="10" xfId="407" applyNumberFormat="1" applyFont="1" applyBorder="1" applyAlignment="1">
      <alignment horizontal="left" vertical="center"/>
    </xf>
    <xf numFmtId="1" fontId="55" fillId="0" borderId="10" xfId="404" applyNumberFormat="1" applyFont="1" applyBorder="1" applyAlignment="1">
      <alignment horizontal="left" vertical="center"/>
    </xf>
    <xf numFmtId="0" fontId="55" fillId="43" borderId="10" xfId="403" applyFont="1" applyFill="1" applyBorder="1" applyAlignment="1">
      <alignment horizontal="center" vertical="center"/>
    </xf>
    <xf numFmtId="0" fontId="55" fillId="43" borderId="10" xfId="407" applyFont="1" applyFill="1" applyBorder="1" applyAlignment="1">
      <alignment horizontal="left" vertical="center"/>
    </xf>
    <xf numFmtId="0" fontId="55" fillId="43" borderId="10" xfId="407" applyFont="1" applyFill="1" applyBorder="1" applyAlignment="1">
      <alignment horizontal="center" vertical="center"/>
    </xf>
    <xf numFmtId="0" fontId="55" fillId="43" borderId="10" xfId="404" applyFont="1" applyFill="1" applyBorder="1" applyAlignment="1">
      <alignment horizontal="center" vertical="center"/>
    </xf>
    <xf numFmtId="2" fontId="55" fillId="43" borderId="10" xfId="407" applyNumberFormat="1" applyFont="1" applyFill="1" applyBorder="1" applyAlignment="1">
      <alignment horizontal="center" vertical="center"/>
    </xf>
    <xf numFmtId="2" fontId="55" fillId="43" borderId="10" xfId="407" applyNumberFormat="1" applyFont="1" applyFill="1" applyBorder="1" applyAlignment="1">
      <alignment horizontal="left" vertical="center"/>
    </xf>
    <xf numFmtId="4" fontId="55" fillId="43" borderId="10" xfId="407" applyNumberFormat="1" applyFont="1" applyFill="1" applyBorder="1" applyAlignment="1">
      <alignment horizontal="center" vertical="center"/>
    </xf>
    <xf numFmtId="2" fontId="55" fillId="43" borderId="10" xfId="87" applyNumberFormat="1" applyFont="1" applyFill="1" applyBorder="1" applyAlignment="1">
      <alignment horizontal="center" vertical="center"/>
    </xf>
    <xf numFmtId="1" fontId="55" fillId="43" borderId="10" xfId="407" applyNumberFormat="1" applyFont="1" applyFill="1" applyBorder="1" applyAlignment="1">
      <alignment horizontal="center" vertical="center"/>
    </xf>
    <xf numFmtId="1" fontId="55" fillId="43" borderId="10" xfId="407" applyNumberFormat="1" applyFont="1" applyFill="1" applyBorder="1" applyAlignment="1">
      <alignment horizontal="left" vertical="center"/>
    </xf>
    <xf numFmtId="3" fontId="55" fillId="43" borderId="10" xfId="407" applyNumberFormat="1" applyFont="1" applyFill="1" applyBorder="1" applyAlignment="1">
      <alignment horizontal="center" vertical="center"/>
    </xf>
    <xf numFmtId="0" fontId="55" fillId="43" borderId="20" xfId="419" applyFont="1" applyFill="1" applyBorder="1" applyAlignment="1">
      <alignment horizontal="center" vertical="center"/>
    </xf>
    <xf numFmtId="0" fontId="55" fillId="43" borderId="10" xfId="419" applyFont="1" applyFill="1" applyBorder="1" applyAlignment="1">
      <alignment horizontal="center" vertical="center"/>
    </xf>
    <xf numFmtId="0" fontId="55" fillId="43" borderId="0" xfId="0" applyFont="1" applyFill="1" applyAlignment="1">
      <alignment vertical="center"/>
    </xf>
    <xf numFmtId="0" fontId="55" fillId="43" borderId="10" xfId="403" applyFont="1" applyFill="1" applyBorder="1" applyAlignment="1">
      <alignment horizontal="left" vertical="center"/>
    </xf>
    <xf numFmtId="2" fontId="55" fillId="43" borderId="10" xfId="403" applyNumberFormat="1" applyFont="1" applyFill="1" applyBorder="1" applyAlignment="1">
      <alignment horizontal="center" vertical="center"/>
    </xf>
    <xf numFmtId="4" fontId="55" fillId="43" borderId="10" xfId="403" applyNumberFormat="1" applyFont="1" applyFill="1" applyBorder="1" applyAlignment="1">
      <alignment horizontal="center" vertical="center"/>
    </xf>
    <xf numFmtId="0" fontId="55" fillId="43" borderId="10" xfId="403" applyFont="1" applyFill="1" applyBorder="1" applyAlignment="1">
      <alignment vertical="center"/>
    </xf>
    <xf numFmtId="2" fontId="55" fillId="43" borderId="10" xfId="403" applyNumberFormat="1" applyFont="1" applyFill="1" applyBorder="1" applyAlignment="1">
      <alignment vertical="center"/>
    </xf>
    <xf numFmtId="0" fontId="55" fillId="43" borderId="10" xfId="405" applyFont="1" applyFill="1" applyBorder="1" applyAlignment="1">
      <alignment horizontal="left" vertical="center"/>
    </xf>
    <xf numFmtId="4" fontId="55" fillId="43" borderId="10" xfId="87" applyNumberFormat="1" applyFont="1" applyFill="1" applyBorder="1" applyAlignment="1">
      <alignment horizontal="center" vertical="center"/>
    </xf>
    <xf numFmtId="1" fontId="55" fillId="43" borderId="10" xfId="87" applyNumberFormat="1" applyFont="1" applyFill="1" applyBorder="1" applyAlignment="1">
      <alignment horizontal="center" vertical="center"/>
    </xf>
    <xf numFmtId="2" fontId="55" fillId="43" borderId="10" xfId="87" applyNumberFormat="1" applyFont="1" applyFill="1" applyBorder="1" applyAlignment="1">
      <alignment vertical="center"/>
    </xf>
    <xf numFmtId="3" fontId="55" fillId="43" borderId="10" xfId="403" applyNumberFormat="1" applyFont="1" applyFill="1" applyBorder="1" applyAlignment="1">
      <alignment horizontal="center" vertical="center"/>
    </xf>
    <xf numFmtId="0" fontId="55" fillId="43" borderId="10" xfId="419" applyFont="1" applyFill="1" applyBorder="1" applyAlignment="1">
      <alignment horizontal="left" vertical="center"/>
    </xf>
    <xf numFmtId="2" fontId="55" fillId="43" borderId="10" xfId="419" applyNumberFormat="1" applyFont="1" applyFill="1" applyBorder="1" applyAlignment="1">
      <alignment horizontal="center" vertical="center"/>
    </xf>
    <xf numFmtId="0" fontId="55" fillId="43" borderId="10" xfId="419" applyFont="1" applyFill="1" applyBorder="1" applyAlignment="1">
      <alignment vertical="center"/>
    </xf>
    <xf numFmtId="2" fontId="55" fillId="43" borderId="10" xfId="87" applyNumberFormat="1" applyFont="1" applyFill="1" applyBorder="1" applyAlignment="1">
      <alignment horizontal="center" vertical="center" wrapText="1"/>
    </xf>
    <xf numFmtId="0" fontId="55" fillId="43" borderId="10" xfId="419" applyFont="1" applyFill="1" applyBorder="1" applyAlignment="1">
      <alignment horizontal="left" vertical="center" wrapText="1"/>
    </xf>
    <xf numFmtId="2" fontId="55" fillId="43" borderId="10" xfId="419" applyNumberFormat="1" applyFont="1" applyFill="1" applyBorder="1" applyAlignment="1">
      <alignment horizontal="center" vertical="center" wrapText="1"/>
    </xf>
    <xf numFmtId="1" fontId="55" fillId="43" borderId="10" xfId="87" applyNumberFormat="1" applyFont="1" applyFill="1" applyBorder="1" applyAlignment="1">
      <alignment horizontal="center" vertical="center" wrapText="1"/>
    </xf>
    <xf numFmtId="0" fontId="55" fillId="43" borderId="10" xfId="404" applyFont="1" applyFill="1" applyBorder="1" applyAlignment="1">
      <alignment horizontal="left" vertical="justify"/>
    </xf>
    <xf numFmtId="4" fontId="68" fillId="0" borderId="24" xfId="426" applyNumberFormat="1" applyFont="1" applyBorder="1" applyAlignment="1">
      <alignment horizontal="center" vertical="center"/>
    </xf>
    <xf numFmtId="0" fontId="81" fillId="0" borderId="24" xfId="426" applyFont="1" applyBorder="1" applyAlignment="1">
      <alignment horizontal="center" vertical="center"/>
    </xf>
    <xf numFmtId="0" fontId="80" fillId="0" borderId="22" xfId="426" applyFont="1" applyBorder="1" applyAlignment="1">
      <alignment horizontal="center" vertical="center"/>
    </xf>
    <xf numFmtId="0" fontId="60" fillId="35" borderId="20" xfId="424" applyFont="1" applyFill="1" applyBorder="1" applyAlignment="1">
      <alignment horizontal="center" vertical="center" wrapText="1" shrinkToFit="1"/>
    </xf>
    <xf numFmtId="0" fontId="56" fillId="0" borderId="10" xfId="0" applyFont="1" applyBorder="1"/>
    <xf numFmtId="2" fontId="59" fillId="0" borderId="20" xfId="424" applyNumberFormat="1" applyFont="1" applyBorder="1" applyAlignment="1">
      <alignment horizontal="center"/>
    </xf>
    <xf numFmtId="0" fontId="56" fillId="0" borderId="0" xfId="424" applyFont="1" applyAlignment="1">
      <alignment horizontal="center"/>
    </xf>
    <xf numFmtId="2" fontId="59" fillId="0" borderId="20" xfId="424" applyNumberFormat="1" applyFont="1" applyBorder="1" applyAlignment="1">
      <alignment horizontal="center" vertical="center"/>
    </xf>
    <xf numFmtId="0" fontId="59" fillId="43" borderId="20" xfId="424" applyFont="1" applyFill="1" applyBorder="1" applyAlignment="1">
      <alignment horizontal="left"/>
    </xf>
    <xf numFmtId="0" fontId="59" fillId="43" borderId="20" xfId="424" applyFont="1" applyFill="1" applyBorder="1" applyAlignment="1">
      <alignment horizontal="center"/>
    </xf>
    <xf numFmtId="0" fontId="59" fillId="0" borderId="20" xfId="424" applyFont="1" applyBorder="1" applyAlignment="1">
      <alignment horizontal="center"/>
    </xf>
    <xf numFmtId="0" fontId="60" fillId="51" borderId="12" xfId="424" applyFont="1" applyFill="1" applyBorder="1" applyAlignment="1">
      <alignment horizontal="center" vertical="center" wrapText="1"/>
    </xf>
    <xf numFmtId="0" fontId="60" fillId="51" borderId="11" xfId="424" applyFont="1" applyFill="1" applyBorder="1" applyAlignment="1">
      <alignment horizontal="center" vertical="center" wrapText="1"/>
    </xf>
    <xf numFmtId="0" fontId="60" fillId="51" borderId="10" xfId="424" applyFont="1" applyFill="1" applyBorder="1" applyAlignment="1">
      <alignment horizontal="center" vertical="center" wrapText="1"/>
    </xf>
    <xf numFmtId="0" fontId="60" fillId="35" borderId="20" xfId="424" applyFont="1" applyFill="1" applyBorder="1" applyAlignment="1">
      <alignment horizontal="center" vertical="center" shrinkToFit="1"/>
    </xf>
    <xf numFmtId="0" fontId="60" fillId="35" borderId="20" xfId="424" applyFont="1" applyFill="1" applyBorder="1" applyAlignment="1">
      <alignment horizontal="center" vertical="center" wrapText="1"/>
    </xf>
    <xf numFmtId="0" fontId="60" fillId="35" borderId="20" xfId="424" applyFont="1" applyFill="1" applyBorder="1" applyAlignment="1">
      <alignment horizontal="center" vertical="center" shrinkToFit="1"/>
    </xf>
    <xf numFmtId="0" fontId="56" fillId="0" borderId="0" xfId="424" applyFont="1"/>
    <xf numFmtId="0" fontId="60" fillId="51" borderId="34" xfId="424" applyFont="1" applyFill="1" applyBorder="1" applyAlignment="1">
      <alignment horizontal="left" vertical="center" wrapText="1"/>
    </xf>
    <xf numFmtId="0" fontId="60" fillId="51" borderId="11" xfId="424" applyFont="1" applyFill="1" applyBorder="1" applyAlignment="1">
      <alignment horizontal="left" vertical="center" wrapText="1"/>
    </xf>
    <xf numFmtId="0" fontId="60" fillId="35" borderId="38" xfId="424" applyFont="1" applyFill="1" applyBorder="1" applyAlignment="1">
      <alignment horizontal="center" vertical="center" shrinkToFit="1"/>
    </xf>
    <xf numFmtId="0" fontId="60" fillId="35" borderId="24" xfId="424" applyFont="1" applyFill="1" applyBorder="1" applyAlignment="1">
      <alignment horizontal="center" vertical="center" wrapText="1"/>
    </xf>
    <xf numFmtId="0" fontId="60" fillId="35" borderId="24" xfId="424" applyFont="1" applyFill="1" applyBorder="1" applyAlignment="1">
      <alignment horizontal="center" vertical="center" shrinkToFit="1"/>
    </xf>
    <xf numFmtId="0" fontId="56" fillId="0" borderId="0" xfId="0" applyFont="1"/>
    <xf numFmtId="0" fontId="17" fillId="0" borderId="0" xfId="426" applyFont="1"/>
    <xf numFmtId="0" fontId="15" fillId="0" borderId="0" xfId="0" applyFont="1"/>
    <xf numFmtId="167" fontId="49" fillId="0" borderId="0" xfId="417" applyFont="1"/>
    <xf numFmtId="2" fontId="49" fillId="0" borderId="10" xfId="417" applyNumberFormat="1" applyFont="1" applyBorder="1" applyAlignment="1">
      <alignment horizontal="center" vertical="center"/>
    </xf>
    <xf numFmtId="0" fontId="81" fillId="0" borderId="22" xfId="426" applyFont="1" applyBorder="1" applyAlignment="1">
      <alignment horizontal="center" vertical="center"/>
    </xf>
    <xf numFmtId="0" fontId="81" fillId="0" borderId="10" xfId="426" applyFont="1" applyBorder="1" applyAlignment="1">
      <alignment horizontal="center" vertical="center"/>
    </xf>
    <xf numFmtId="0" fontId="49" fillId="0" borderId="0" xfId="426" applyFont="1"/>
    <xf numFmtId="167" fontId="53" fillId="0" borderId="0" xfId="417" applyFont="1"/>
    <xf numFmtId="2" fontId="53" fillId="0" borderId="10" xfId="417" applyNumberFormat="1" applyFont="1" applyBorder="1" applyAlignment="1">
      <alignment horizontal="center" vertical="center"/>
    </xf>
    <xf numFmtId="0" fontId="80" fillId="0" borderId="24" xfId="426" applyFont="1" applyBorder="1" applyAlignment="1">
      <alignment horizontal="center" vertical="center"/>
    </xf>
    <xf numFmtId="0" fontId="80" fillId="0" borderId="10" xfId="426" applyFont="1" applyBorder="1" applyAlignment="1">
      <alignment horizontal="center" vertical="center"/>
    </xf>
    <xf numFmtId="0" fontId="79" fillId="47" borderId="24" xfId="426" applyFont="1" applyFill="1" applyBorder="1" applyAlignment="1">
      <alignment horizontal="center" vertical="center"/>
    </xf>
    <xf numFmtId="0" fontId="53" fillId="0" borderId="0" xfId="426" applyFont="1"/>
    <xf numFmtId="0" fontId="78" fillId="0" borderId="37" xfId="426" applyNumberFormat="1" applyFont="1" applyFill="1" applyBorder="1" applyAlignment="1">
      <alignment horizontal="center" vertical="center"/>
    </xf>
    <xf numFmtId="0" fontId="77" fillId="0" borderId="32" xfId="426" applyFont="1" applyBorder="1" applyAlignment="1">
      <alignment horizontal="center" vertical="center"/>
    </xf>
    <xf numFmtId="2" fontId="50" fillId="0" borderId="27" xfId="417" applyNumberFormat="1" applyFont="1" applyBorder="1"/>
    <xf numFmtId="2" fontId="50" fillId="0" borderId="27" xfId="417" applyNumberFormat="1" applyFont="1" applyBorder="1" applyAlignment="1">
      <alignment horizontal="center"/>
    </xf>
    <xf numFmtId="0" fontId="77" fillId="0" borderId="22" xfId="426" applyFont="1" applyBorder="1" applyAlignment="1">
      <alignment horizontal="center" vertical="center"/>
    </xf>
    <xf numFmtId="2" fontId="50" fillId="0" borderId="27" xfId="417" applyNumberFormat="1" applyFont="1" applyBorder="1" applyAlignment="1">
      <alignment horizontal="center" vertical="center"/>
    </xf>
    <xf numFmtId="167" fontId="50" fillId="0" borderId="27" xfId="417" applyFont="1" applyBorder="1" applyAlignment="1">
      <alignment horizontal="center" vertical="center"/>
    </xf>
    <xf numFmtId="167" fontId="50" fillId="0" borderId="27" xfId="417" applyFont="1" applyBorder="1"/>
    <xf numFmtId="167" fontId="50" fillId="0" borderId="25" xfId="417" applyFont="1" applyBorder="1"/>
    <xf numFmtId="0" fontId="74" fillId="0" borderId="30" xfId="426" applyFont="1" applyBorder="1" applyAlignment="1">
      <alignment horizontal="center" vertical="center"/>
    </xf>
    <xf numFmtId="4" fontId="50" fillId="0" borderId="24" xfId="426" applyNumberFormat="1" applyFont="1" applyBorder="1" applyAlignment="1">
      <alignment horizontal="center"/>
    </xf>
    <xf numFmtId="0" fontId="77" fillId="0" borderId="24" xfId="426" applyFont="1" applyBorder="1" applyAlignment="1">
      <alignment horizontal="center" vertical="center"/>
    </xf>
    <xf numFmtId="2" fontId="68" fillId="0" borderId="24" xfId="426" applyNumberFormat="1" applyFont="1" applyBorder="1" applyAlignment="1">
      <alignment horizontal="center" vertical="center"/>
    </xf>
    <xf numFmtId="0" fontId="68" fillId="0" borderId="24" xfId="426" applyFont="1" applyBorder="1" applyAlignment="1">
      <alignment horizontal="center" vertical="center"/>
    </xf>
    <xf numFmtId="0" fontId="74" fillId="0" borderId="24" xfId="426" applyFont="1" applyBorder="1" applyAlignment="1">
      <alignment horizontal="center" vertical="center"/>
    </xf>
    <xf numFmtId="2" fontId="68" fillId="59" borderId="10" xfId="426" applyNumberFormat="1" applyFont="1" applyFill="1" applyBorder="1" applyAlignment="1">
      <alignment horizontal="center" vertical="center"/>
    </xf>
    <xf numFmtId="2" fontId="68" fillId="0" borderId="10" xfId="426" applyNumberFormat="1" applyFont="1" applyBorder="1" applyAlignment="1">
      <alignment horizontal="center" vertical="center"/>
    </xf>
    <xf numFmtId="0" fontId="75" fillId="0" borderId="10" xfId="426" applyFont="1" applyBorder="1" applyAlignment="1">
      <alignment horizontal="center"/>
    </xf>
    <xf numFmtId="194" fontId="68" fillId="0" borderId="10" xfId="426" applyNumberFormat="1" applyFont="1" applyBorder="1" applyAlignment="1">
      <alignment horizontal="center" vertical="center"/>
    </xf>
    <xf numFmtId="4" fontId="68" fillId="59" borderId="10" xfId="426" applyNumberFormat="1" applyFont="1" applyFill="1" applyBorder="1" applyAlignment="1">
      <alignment horizontal="center" vertical="center"/>
    </xf>
    <xf numFmtId="2" fontId="74" fillId="0" borderId="10" xfId="426" applyNumberFormat="1" applyFont="1" applyBorder="1" applyAlignment="1">
      <alignment horizontal="center"/>
    </xf>
    <xf numFmtId="0" fontId="68" fillId="0" borderId="10" xfId="426" applyFont="1" applyBorder="1" applyAlignment="1">
      <alignment horizontal="center"/>
    </xf>
    <xf numFmtId="0" fontId="54" fillId="0" borderId="0" xfId="0" applyFont="1"/>
    <xf numFmtId="0" fontId="68" fillId="41" borderId="10" xfId="426" applyFont="1" applyFill="1" applyBorder="1" applyAlignment="1">
      <alignment horizontal="center" vertical="center"/>
    </xf>
    <xf numFmtId="0" fontId="78" fillId="0" borderId="10" xfId="426" applyNumberFormat="1" applyFont="1" applyBorder="1" applyAlignment="1">
      <alignment horizontal="center" vertical="center"/>
    </xf>
    <xf numFmtId="3" fontId="68" fillId="0" borderId="10" xfId="426" applyNumberFormat="1" applyFont="1" applyBorder="1" applyAlignment="1">
      <alignment horizontal="center" vertical="center"/>
    </xf>
    <xf numFmtId="4" fontId="68" fillId="0" borderId="10" xfId="426" applyNumberFormat="1" applyFont="1" applyBorder="1" applyAlignment="1">
      <alignment horizontal="center" vertical="center"/>
    </xf>
    <xf numFmtId="0" fontId="77" fillId="0" borderId="10" xfId="426" applyFont="1" applyBorder="1" applyAlignment="1">
      <alignment horizontal="center" vertical="center"/>
    </xf>
    <xf numFmtId="0" fontId="75" fillId="0" borderId="10" xfId="426" applyFont="1" applyBorder="1" applyAlignment="1">
      <alignment horizontal="center" vertical="center"/>
    </xf>
    <xf numFmtId="0" fontId="68" fillId="0" borderId="10" xfId="426" applyFont="1" applyBorder="1" applyAlignment="1">
      <alignment horizontal="center" vertical="center"/>
    </xf>
    <xf numFmtId="0" fontId="74" fillId="0" borderId="10" xfId="426" applyFont="1" applyBorder="1" applyAlignment="1">
      <alignment horizontal="center" vertical="center"/>
    </xf>
    <xf numFmtId="0" fontId="67" fillId="52" borderId="47" xfId="426" applyFont="1" applyFill="1" applyBorder="1" applyAlignment="1">
      <alignment horizontal="center" vertical="center"/>
    </xf>
    <xf numFmtId="0" fontId="67" fillId="52" borderId="46" xfId="426" applyFont="1" applyFill="1" applyBorder="1" applyAlignment="1">
      <alignment horizontal="center" vertical="center"/>
    </xf>
    <xf numFmtId="0" fontId="67" fillId="52" borderId="45" xfId="426" applyFont="1" applyFill="1" applyBorder="1" applyAlignment="1">
      <alignment horizontal="center" vertical="center"/>
    </xf>
    <xf numFmtId="0" fontId="67" fillId="52" borderId="50" xfId="426" applyFont="1" applyFill="1" applyBorder="1" applyAlignment="1">
      <alignment horizontal="center" vertical="center"/>
    </xf>
    <xf numFmtId="0" fontId="67" fillId="52" borderId="44" xfId="426" applyFont="1" applyFill="1" applyBorder="1" applyAlignment="1">
      <alignment horizontal="center" vertical="center"/>
    </xf>
    <xf numFmtId="0" fontId="67" fillId="46" borderId="47" xfId="426" applyFont="1" applyFill="1" applyBorder="1" applyAlignment="1">
      <alignment horizontal="center" vertical="center"/>
    </xf>
    <xf numFmtId="0" fontId="67" fillId="46" borderId="46" xfId="426" applyFont="1" applyFill="1" applyBorder="1" applyAlignment="1">
      <alignment horizontal="center" vertical="center"/>
    </xf>
    <xf numFmtId="0" fontId="67" fillId="46" borderId="45" xfId="426" applyFont="1" applyFill="1" applyBorder="1" applyAlignment="1">
      <alignment horizontal="center" vertical="center"/>
    </xf>
    <xf numFmtId="0" fontId="67" fillId="46" borderId="50" xfId="426" applyFont="1" applyFill="1" applyBorder="1" applyAlignment="1">
      <alignment horizontal="center" vertical="center"/>
    </xf>
    <xf numFmtId="0" fontId="67" fillId="46" borderId="44" xfId="426" applyFont="1" applyFill="1" applyBorder="1" applyAlignment="1">
      <alignment horizontal="center" vertical="center"/>
    </xf>
    <xf numFmtId="0" fontId="67" fillId="46" borderId="48" xfId="426" applyFont="1" applyFill="1" applyBorder="1" applyAlignment="1">
      <alignment horizontal="center" vertical="center"/>
    </xf>
    <xf numFmtId="0" fontId="67" fillId="46" borderId="42" xfId="426" applyFont="1" applyFill="1" applyBorder="1" applyAlignment="1">
      <alignment horizontal="center" vertical="center"/>
    </xf>
    <xf numFmtId="0" fontId="67" fillId="58" borderId="41" xfId="426" applyFont="1" applyFill="1" applyBorder="1" applyAlignment="1">
      <alignment horizontal="center" vertical="center"/>
    </xf>
    <xf numFmtId="0" fontId="67" fillId="58" borderId="40" xfId="426" applyFont="1" applyFill="1" applyBorder="1" applyAlignment="1">
      <alignment horizontal="center" vertical="center"/>
    </xf>
    <xf numFmtId="0" fontId="67" fillId="58" borderId="39" xfId="426" applyFont="1" applyFill="1" applyBorder="1" applyAlignment="1">
      <alignment horizontal="center" vertical="center"/>
    </xf>
    <xf numFmtId="0" fontId="67" fillId="35" borderId="41" xfId="426" applyFont="1" applyFill="1" applyBorder="1" applyAlignment="1">
      <alignment horizontal="center" vertical="center"/>
    </xf>
    <xf numFmtId="2" fontId="17" fillId="0" borderId="10" xfId="417" applyNumberFormat="1" applyFont="1" applyBorder="1" applyAlignment="1">
      <alignment horizontal="center" vertical="center"/>
    </xf>
    <xf numFmtId="167" fontId="17" fillId="0" borderId="10" xfId="417" applyFont="1" applyBorder="1" applyAlignment="1">
      <alignment horizontal="center"/>
    </xf>
    <xf numFmtId="167" fontId="17" fillId="0" borderId="10" xfId="417" applyFont="1" applyBorder="1"/>
    <xf numFmtId="0" fontId="51" fillId="0" borderId="0" xfId="426" applyFont="1"/>
    <xf numFmtId="0" fontId="50" fillId="0" borderId="0" xfId="426" applyFont="1"/>
    <xf numFmtId="0" fontId="72" fillId="0" borderId="0" xfId="426" applyNumberFormat="1" applyFont="1" applyFill="1" applyBorder="1" applyAlignment="1">
      <alignment horizontal="center" vertical="center"/>
    </xf>
    <xf numFmtId="0" fontId="71" fillId="0" borderId="0" xfId="426" applyFont="1" applyBorder="1" applyAlignment="1">
      <alignment horizontal="center" vertical="center"/>
    </xf>
    <xf numFmtId="0" fontId="70" fillId="0" borderId="0" xfId="426" applyFont="1" applyBorder="1" applyAlignment="1">
      <alignment horizontal="center" vertical="center"/>
    </xf>
    <xf numFmtId="167" fontId="17" fillId="0" borderId="0" xfId="417" applyFont="1" applyAlignment="1">
      <alignment horizontal="center"/>
    </xf>
    <xf numFmtId="167" fontId="17" fillId="0" borderId="0" xfId="417" applyFont="1"/>
    <xf numFmtId="0" fontId="72" fillId="54" borderId="10" xfId="426" applyFont="1" applyFill="1" applyBorder="1" applyAlignment="1">
      <alignment horizontal="center" vertical="center"/>
    </xf>
    <xf numFmtId="0" fontId="72" fillId="47" borderId="10" xfId="426" applyFont="1" applyFill="1" applyBorder="1" applyAlignment="1">
      <alignment horizontal="center" vertical="center"/>
    </xf>
    <xf numFmtId="0" fontId="70" fillId="0" borderId="10" xfId="426" applyFont="1" applyBorder="1" applyAlignment="1">
      <alignment horizontal="center" vertical="center"/>
    </xf>
    <xf numFmtId="0" fontId="67" fillId="43" borderId="54" xfId="426" applyFont="1" applyFill="1" applyBorder="1" applyAlignment="1">
      <alignment horizontal="center" vertical="center"/>
    </xf>
    <xf numFmtId="0" fontId="67" fillId="49" borderId="53" xfId="426" applyFont="1" applyFill="1" applyBorder="1" applyAlignment="1">
      <alignment horizontal="center" vertical="center"/>
    </xf>
    <xf numFmtId="0" fontId="67" fillId="54" borderId="49" xfId="426" applyFont="1" applyFill="1" applyBorder="1" applyAlignment="1">
      <alignment horizontal="center" vertical="center"/>
    </xf>
    <xf numFmtId="0" fontId="67" fillId="45" borderId="52" xfId="426" applyFont="1" applyFill="1" applyBorder="1" applyAlignment="1">
      <alignment horizontal="center" vertical="center"/>
    </xf>
    <xf numFmtId="0" fontId="67" fillId="43" borderId="51" xfId="426" applyFont="1" applyFill="1" applyBorder="1" applyAlignment="1">
      <alignment horizontal="center" vertical="center"/>
    </xf>
    <xf numFmtId="0" fontId="67" fillId="49" borderId="49" xfId="426" applyFont="1" applyFill="1" applyBorder="1" applyAlignment="1">
      <alignment horizontal="center" vertical="center"/>
    </xf>
    <xf numFmtId="0" fontId="69" fillId="47" borderId="38" xfId="426" applyFont="1" applyFill="1" applyBorder="1" applyAlignment="1">
      <alignment horizontal="center" vertical="center"/>
    </xf>
    <xf numFmtId="0" fontId="69" fillId="47" borderId="35" xfId="426" applyFont="1" applyFill="1" applyBorder="1" applyAlignment="1">
      <alignment horizontal="center" vertical="center"/>
    </xf>
    <xf numFmtId="0" fontId="69" fillId="47" borderId="24" xfId="426" applyFont="1" applyFill="1" applyBorder="1" applyAlignment="1">
      <alignment horizontal="center" vertical="center"/>
    </xf>
    <xf numFmtId="0" fontId="67" fillId="52" borderId="46" xfId="426" applyFont="1" applyFill="1" applyBorder="1" applyAlignment="1">
      <alignment horizontal="center" vertical="center"/>
    </xf>
    <xf numFmtId="0" fontId="67" fillId="52" borderId="43" xfId="426" applyFont="1" applyFill="1" applyBorder="1" applyAlignment="1">
      <alignment horizontal="center" vertical="center"/>
    </xf>
    <xf numFmtId="0" fontId="67" fillId="46" borderId="43" xfId="426" applyFont="1" applyFill="1" applyBorder="1" applyAlignment="1">
      <alignment horizontal="center" vertical="center"/>
    </xf>
    <xf numFmtId="0" fontId="17" fillId="0" borderId="0" xfId="426"/>
    <xf numFmtId="0" fontId="73" fillId="55" borderId="10" xfId="426" applyFont="1" applyFill="1" applyBorder="1" applyAlignment="1">
      <alignment horizontal="center" vertical="center"/>
    </xf>
    <xf numFmtId="0" fontId="73" fillId="53" borderId="10" xfId="426" applyFont="1" applyFill="1" applyBorder="1" applyAlignment="1">
      <alignment horizontal="center" vertical="center"/>
    </xf>
    <xf numFmtId="0" fontId="67" fillId="35" borderId="40" xfId="426" applyFont="1" applyFill="1" applyBorder="1" applyAlignment="1">
      <alignment horizontal="center" vertical="center"/>
    </xf>
    <xf numFmtId="0" fontId="73" fillId="49" borderId="10" xfId="426" applyFont="1" applyFill="1" applyBorder="1" applyAlignment="1">
      <alignment horizontal="center" vertical="center"/>
    </xf>
    <xf numFmtId="2" fontId="74" fillId="0" borderId="10" xfId="426" applyNumberFormat="1" applyFont="1" applyBorder="1" applyAlignment="1">
      <alignment horizontal="center" vertical="center"/>
    </xf>
    <xf numFmtId="2" fontId="76" fillId="0" borderId="10" xfId="426" applyNumberFormat="1" applyFont="1" applyBorder="1" applyAlignment="1">
      <alignment horizontal="center" vertical="center"/>
    </xf>
    <xf numFmtId="3" fontId="68" fillId="0" borderId="24" xfId="426" applyNumberFormat="1" applyFont="1" applyBorder="1" applyAlignment="1">
      <alignment horizontal="center" vertical="center"/>
    </xf>
    <xf numFmtId="4" fontId="50" fillId="0" borderId="10" xfId="426" applyNumberFormat="1" applyFont="1" applyBorder="1" applyAlignment="1">
      <alignment horizontal="center"/>
    </xf>
  </cellXfs>
  <cellStyles count="429">
    <cellStyle name="20% - Accent1 2" xfId="13"/>
    <cellStyle name="20% - Accent1 3" xfId="14"/>
    <cellStyle name="20% - Accent2 2" xfId="15"/>
    <cellStyle name="20% - Accent2 3" xfId="16"/>
    <cellStyle name="20% - Accent3 2" xfId="17"/>
    <cellStyle name="20% - Accent3 3" xfId="18"/>
    <cellStyle name="20% - Accent4 2" xfId="19"/>
    <cellStyle name="20% - Accent4 3" xfId="20"/>
    <cellStyle name="20% - Accent5 2" xfId="21"/>
    <cellStyle name="20% - Accent5 3" xfId="22"/>
    <cellStyle name="20% - Accent6 2" xfId="23"/>
    <cellStyle name="20% - Accent6 3" xfId="24"/>
    <cellStyle name="20% - ส่วนที่ถูกเน้น1 2" xfId="25"/>
    <cellStyle name="20% - ส่วนที่ถูกเน้น2 2" xfId="26"/>
    <cellStyle name="20% - ส่วนที่ถูกเน้น3 2" xfId="27"/>
    <cellStyle name="20% - ส่วนที่ถูกเน้น4 2" xfId="28"/>
    <cellStyle name="20% - ส่วนที่ถูกเน้น5 2" xfId="29"/>
    <cellStyle name="20% - ส่วนที่ถูกเน้น6 2" xfId="30"/>
    <cellStyle name="40% - Accent1 2" xfId="31"/>
    <cellStyle name="40% - Accent1 3" xfId="32"/>
    <cellStyle name="40% - Accent2 2" xfId="33"/>
    <cellStyle name="40% - Accent2 3" xfId="34"/>
    <cellStyle name="40% - Accent3 2" xfId="35"/>
    <cellStyle name="40% - Accent3 3" xfId="36"/>
    <cellStyle name="40% - Accent4 2" xfId="37"/>
    <cellStyle name="40% - Accent4 3" xfId="38"/>
    <cellStyle name="40% - Accent5 2" xfId="39"/>
    <cellStyle name="40% - Accent5 3" xfId="40"/>
    <cellStyle name="40% - Accent6 2" xfId="41"/>
    <cellStyle name="40% - Accent6 3" xfId="42"/>
    <cellStyle name="40% - ส่วนที่ถูกเน้น1 2" xfId="43"/>
    <cellStyle name="40% - ส่วนที่ถูกเน้น2 2" xfId="44"/>
    <cellStyle name="40% - ส่วนที่ถูกเน้น3 2" xfId="45"/>
    <cellStyle name="40% - ส่วนที่ถูกเน้น4 2" xfId="46"/>
    <cellStyle name="40% - ส่วนที่ถูกเน้น5 2" xfId="47"/>
    <cellStyle name="40% - ส่วนที่ถูกเน้น6 2" xfId="48"/>
    <cellStyle name="60% - Accent1 2" xfId="49"/>
    <cellStyle name="60% - Accent1 3" xfId="50"/>
    <cellStyle name="60% - Accent2 2" xfId="51"/>
    <cellStyle name="60% - Accent2 3" xfId="52"/>
    <cellStyle name="60% - Accent3 2" xfId="53"/>
    <cellStyle name="60% - Accent3 3" xfId="54"/>
    <cellStyle name="60% - Accent4 2" xfId="55"/>
    <cellStyle name="60% - Accent4 3" xfId="56"/>
    <cellStyle name="60% - Accent5 2" xfId="57"/>
    <cellStyle name="60% - Accent5 3" xfId="58"/>
    <cellStyle name="60% - Accent6 2" xfId="59"/>
    <cellStyle name="60% - Accent6 3" xfId="60"/>
    <cellStyle name="60% - ส่วนที่ถูกเน้น1 2" xfId="61"/>
    <cellStyle name="60% - ส่วนที่ถูกเน้น2 2" xfId="62"/>
    <cellStyle name="60% - ส่วนที่ถูกเน้น3 2" xfId="63"/>
    <cellStyle name="60% - ส่วนที่ถูกเน้น4 2" xfId="64"/>
    <cellStyle name="60% - ส่วนที่ถูกเน้น5 2" xfId="65"/>
    <cellStyle name="60% - ส่วนที่ถูกเน้น6 2" xfId="66"/>
    <cellStyle name="Accent1 2" xfId="67"/>
    <cellStyle name="Accent1 3" xfId="68"/>
    <cellStyle name="Accent2 2" xfId="69"/>
    <cellStyle name="Accent2 3" xfId="70"/>
    <cellStyle name="Accent3 2" xfId="71"/>
    <cellStyle name="Accent3 3" xfId="72"/>
    <cellStyle name="Accent4 2" xfId="73"/>
    <cellStyle name="Accent4 3" xfId="74"/>
    <cellStyle name="Accent5 2" xfId="75"/>
    <cellStyle name="Accent5 3" xfId="76"/>
    <cellStyle name="Accent6 2" xfId="77"/>
    <cellStyle name="Accent6 3" xfId="78"/>
    <cellStyle name="Bad 2" xfId="79"/>
    <cellStyle name="Bad 3" xfId="80"/>
    <cellStyle name="Calculation 2" xfId="81"/>
    <cellStyle name="Calculation 3" xfId="82"/>
    <cellStyle name="Charles" xfId="83"/>
    <cellStyle name="Check Cell 2" xfId="84"/>
    <cellStyle name="Check Cell 3" xfId="85"/>
    <cellStyle name="Comma" xfId="1" builtinId="3"/>
    <cellStyle name="Comma 10" xfId="86"/>
    <cellStyle name="Comma 10 2" xfId="399"/>
    <cellStyle name="Comma 10 3" xfId="418"/>
    <cellStyle name="Comma 11" xfId="87"/>
    <cellStyle name="Comma 11 2" xfId="378"/>
    <cellStyle name="Comma 11 3 2" xfId="417"/>
    <cellStyle name="Comma 12" xfId="88"/>
    <cellStyle name="Comma 12 2" xfId="89"/>
    <cellStyle name="Comma 12 2 2" xfId="375"/>
    <cellStyle name="Comma 13" xfId="90"/>
    <cellStyle name="Comma 14" xfId="91"/>
    <cellStyle name="Comma 15" xfId="10"/>
    <cellStyle name="Comma 15 2" xfId="377"/>
    <cellStyle name="Comma 16" xfId="373"/>
    <cellStyle name="Comma 16 2" xfId="400"/>
    <cellStyle name="Comma 17" xfId="5"/>
    <cellStyle name="Comma 18" xfId="409"/>
    <cellStyle name="Comma 18 2" xfId="425"/>
    <cellStyle name="Comma 19" xfId="411"/>
    <cellStyle name="Comma 2" xfId="12"/>
    <cellStyle name="Comma 2 2" xfId="92"/>
    <cellStyle name="Comma 2 2 2" xfId="93"/>
    <cellStyle name="Comma 2 3" xfId="94"/>
    <cellStyle name="Comma 2 4" xfId="95"/>
    <cellStyle name="Comma 2 7 2 2" xfId="415"/>
    <cellStyle name="Comma 20" xfId="414"/>
    <cellStyle name="Comma 21" xfId="3"/>
    <cellStyle name="Comma 3" xfId="9"/>
    <cellStyle name="Comma 3 2" xfId="96"/>
    <cellStyle name="Comma 3 3" xfId="97"/>
    <cellStyle name="Comma 3 3 2" xfId="98"/>
    <cellStyle name="Comma 4" xfId="99"/>
    <cellStyle name="Comma 4 2" xfId="100"/>
    <cellStyle name="Comma 4 3" xfId="101"/>
    <cellStyle name="Comma 4 3 2" xfId="379"/>
    <cellStyle name="Comma 5" xfId="102"/>
    <cellStyle name="Comma 5 2" xfId="103"/>
    <cellStyle name="Comma 6" xfId="104"/>
    <cellStyle name="Comma 6 2" xfId="105"/>
    <cellStyle name="Comma 6 3" xfId="380"/>
    <cellStyle name="Comma 7" xfId="106"/>
    <cellStyle name="Comma 8" xfId="8"/>
    <cellStyle name="Comma 8 2" xfId="393"/>
    <cellStyle name="Comma 9" xfId="107"/>
    <cellStyle name="Comma 9 2" xfId="394"/>
    <cellStyle name="comma zerodec" xfId="108"/>
    <cellStyle name="comma zerodec 2" xfId="109"/>
    <cellStyle name="Currency1" xfId="110"/>
    <cellStyle name="Date" xfId="111"/>
    <cellStyle name="Date 2" xfId="112"/>
    <cellStyle name="Dollar (zero dec)" xfId="113"/>
    <cellStyle name="Explanatory Text 2" xfId="114"/>
    <cellStyle name="Explanatory Text 3" xfId="115"/>
    <cellStyle name="Fixed" xfId="116"/>
    <cellStyle name="Good 2" xfId="117"/>
    <cellStyle name="Good 3" xfId="118"/>
    <cellStyle name="Grey" xfId="119"/>
    <cellStyle name="Heading 1 2" xfId="120"/>
    <cellStyle name="Heading 1 3" xfId="121"/>
    <cellStyle name="Heading 2 2" xfId="122"/>
    <cellStyle name="Heading 2 3" xfId="123"/>
    <cellStyle name="Heading 3 2" xfId="124"/>
    <cellStyle name="Heading 3 3" xfId="125"/>
    <cellStyle name="Heading 4 2" xfId="126"/>
    <cellStyle name="Heading 4 3" xfId="127"/>
    <cellStyle name="HEADING1" xfId="128"/>
    <cellStyle name="HEADING1 2" xfId="129"/>
    <cellStyle name="HEADING2" xfId="130"/>
    <cellStyle name="HEADING2 2" xfId="131"/>
    <cellStyle name="Input [yellow]" xfId="132"/>
    <cellStyle name="Input 2" xfId="133"/>
    <cellStyle name="Input 3" xfId="134"/>
    <cellStyle name="Input 4" xfId="135"/>
    <cellStyle name="Input 5" xfId="136"/>
    <cellStyle name="Input 6" xfId="137"/>
    <cellStyle name="Input 7" xfId="138"/>
    <cellStyle name="Linked Cell 2" xfId="139"/>
    <cellStyle name="Linked Cell 3" xfId="140"/>
    <cellStyle name="Migliaia (0)" xfId="141"/>
    <cellStyle name="Migliaia (0) 2" xfId="142"/>
    <cellStyle name="Neutral 2" xfId="143"/>
    <cellStyle name="Neutral 3" xfId="144"/>
    <cellStyle name="no dec" xfId="145"/>
    <cellStyle name="Normal" xfId="0" builtinId="0"/>
    <cellStyle name="Normal - Style1" xfId="146"/>
    <cellStyle name="Normal 10" xfId="147"/>
    <cellStyle name="Normal 10 2" xfId="403"/>
    <cellStyle name="Normal 11" xfId="148"/>
    <cellStyle name="Normal 12" xfId="149"/>
    <cellStyle name="Normal 13" xfId="150"/>
    <cellStyle name="Normal 14" xfId="151"/>
    <cellStyle name="Normal 14 2" xfId="152"/>
    <cellStyle name="Normal 14 3" xfId="153"/>
    <cellStyle name="Normal 15" xfId="154"/>
    <cellStyle name="Normal 16" xfId="155"/>
    <cellStyle name="Normal 17" xfId="156"/>
    <cellStyle name="Normal 17 2" xfId="157"/>
    <cellStyle name="Normal 18" xfId="158"/>
    <cellStyle name="Normal 18 2" xfId="159"/>
    <cellStyle name="Normal 18 3" xfId="374"/>
    <cellStyle name="Normal 19" xfId="160"/>
    <cellStyle name="Normal 19 2" xfId="381"/>
    <cellStyle name="Normal 2" xfId="7"/>
    <cellStyle name="Normal 2 2" xfId="161"/>
    <cellStyle name="Normal 2 3" xfId="162"/>
    <cellStyle name="Normal 2 3 2" xfId="402"/>
    <cellStyle name="Normal 2 4" xfId="163"/>
    <cellStyle name="Normal 2 5 2 2" xfId="416"/>
    <cellStyle name="Normal 20" xfId="164"/>
    <cellStyle name="Normal 20 2" xfId="382"/>
    <cellStyle name="Normal 21" xfId="165"/>
    <cellStyle name="Normal 21 2" xfId="383"/>
    <cellStyle name="Normal 22" xfId="166"/>
    <cellStyle name="Normal 22 2" xfId="384"/>
    <cellStyle name="Normal 23" xfId="167"/>
    <cellStyle name="Normal 24" xfId="168"/>
    <cellStyle name="Normal 25" xfId="169"/>
    <cellStyle name="Normal 26" xfId="6"/>
    <cellStyle name="Normal 26 2" xfId="395"/>
    <cellStyle name="Normal 26 3" xfId="412"/>
    <cellStyle name="Normal 27" xfId="170"/>
    <cellStyle name="Normal 28" xfId="171"/>
    <cellStyle name="Normal 28 2" xfId="172"/>
    <cellStyle name="Normal 29" xfId="173"/>
    <cellStyle name="Normal 3" xfId="11"/>
    <cellStyle name="Normal 3 2" xfId="174"/>
    <cellStyle name="Normal 3 3" xfId="175"/>
    <cellStyle name="Normal 3 4" xfId="176"/>
    <cellStyle name="Normal 3 4 2" xfId="385"/>
    <cellStyle name="Normal 3 5" xfId="428"/>
    <cellStyle name="Normal 30" xfId="177"/>
    <cellStyle name="Normal 30 2" xfId="178"/>
    <cellStyle name="Normal 31" xfId="179"/>
    <cellStyle name="Normal 31 2" xfId="396"/>
    <cellStyle name="Normal 32" xfId="180"/>
    <cellStyle name="Normal 32 2" xfId="386"/>
    <cellStyle name="Normal 33" xfId="181"/>
    <cellStyle name="Normal 33 2" xfId="397"/>
    <cellStyle name="Normal 34" xfId="182"/>
    <cellStyle name="Normal 35" xfId="183"/>
    <cellStyle name="Normal 36" xfId="184"/>
    <cellStyle name="Normal 37" xfId="185"/>
    <cellStyle name="Normal 38" xfId="186"/>
    <cellStyle name="Normal 38 2" xfId="187"/>
    <cellStyle name="Normal 38 3" xfId="387"/>
    <cellStyle name="Normal 39" xfId="188"/>
    <cellStyle name="Normal 39 2" xfId="388"/>
    <cellStyle name="Normal 4" xfId="189"/>
    <cellStyle name="Normal 4 2" xfId="190"/>
    <cellStyle name="Normal 4 3" xfId="406"/>
    <cellStyle name="Normal 40" xfId="4"/>
    <cellStyle name="Normal 41" xfId="398"/>
    <cellStyle name="Normal 42" xfId="408"/>
    <cellStyle name="Normal 43" xfId="410"/>
    <cellStyle name="Normal 44" xfId="413"/>
    <cellStyle name="Normal 45" xfId="2"/>
    <cellStyle name="Normal 46" xfId="419"/>
    <cellStyle name="Normal 47" xfId="420"/>
    <cellStyle name="Normal 48" xfId="423"/>
    <cellStyle name="Normal 49" xfId="426"/>
    <cellStyle name="Normal 5" xfId="191"/>
    <cellStyle name="Normal 5 2" xfId="192"/>
    <cellStyle name="Normal 50" xfId="424"/>
    <cellStyle name="Normal 6" xfId="193"/>
    <cellStyle name="Normal 6 2" xfId="194"/>
    <cellStyle name="Normal 7" xfId="195"/>
    <cellStyle name="Normal 8" xfId="196"/>
    <cellStyle name="Normal 8 2" xfId="407"/>
    <cellStyle name="Normal 9" xfId="197"/>
    <cellStyle name="Note 2" xfId="198"/>
    <cellStyle name="Note 3" xfId="199"/>
    <cellStyle name="Output 2" xfId="200"/>
    <cellStyle name="Output 3" xfId="201"/>
    <cellStyle name="Percent [2]" xfId="202"/>
    <cellStyle name="Percent 10" xfId="372"/>
    <cellStyle name="Percent 11" xfId="401"/>
    <cellStyle name="Percent 12" xfId="421"/>
    <cellStyle name="Percent 13" xfId="422"/>
    <cellStyle name="Percent 2" xfId="203"/>
    <cellStyle name="Percent 2 2" xfId="204"/>
    <cellStyle name="Percent 3" xfId="205"/>
    <cellStyle name="Percent 3 2" xfId="206"/>
    <cellStyle name="Percent 3 2 2" xfId="389"/>
    <cellStyle name="Percent 4" xfId="207"/>
    <cellStyle name="Percent 5" xfId="208"/>
    <cellStyle name="Percent 6" xfId="209"/>
    <cellStyle name="Percent 6 2" xfId="376"/>
    <cellStyle name="Percent 7" xfId="210"/>
    <cellStyle name="Percent 8" xfId="211"/>
    <cellStyle name="Percent 8 2" xfId="390"/>
    <cellStyle name="Percent 9" xfId="212"/>
    <cellStyle name="Percent 9 2" xfId="391"/>
    <cellStyle name="Q" xfId="213"/>
    <cellStyle name="Q 2" xfId="214"/>
    <cellStyle name="Q_งบประมาณ5253oil30" xfId="215"/>
    <cellStyle name="Quantity" xfId="216"/>
    <cellStyle name="small border line" xfId="217"/>
    <cellStyle name="small border line 2" xfId="218"/>
    <cellStyle name="Title 2" xfId="219"/>
    <cellStyle name="Title 3" xfId="220"/>
    <cellStyle name="Total 2" xfId="221"/>
    <cellStyle name="Total 3" xfId="222"/>
    <cellStyle name="Valuta (0)" xfId="223"/>
    <cellStyle name="W" xfId="224"/>
    <cellStyle name="W 2" xfId="225"/>
    <cellStyle name="W_งบประมาณ5253oil30" xfId="226"/>
    <cellStyle name="Warning Text 2" xfId="227"/>
    <cellStyle name="Warning Text 3" xfId="228"/>
    <cellStyle name="การคำนวณ 2" xfId="229"/>
    <cellStyle name="ข้อความเตือน 2" xfId="230"/>
    <cellStyle name="ข้อความอธิบาย 2" xfId="231"/>
    <cellStyle name="เครื่องหมายจุลภาค 2" xfId="232"/>
    <cellStyle name="เครื่องหมายจุลภาค 2 2" xfId="233"/>
    <cellStyle name="เครื่องหมายจุลภาค 2 2 2" xfId="234"/>
    <cellStyle name="เครื่องหมายจุลภาค 2 2 3" xfId="235"/>
    <cellStyle name="เครื่องหมายจุลภาค 2 3" xfId="236"/>
    <cellStyle name="เครื่องหมายจุลภาค 3" xfId="237"/>
    <cellStyle name="เครื่องหมายจุลภาค 3 2" xfId="238"/>
    <cellStyle name="เครื่องหมายจุลภาค 3 2 2" xfId="239"/>
    <cellStyle name="เครื่องหมายจุลภาค 3 3" xfId="240"/>
    <cellStyle name="เครื่องหมายจุลภาค 3 4" xfId="241"/>
    <cellStyle name="เครื่องหมายจุลภาค 3 5" xfId="242"/>
    <cellStyle name="เครื่องหมายจุลภาค 3 5 2" xfId="243"/>
    <cellStyle name="เครื่องหมายจุลภาค 4" xfId="244"/>
    <cellStyle name="เครื่องหมายจุลภาค 4 2" xfId="245"/>
    <cellStyle name="เครื่องหมายจุลภาค 5" xfId="246"/>
    <cellStyle name="เครื่องหมายจุลภาค 6" xfId="247"/>
    <cellStyle name="เครื่องหมายจุลภาค 7" xfId="248"/>
    <cellStyle name="เครื่องหมายจุลภาค 7 2" xfId="249"/>
    <cellStyle name="ชื่อเรื่อง 2" xfId="250"/>
    <cellStyle name="เซลล์ตรวจสอบ 2" xfId="251"/>
    <cellStyle name="เซลล์ที่มีการเชื่อมโยง 2" xfId="252"/>
    <cellStyle name="ดี 2" xfId="253"/>
    <cellStyle name="ปกติ 10" xfId="254"/>
    <cellStyle name="ปกติ 11" xfId="255"/>
    <cellStyle name="ปกติ 12" xfId="256"/>
    <cellStyle name="ปกติ 12 2 2" xfId="405"/>
    <cellStyle name="ปกติ 12 2 2 2" xfId="427"/>
    <cellStyle name="ปกติ 13" xfId="257"/>
    <cellStyle name="ปกติ 13 2" xfId="258"/>
    <cellStyle name="ปกติ 14" xfId="259"/>
    <cellStyle name="ปกติ 15" xfId="260"/>
    <cellStyle name="ปกติ 15 2" xfId="261"/>
    <cellStyle name="ปกติ 16" xfId="262"/>
    <cellStyle name="ปกติ 16 2" xfId="263"/>
    <cellStyle name="ปกติ 17" xfId="264"/>
    <cellStyle name="ปกติ 17 2" xfId="265"/>
    <cellStyle name="ปกติ 18" xfId="266"/>
    <cellStyle name="ปกติ 18 2" xfId="267"/>
    <cellStyle name="ปกติ 19" xfId="268"/>
    <cellStyle name="ปกติ 19 2" xfId="269"/>
    <cellStyle name="ปกติ 2" xfId="270"/>
    <cellStyle name="ปกติ 2 2" xfId="271"/>
    <cellStyle name="ปกติ 2 2 2" xfId="272"/>
    <cellStyle name="ปกติ 2 2 3" xfId="273"/>
    <cellStyle name="ปกติ 2 3" xfId="274"/>
    <cellStyle name="ปกติ 2 3 2" xfId="275"/>
    <cellStyle name="ปกติ 2 3 2 2" xfId="276"/>
    <cellStyle name="ปกติ 2 3 3" xfId="277"/>
    <cellStyle name="ปกติ 2 4" xfId="278"/>
    <cellStyle name="ปกติ 2 5" xfId="279"/>
    <cellStyle name="ปกติ 2 6" xfId="280"/>
    <cellStyle name="ปกติ 2 6 2" xfId="392"/>
    <cellStyle name="ปกติ 20" xfId="281"/>
    <cellStyle name="ปกติ 20 2" xfId="282"/>
    <cellStyle name="ปกติ 21" xfId="283"/>
    <cellStyle name="ปกติ 21 2" xfId="284"/>
    <cellStyle name="ปกติ 22" xfId="285"/>
    <cellStyle name="ปกติ 22 2" xfId="286"/>
    <cellStyle name="ปกติ 23" xfId="287"/>
    <cellStyle name="ปกติ 23 2" xfId="288"/>
    <cellStyle name="ปกติ 24" xfId="289"/>
    <cellStyle name="ปกติ 24 2" xfId="290"/>
    <cellStyle name="ปกติ 25" xfId="291"/>
    <cellStyle name="ปกติ 25 2" xfId="292"/>
    <cellStyle name="ปกติ 26" xfId="293"/>
    <cellStyle name="ปกติ 26 2" xfId="294"/>
    <cellStyle name="ปกติ 27" xfId="295"/>
    <cellStyle name="ปกติ 27 2" xfId="296"/>
    <cellStyle name="ปกติ 28" xfId="297"/>
    <cellStyle name="ปกติ 28 2" xfId="298"/>
    <cellStyle name="ปกติ 29" xfId="299"/>
    <cellStyle name="ปกติ 3" xfId="300"/>
    <cellStyle name="ปกติ 3 2" xfId="301"/>
    <cellStyle name="ปกติ 3 3" xfId="302"/>
    <cellStyle name="ปกติ 3 4" xfId="303"/>
    <cellStyle name="ปกติ 3_หมายเลขแปลงอ้อยปี5152" xfId="304"/>
    <cellStyle name="ปกติ 30" xfId="305"/>
    <cellStyle name="ปกติ 30 2" xfId="306"/>
    <cellStyle name="ปกติ 31" xfId="307"/>
    <cellStyle name="ปกติ 31 2" xfId="308"/>
    <cellStyle name="ปกติ 32" xfId="309"/>
    <cellStyle name="ปกติ 32 2" xfId="310"/>
    <cellStyle name="ปกติ 33" xfId="311"/>
    <cellStyle name="ปกติ 33 2" xfId="312"/>
    <cellStyle name="ปกติ 34" xfId="313"/>
    <cellStyle name="ปกติ 34 2" xfId="314"/>
    <cellStyle name="ปกติ 35" xfId="315"/>
    <cellStyle name="ปกติ 35 2" xfId="316"/>
    <cellStyle name="ปกติ 36" xfId="317"/>
    <cellStyle name="ปกติ 36 2" xfId="318"/>
    <cellStyle name="ปกติ 37" xfId="319"/>
    <cellStyle name="ปกติ 37 2" xfId="320"/>
    <cellStyle name="ปกติ 38" xfId="321"/>
    <cellStyle name="ปกติ 38 2" xfId="322"/>
    <cellStyle name="ปกติ 39" xfId="323"/>
    <cellStyle name="ปกติ 39 2" xfId="324"/>
    <cellStyle name="ปกติ 4" xfId="325"/>
    <cellStyle name="ปกติ 4 2" xfId="326"/>
    <cellStyle name="ปกติ 4 2 2" xfId="327"/>
    <cellStyle name="ปกติ 4 3" xfId="328"/>
    <cellStyle name="ปกติ 4 4" xfId="329"/>
    <cellStyle name="ปกติ 4 4 2" xfId="330"/>
    <cellStyle name="ปกติ 40" xfId="331"/>
    <cellStyle name="ปกติ 40 2" xfId="332"/>
    <cellStyle name="ปกติ 41" xfId="333"/>
    <cellStyle name="ปกติ 41 2" xfId="334"/>
    <cellStyle name="ปกติ 42" xfId="335"/>
    <cellStyle name="ปกติ 42 2" xfId="336"/>
    <cellStyle name="ปกติ 5" xfId="337"/>
    <cellStyle name="ปกติ 5 2" xfId="338"/>
    <cellStyle name="ปกติ 5 3" xfId="339"/>
    <cellStyle name="ปกติ 5 4" xfId="340"/>
    <cellStyle name="ปกติ 5 5" xfId="404"/>
    <cellStyle name="ปกติ 6" xfId="341"/>
    <cellStyle name="ปกติ 6 2" xfId="342"/>
    <cellStyle name="ปกติ 6 3" xfId="343"/>
    <cellStyle name="ปกติ 6 4" xfId="344"/>
    <cellStyle name="ปกติ 7" xfId="345"/>
    <cellStyle name="ปกติ 7 2" xfId="346"/>
    <cellStyle name="ปกติ 7 2 2" xfId="347"/>
    <cellStyle name="ปกติ 7 3" xfId="348"/>
    <cellStyle name="ปกติ 8" xfId="349"/>
    <cellStyle name="ปกติ 8 2" xfId="350"/>
    <cellStyle name="ปกติ 8 2 2" xfId="351"/>
    <cellStyle name="ปกติ 9" xfId="352"/>
    <cellStyle name="ปกติ_09-12-2008" xfId="353"/>
    <cellStyle name="ป้อนค่า 2" xfId="354"/>
    <cellStyle name="ปานกลาง 2" xfId="355"/>
    <cellStyle name="เปอร์เซ็นต์ 2" xfId="356"/>
    <cellStyle name="ผลรวม 2" xfId="357"/>
    <cellStyle name="แย่ 2" xfId="358"/>
    <cellStyle name="ส่วนที่ถูกเน้น1 2" xfId="359"/>
    <cellStyle name="ส่วนที่ถูกเน้น2 2" xfId="360"/>
    <cellStyle name="ส่วนที่ถูกเน้น3 2" xfId="361"/>
    <cellStyle name="ส่วนที่ถูกเน้น4 2" xfId="362"/>
    <cellStyle name="ส่วนที่ถูกเน้น5 2" xfId="363"/>
    <cellStyle name="ส่วนที่ถูกเน้น6 2" xfId="364"/>
    <cellStyle name="แสดงผล 2" xfId="365"/>
    <cellStyle name="หมายเหตุ 2" xfId="366"/>
    <cellStyle name="หมายเหตุ 3" xfId="367"/>
    <cellStyle name="หัวเรื่อง 1 2" xfId="368"/>
    <cellStyle name="หัวเรื่อง 2 2" xfId="369"/>
    <cellStyle name="หัวเรื่อง 3 2" xfId="370"/>
    <cellStyle name="หัวเรื่อง 4 2" xfId="371"/>
  </cellStyles>
  <dxfs count="2"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89"/>
  <sheetViews>
    <sheetView workbookViewId="0">
      <selection activeCell="B24" sqref="B24"/>
    </sheetView>
  </sheetViews>
  <sheetFormatPr defaultRowHeight="12"/>
  <cols>
    <col min="1" max="1" width="5.6328125" style="127" customWidth="1"/>
    <col min="2" max="2" width="11.26953125" style="127" customWidth="1"/>
    <col min="3" max="3" width="4.7265625" style="127" customWidth="1"/>
    <col min="4" max="6" width="8.81640625" style="127" bestFit="1" customWidth="1"/>
    <col min="7" max="7" width="13.08984375" style="127" customWidth="1"/>
    <col min="8" max="8" width="10.36328125" style="127" bestFit="1" customWidth="1"/>
    <col min="9" max="9" width="8.90625" style="97" bestFit="1" customWidth="1"/>
    <col min="10" max="10" width="9.54296875" style="97" bestFit="1" customWidth="1"/>
    <col min="11" max="11" width="10.81640625" style="127" customWidth="1"/>
    <col min="12" max="12" width="8.7265625" style="127"/>
    <col min="13" max="13" width="9.7265625" style="127" customWidth="1"/>
    <col min="14" max="14" width="8.7265625" style="127"/>
    <col min="15" max="15" width="8.81640625" style="127" bestFit="1" customWidth="1"/>
    <col min="16" max="16" width="10.36328125" style="127" customWidth="1"/>
    <col min="17" max="17" width="8.81640625" style="127" bestFit="1" customWidth="1"/>
    <col min="18" max="21" width="8.7265625" style="127"/>
    <col min="22" max="22" width="8.81640625" style="127" bestFit="1" customWidth="1"/>
    <col min="23" max="23" width="10.36328125" style="127" bestFit="1" customWidth="1"/>
    <col min="24" max="24" width="8.7265625" style="127"/>
    <col min="25" max="26" width="8.81640625" style="127" bestFit="1" customWidth="1"/>
    <col min="27" max="27" width="8.7265625" style="127"/>
    <col min="28" max="28" width="8.81640625" style="127" bestFit="1" customWidth="1"/>
    <col min="29" max="29" width="8.7265625" style="127"/>
    <col min="30" max="30" width="8.81640625" style="127" bestFit="1" customWidth="1"/>
    <col min="31" max="16384" width="8.7265625" style="127"/>
  </cols>
  <sheetData>
    <row r="2" spans="1:31" ht="23">
      <c r="A2" s="130" t="s">
        <v>107</v>
      </c>
      <c r="B2" s="115" t="s">
        <v>633</v>
      </c>
      <c r="C2" s="131" t="s">
        <v>108</v>
      </c>
      <c r="D2" s="131" t="s">
        <v>109</v>
      </c>
      <c r="E2" s="132" t="s">
        <v>110</v>
      </c>
      <c r="F2" s="131" t="s">
        <v>111</v>
      </c>
      <c r="G2" s="13" t="s">
        <v>110</v>
      </c>
      <c r="H2" s="14" t="s">
        <v>112</v>
      </c>
      <c r="I2" s="98" t="s">
        <v>113</v>
      </c>
      <c r="J2" s="99" t="s">
        <v>114</v>
      </c>
      <c r="K2" s="95" t="s">
        <v>115</v>
      </c>
      <c r="L2" s="96" t="s">
        <v>116</v>
      </c>
      <c r="M2" s="15" t="s">
        <v>117</v>
      </c>
      <c r="N2" s="16" t="s">
        <v>118</v>
      </c>
      <c r="O2" s="16" t="s">
        <v>119</v>
      </c>
      <c r="P2" s="3" t="s">
        <v>120</v>
      </c>
      <c r="Q2" s="17" t="s">
        <v>121</v>
      </c>
      <c r="R2" s="4" t="s">
        <v>122</v>
      </c>
      <c r="S2" s="129" t="s">
        <v>123</v>
      </c>
      <c r="T2" s="129" t="s">
        <v>124</v>
      </c>
      <c r="U2" s="5" t="s">
        <v>125</v>
      </c>
      <c r="V2" s="18" t="s">
        <v>126</v>
      </c>
      <c r="W2" s="5" t="s">
        <v>127</v>
      </c>
      <c r="X2" s="140" t="s">
        <v>128</v>
      </c>
      <c r="Y2" s="140" t="s">
        <v>129</v>
      </c>
      <c r="Z2" s="140" t="s">
        <v>130</v>
      </c>
      <c r="AA2" s="140" t="s">
        <v>131</v>
      </c>
      <c r="AB2" s="140" t="s">
        <v>132</v>
      </c>
      <c r="AC2" s="19" t="s">
        <v>133</v>
      </c>
      <c r="AD2" s="129" t="s">
        <v>134</v>
      </c>
      <c r="AE2" s="19" t="s">
        <v>135</v>
      </c>
    </row>
    <row r="3" spans="1:31">
      <c r="A3" s="135">
        <v>1</v>
      </c>
      <c r="B3" s="20" t="s">
        <v>136</v>
      </c>
      <c r="C3" s="21">
        <v>1</v>
      </c>
      <c r="D3" s="21">
        <v>902</v>
      </c>
      <c r="E3" s="21">
        <v>634</v>
      </c>
      <c r="F3" s="21">
        <v>101</v>
      </c>
      <c r="G3" s="21">
        <v>902101</v>
      </c>
      <c r="H3" s="119">
        <v>15.78</v>
      </c>
      <c r="I3" s="100"/>
      <c r="J3" s="100">
        <v>15.78</v>
      </c>
      <c r="K3" s="22" t="s">
        <v>137</v>
      </c>
      <c r="L3" s="11" t="s">
        <v>138</v>
      </c>
      <c r="M3" s="23" t="s">
        <v>139</v>
      </c>
      <c r="N3" s="122" t="s">
        <v>140</v>
      </c>
      <c r="O3" s="122">
        <v>6</v>
      </c>
      <c r="P3" s="24" t="s">
        <v>141</v>
      </c>
      <c r="Q3" s="25">
        <v>85000</v>
      </c>
      <c r="R3" s="26" t="s">
        <v>142</v>
      </c>
      <c r="S3" s="27" t="s">
        <v>143</v>
      </c>
      <c r="T3" s="27" t="s">
        <v>144</v>
      </c>
      <c r="U3" s="124" t="s">
        <v>140</v>
      </c>
      <c r="V3" s="28">
        <v>6</v>
      </c>
      <c r="W3" s="29">
        <v>4734</v>
      </c>
      <c r="X3" s="29" t="s">
        <v>145</v>
      </c>
      <c r="Y3" s="29"/>
      <c r="Z3" s="30">
        <v>15.78</v>
      </c>
      <c r="AA3" s="123" t="s">
        <v>131</v>
      </c>
      <c r="AB3" s="143"/>
      <c r="AC3" s="21" t="s">
        <v>146</v>
      </c>
      <c r="AD3" s="31">
        <v>1.85</v>
      </c>
      <c r="AE3" s="31" t="s">
        <v>147</v>
      </c>
    </row>
    <row r="4" spans="1:31">
      <c r="A4" s="135">
        <v>1</v>
      </c>
      <c r="B4" s="20" t="s">
        <v>136</v>
      </c>
      <c r="C4" s="122">
        <v>2</v>
      </c>
      <c r="D4" s="21">
        <v>902</v>
      </c>
      <c r="E4" s="122">
        <v>639</v>
      </c>
      <c r="F4" s="21">
        <v>102</v>
      </c>
      <c r="G4" s="21">
        <v>902102</v>
      </c>
      <c r="H4" s="119">
        <v>8.3699999999999992</v>
      </c>
      <c r="I4" s="100">
        <v>8.3699999999999992</v>
      </c>
      <c r="J4" s="100"/>
      <c r="K4" s="22" t="s">
        <v>148</v>
      </c>
      <c r="L4" s="11" t="s">
        <v>148</v>
      </c>
      <c r="M4" s="23" t="s">
        <v>149</v>
      </c>
      <c r="N4" s="122" t="s">
        <v>150</v>
      </c>
      <c r="O4" s="122">
        <v>3</v>
      </c>
      <c r="P4" s="24" t="s">
        <v>141</v>
      </c>
      <c r="Q4" s="25">
        <v>85000</v>
      </c>
      <c r="R4" s="26" t="s">
        <v>142</v>
      </c>
      <c r="S4" s="27" t="s">
        <v>143</v>
      </c>
      <c r="T4" s="27" t="s">
        <v>144</v>
      </c>
      <c r="U4" s="124" t="s">
        <v>140</v>
      </c>
      <c r="V4" s="28">
        <v>6</v>
      </c>
      <c r="W4" s="29">
        <v>0</v>
      </c>
      <c r="X4" s="29" t="s">
        <v>151</v>
      </c>
      <c r="Y4" s="29"/>
      <c r="Z4" s="30">
        <v>8.3699999999999992</v>
      </c>
      <c r="AA4" s="136" t="s">
        <v>152</v>
      </c>
      <c r="AB4" s="136"/>
      <c r="AC4" s="21" t="s">
        <v>146</v>
      </c>
      <c r="AD4" s="31">
        <v>1.85</v>
      </c>
      <c r="AE4" s="32" t="s">
        <v>147</v>
      </c>
    </row>
    <row r="5" spans="1:31">
      <c r="A5" s="135">
        <v>1</v>
      </c>
      <c r="B5" s="20" t="s">
        <v>136</v>
      </c>
      <c r="C5" s="122">
        <v>3</v>
      </c>
      <c r="D5" s="21">
        <v>902</v>
      </c>
      <c r="E5" s="122">
        <v>635</v>
      </c>
      <c r="F5" s="21">
        <v>103</v>
      </c>
      <c r="G5" s="21">
        <v>902103</v>
      </c>
      <c r="H5" s="119">
        <v>15.84</v>
      </c>
      <c r="I5" s="100"/>
      <c r="J5" s="100">
        <v>15.84</v>
      </c>
      <c r="K5" s="22" t="s">
        <v>137</v>
      </c>
      <c r="L5" s="11" t="s">
        <v>138</v>
      </c>
      <c r="M5" s="23" t="s">
        <v>153</v>
      </c>
      <c r="N5" s="122" t="s">
        <v>140</v>
      </c>
      <c r="O5" s="122">
        <v>6</v>
      </c>
      <c r="P5" s="24" t="s">
        <v>141</v>
      </c>
      <c r="Q5" s="25">
        <v>85000</v>
      </c>
      <c r="R5" s="26" t="s">
        <v>142</v>
      </c>
      <c r="S5" s="27" t="s">
        <v>143</v>
      </c>
      <c r="T5" s="27" t="s">
        <v>144</v>
      </c>
      <c r="U5" s="124" t="s">
        <v>140</v>
      </c>
      <c r="V5" s="28">
        <v>6</v>
      </c>
      <c r="W5" s="29">
        <v>4752</v>
      </c>
      <c r="X5" s="29" t="s">
        <v>154</v>
      </c>
      <c r="Y5" s="29"/>
      <c r="Z5" s="30">
        <v>15.84</v>
      </c>
      <c r="AA5" s="136" t="s">
        <v>131</v>
      </c>
      <c r="AB5" s="136"/>
      <c r="AC5" s="21" t="s">
        <v>155</v>
      </c>
      <c r="AD5" s="31">
        <v>1.85</v>
      </c>
      <c r="AE5" s="32" t="s">
        <v>147</v>
      </c>
    </row>
    <row r="6" spans="1:31">
      <c r="A6" s="135">
        <v>1</v>
      </c>
      <c r="B6" s="20" t="s">
        <v>136</v>
      </c>
      <c r="C6" s="122">
        <v>4</v>
      </c>
      <c r="D6" s="21">
        <v>902</v>
      </c>
      <c r="E6" s="122">
        <v>632</v>
      </c>
      <c r="F6" s="21">
        <v>104</v>
      </c>
      <c r="G6" s="21">
        <v>902104</v>
      </c>
      <c r="H6" s="119">
        <v>21.91</v>
      </c>
      <c r="I6" s="100">
        <v>21.91</v>
      </c>
      <c r="J6" s="100"/>
      <c r="K6" s="22" t="s">
        <v>148</v>
      </c>
      <c r="L6" s="23" t="s">
        <v>148</v>
      </c>
      <c r="M6" s="23" t="s">
        <v>156</v>
      </c>
      <c r="N6" s="122" t="s">
        <v>140</v>
      </c>
      <c r="O6" s="122">
        <v>6</v>
      </c>
      <c r="P6" s="24" t="s">
        <v>141</v>
      </c>
      <c r="Q6" s="25">
        <v>85000</v>
      </c>
      <c r="R6" s="26" t="s">
        <v>142</v>
      </c>
      <c r="S6" s="27" t="s">
        <v>143</v>
      </c>
      <c r="T6" s="27" t="s">
        <v>144</v>
      </c>
      <c r="U6" s="124" t="s">
        <v>140</v>
      </c>
      <c r="V6" s="28">
        <v>6</v>
      </c>
      <c r="W6" s="29">
        <v>0</v>
      </c>
      <c r="X6" s="29" t="s">
        <v>157</v>
      </c>
      <c r="Y6" s="29"/>
      <c r="Z6" s="30">
        <v>21.91</v>
      </c>
      <c r="AA6" s="136" t="s">
        <v>131</v>
      </c>
      <c r="AB6" s="136"/>
      <c r="AC6" s="21" t="s">
        <v>155</v>
      </c>
      <c r="AD6" s="31">
        <v>1.85</v>
      </c>
      <c r="AE6" s="32" t="s">
        <v>147</v>
      </c>
    </row>
    <row r="7" spans="1:31">
      <c r="A7" s="135">
        <v>1</v>
      </c>
      <c r="B7" s="20" t="s">
        <v>136</v>
      </c>
      <c r="C7" s="122">
        <v>5</v>
      </c>
      <c r="D7" s="21">
        <v>902</v>
      </c>
      <c r="E7" s="122">
        <v>618</v>
      </c>
      <c r="F7" s="21">
        <v>105</v>
      </c>
      <c r="G7" s="21">
        <v>902105</v>
      </c>
      <c r="H7" s="119">
        <v>61.2</v>
      </c>
      <c r="I7" s="101"/>
      <c r="J7" s="100">
        <v>61.2</v>
      </c>
      <c r="K7" s="22" t="s">
        <v>137</v>
      </c>
      <c r="L7" s="11" t="s">
        <v>138</v>
      </c>
      <c r="M7" s="23" t="s">
        <v>149</v>
      </c>
      <c r="N7" s="122" t="s">
        <v>140</v>
      </c>
      <c r="O7" s="122">
        <v>6</v>
      </c>
      <c r="P7" s="24" t="s">
        <v>158</v>
      </c>
      <c r="Q7" s="25">
        <v>590000</v>
      </c>
      <c r="R7" s="26" t="s">
        <v>142</v>
      </c>
      <c r="S7" s="27" t="s">
        <v>159</v>
      </c>
      <c r="T7" s="27" t="s">
        <v>160</v>
      </c>
      <c r="U7" s="124" t="s">
        <v>150</v>
      </c>
      <c r="V7" s="28">
        <v>3</v>
      </c>
      <c r="W7" s="29">
        <v>9180</v>
      </c>
      <c r="X7" s="29" t="s">
        <v>145</v>
      </c>
      <c r="Y7" s="29"/>
      <c r="Z7" s="30">
        <v>68.81</v>
      </c>
      <c r="AA7" s="136" t="s">
        <v>131</v>
      </c>
      <c r="AB7" s="136"/>
      <c r="AC7" s="21" t="s">
        <v>146</v>
      </c>
      <c r="AD7" s="31">
        <v>1.85</v>
      </c>
      <c r="AE7" s="32" t="s">
        <v>147</v>
      </c>
    </row>
    <row r="8" spans="1:31">
      <c r="A8" s="135">
        <v>1</v>
      </c>
      <c r="B8" s="20" t="s">
        <v>136</v>
      </c>
      <c r="C8" s="122">
        <v>6</v>
      </c>
      <c r="D8" s="21">
        <v>902</v>
      </c>
      <c r="E8" s="122">
        <v>620</v>
      </c>
      <c r="F8" s="21">
        <v>106</v>
      </c>
      <c r="G8" s="21">
        <v>902106</v>
      </c>
      <c r="H8" s="119">
        <v>80.7</v>
      </c>
      <c r="I8" s="101"/>
      <c r="J8" s="100">
        <v>80.7</v>
      </c>
      <c r="K8" s="22" t="s">
        <v>161</v>
      </c>
      <c r="L8" s="23" t="s">
        <v>138</v>
      </c>
      <c r="M8" s="23" t="s">
        <v>162</v>
      </c>
      <c r="N8" s="122" t="s">
        <v>140</v>
      </c>
      <c r="O8" s="122">
        <v>6</v>
      </c>
      <c r="P8" s="24" t="s">
        <v>158</v>
      </c>
      <c r="Q8" s="25">
        <v>590000</v>
      </c>
      <c r="R8" s="26" t="s">
        <v>142</v>
      </c>
      <c r="S8" s="27" t="s">
        <v>163</v>
      </c>
      <c r="T8" s="27" t="s">
        <v>164</v>
      </c>
      <c r="U8" s="124" t="s">
        <v>140</v>
      </c>
      <c r="V8" s="28">
        <v>16</v>
      </c>
      <c r="W8" s="29">
        <v>64560</v>
      </c>
      <c r="X8" s="29" t="s">
        <v>151</v>
      </c>
      <c r="Y8" s="29"/>
      <c r="Z8" s="30">
        <v>86.07</v>
      </c>
      <c r="AA8" s="136" t="s">
        <v>131</v>
      </c>
      <c r="AB8" s="136"/>
      <c r="AC8" s="122" t="s">
        <v>155</v>
      </c>
      <c r="AD8" s="31">
        <v>1.85</v>
      </c>
      <c r="AE8" s="32" t="s">
        <v>147</v>
      </c>
    </row>
    <row r="9" spans="1:31">
      <c r="A9" s="135">
        <v>1</v>
      </c>
      <c r="B9" s="20" t="s">
        <v>136</v>
      </c>
      <c r="C9" s="122">
        <v>7</v>
      </c>
      <c r="D9" s="21">
        <v>902</v>
      </c>
      <c r="E9" s="122">
        <v>612</v>
      </c>
      <c r="F9" s="21">
        <v>107</v>
      </c>
      <c r="G9" s="21">
        <v>902107</v>
      </c>
      <c r="H9" s="119">
        <v>13.21</v>
      </c>
      <c r="I9" s="102">
        <v>13.21</v>
      </c>
      <c r="J9" s="100"/>
      <c r="K9" s="22" t="s">
        <v>148</v>
      </c>
      <c r="L9" s="22" t="s">
        <v>148</v>
      </c>
      <c r="M9" s="23" t="s">
        <v>165</v>
      </c>
      <c r="N9" s="122" t="s">
        <v>140</v>
      </c>
      <c r="O9" s="122">
        <v>6</v>
      </c>
      <c r="P9" s="24" t="s">
        <v>158</v>
      </c>
      <c r="Q9" s="25">
        <v>590000</v>
      </c>
      <c r="R9" s="26" t="s">
        <v>142</v>
      </c>
      <c r="S9" s="27" t="s">
        <v>166</v>
      </c>
      <c r="T9" s="27" t="s">
        <v>164</v>
      </c>
      <c r="U9" s="124" t="s">
        <v>140</v>
      </c>
      <c r="V9" s="28">
        <v>16</v>
      </c>
      <c r="W9" s="29">
        <v>0</v>
      </c>
      <c r="X9" s="29" t="s">
        <v>151</v>
      </c>
      <c r="Y9" s="29"/>
      <c r="Z9" s="30">
        <v>14.520000000000001</v>
      </c>
      <c r="AA9" s="136" t="s">
        <v>131</v>
      </c>
      <c r="AB9" s="136"/>
      <c r="AC9" s="122" t="s">
        <v>155</v>
      </c>
      <c r="AD9" s="31">
        <v>1.85</v>
      </c>
      <c r="AE9" s="32" t="s">
        <v>147</v>
      </c>
    </row>
    <row r="10" spans="1:31">
      <c r="A10" s="135">
        <v>1</v>
      </c>
      <c r="B10" s="20" t="s">
        <v>136</v>
      </c>
      <c r="C10" s="122">
        <v>8</v>
      </c>
      <c r="D10" s="21">
        <v>902</v>
      </c>
      <c r="E10" s="122">
        <v>613</v>
      </c>
      <c r="F10" s="21">
        <v>108</v>
      </c>
      <c r="G10" s="21">
        <v>902108</v>
      </c>
      <c r="H10" s="119">
        <v>29.56</v>
      </c>
      <c r="I10" s="102">
        <v>29.56</v>
      </c>
      <c r="J10" s="100"/>
      <c r="K10" s="22" t="s">
        <v>148</v>
      </c>
      <c r="L10" s="22" t="s">
        <v>148</v>
      </c>
      <c r="M10" s="23" t="s">
        <v>165</v>
      </c>
      <c r="N10" s="122" t="s">
        <v>140</v>
      </c>
      <c r="O10" s="122">
        <v>6</v>
      </c>
      <c r="P10" s="24" t="s">
        <v>158</v>
      </c>
      <c r="Q10" s="25">
        <v>590000</v>
      </c>
      <c r="R10" s="26" t="s">
        <v>142</v>
      </c>
      <c r="S10" s="27" t="s">
        <v>166</v>
      </c>
      <c r="T10" s="27" t="s">
        <v>164</v>
      </c>
      <c r="U10" s="124" t="s">
        <v>140</v>
      </c>
      <c r="V10" s="28">
        <v>16</v>
      </c>
      <c r="W10" s="29">
        <v>0</v>
      </c>
      <c r="X10" s="29" t="s">
        <v>151</v>
      </c>
      <c r="Y10" s="29"/>
      <c r="Z10" s="30">
        <v>30.72</v>
      </c>
      <c r="AA10" s="136" t="s">
        <v>131</v>
      </c>
      <c r="AB10" s="136"/>
      <c r="AC10" s="122" t="s">
        <v>155</v>
      </c>
      <c r="AD10" s="31">
        <v>1.85</v>
      </c>
      <c r="AE10" s="32" t="s">
        <v>147</v>
      </c>
    </row>
    <row r="11" spans="1:31">
      <c r="A11" s="135">
        <v>1</v>
      </c>
      <c r="B11" s="20" t="s">
        <v>136</v>
      </c>
      <c r="C11" s="122">
        <v>9</v>
      </c>
      <c r="D11" s="21">
        <v>902</v>
      </c>
      <c r="E11" s="122">
        <v>614</v>
      </c>
      <c r="F11" s="21">
        <v>109</v>
      </c>
      <c r="G11" s="21">
        <v>902109</v>
      </c>
      <c r="H11" s="119">
        <v>28.46</v>
      </c>
      <c r="I11" s="101">
        <v>28.46</v>
      </c>
      <c r="J11" s="100"/>
      <c r="K11" s="22" t="s">
        <v>148</v>
      </c>
      <c r="L11" s="22" t="s">
        <v>148</v>
      </c>
      <c r="M11" s="23" t="s">
        <v>167</v>
      </c>
      <c r="N11" s="122" t="s">
        <v>140</v>
      </c>
      <c r="O11" s="122">
        <v>6</v>
      </c>
      <c r="P11" s="24" t="s">
        <v>158</v>
      </c>
      <c r="Q11" s="25">
        <v>590000</v>
      </c>
      <c r="R11" s="26" t="s">
        <v>142</v>
      </c>
      <c r="S11" s="27" t="s">
        <v>166</v>
      </c>
      <c r="T11" s="27" t="s">
        <v>164</v>
      </c>
      <c r="U11" s="124" t="s">
        <v>140</v>
      </c>
      <c r="V11" s="28">
        <v>16</v>
      </c>
      <c r="W11" s="29">
        <v>0</v>
      </c>
      <c r="X11" s="29" t="s">
        <v>151</v>
      </c>
      <c r="Y11" s="29"/>
      <c r="Z11" s="30">
        <v>30.35</v>
      </c>
      <c r="AA11" s="136" t="s">
        <v>131</v>
      </c>
      <c r="AB11" s="136"/>
      <c r="AC11" s="122" t="s">
        <v>155</v>
      </c>
      <c r="AD11" s="32">
        <v>1.85</v>
      </c>
      <c r="AE11" s="32" t="s">
        <v>147</v>
      </c>
    </row>
    <row r="12" spans="1:31">
      <c r="A12" s="135">
        <v>1</v>
      </c>
      <c r="B12" s="20" t="s">
        <v>136</v>
      </c>
      <c r="C12" s="122">
        <v>10</v>
      </c>
      <c r="D12" s="21">
        <v>902</v>
      </c>
      <c r="E12" s="122" t="s">
        <v>168</v>
      </c>
      <c r="F12" s="21">
        <v>110</v>
      </c>
      <c r="G12" s="21">
        <v>902110</v>
      </c>
      <c r="H12" s="119">
        <v>18.21</v>
      </c>
      <c r="I12" s="101"/>
      <c r="J12" s="100">
        <v>18.21</v>
      </c>
      <c r="K12" s="22" t="s">
        <v>137</v>
      </c>
      <c r="L12" s="11" t="s">
        <v>138</v>
      </c>
      <c r="M12" s="23" t="s">
        <v>169</v>
      </c>
      <c r="N12" s="122" t="s">
        <v>140</v>
      </c>
      <c r="O12" s="122">
        <v>6</v>
      </c>
      <c r="P12" s="24" t="s">
        <v>158</v>
      </c>
      <c r="Q12" s="25">
        <v>590000</v>
      </c>
      <c r="R12" s="26" t="s">
        <v>142</v>
      </c>
      <c r="S12" s="27" t="s">
        <v>163</v>
      </c>
      <c r="T12" s="27" t="s">
        <v>164</v>
      </c>
      <c r="U12" s="124" t="s">
        <v>140</v>
      </c>
      <c r="V12" s="28">
        <v>16</v>
      </c>
      <c r="W12" s="29">
        <v>14568</v>
      </c>
      <c r="X12" s="29" t="s">
        <v>151</v>
      </c>
      <c r="Y12" s="29"/>
      <c r="Z12" s="30">
        <v>18.21</v>
      </c>
      <c r="AA12" s="136" t="s">
        <v>131</v>
      </c>
      <c r="AB12" s="136"/>
      <c r="AC12" s="21" t="s">
        <v>155</v>
      </c>
      <c r="AD12" s="31">
        <v>1.85</v>
      </c>
      <c r="AE12" s="32" t="s">
        <v>147</v>
      </c>
    </row>
    <row r="13" spans="1:31">
      <c r="A13" s="135">
        <v>1</v>
      </c>
      <c r="B13" s="20" t="s">
        <v>136</v>
      </c>
      <c r="C13" s="122">
        <v>11</v>
      </c>
      <c r="D13" s="21">
        <v>902</v>
      </c>
      <c r="E13" s="122">
        <v>617</v>
      </c>
      <c r="F13" s="21">
        <v>111</v>
      </c>
      <c r="G13" s="21">
        <v>902111</v>
      </c>
      <c r="H13" s="119">
        <v>45.72</v>
      </c>
      <c r="I13" s="101"/>
      <c r="J13" s="100">
        <v>45.72</v>
      </c>
      <c r="K13" s="22" t="s">
        <v>137</v>
      </c>
      <c r="L13" s="11" t="s">
        <v>138</v>
      </c>
      <c r="M13" s="23" t="s">
        <v>149</v>
      </c>
      <c r="N13" s="122" t="s">
        <v>140</v>
      </c>
      <c r="O13" s="122">
        <v>6</v>
      </c>
      <c r="P13" s="24" t="s">
        <v>158</v>
      </c>
      <c r="Q13" s="25">
        <v>590000</v>
      </c>
      <c r="R13" s="26" t="s">
        <v>142</v>
      </c>
      <c r="S13" s="27" t="s">
        <v>163</v>
      </c>
      <c r="T13" s="27" t="s">
        <v>164</v>
      </c>
      <c r="U13" s="124" t="s">
        <v>140</v>
      </c>
      <c r="V13" s="28">
        <v>16</v>
      </c>
      <c r="W13" s="29">
        <v>36576</v>
      </c>
      <c r="X13" s="29" t="s">
        <v>151</v>
      </c>
      <c r="Y13" s="29"/>
      <c r="Z13" s="30">
        <v>46.4</v>
      </c>
      <c r="AA13" s="136" t="s">
        <v>131</v>
      </c>
      <c r="AB13" s="136"/>
      <c r="AC13" s="21" t="s">
        <v>146</v>
      </c>
      <c r="AD13" s="31">
        <v>1.85</v>
      </c>
      <c r="AE13" s="32" t="s">
        <v>147</v>
      </c>
    </row>
    <row r="14" spans="1:31">
      <c r="A14" s="135">
        <v>1</v>
      </c>
      <c r="B14" s="20" t="s">
        <v>136</v>
      </c>
      <c r="C14" s="122">
        <v>12</v>
      </c>
      <c r="D14" s="21">
        <v>902</v>
      </c>
      <c r="E14" s="122">
        <v>606</v>
      </c>
      <c r="F14" s="21">
        <v>112</v>
      </c>
      <c r="G14" s="21">
        <v>902112</v>
      </c>
      <c r="H14" s="119">
        <v>8.58</v>
      </c>
      <c r="I14" s="101"/>
      <c r="J14" s="101">
        <v>8.58</v>
      </c>
      <c r="K14" s="125" t="s">
        <v>170</v>
      </c>
      <c r="L14" s="11" t="s">
        <v>86</v>
      </c>
      <c r="M14" s="23" t="s">
        <v>149</v>
      </c>
      <c r="N14" s="122" t="s">
        <v>140</v>
      </c>
      <c r="O14" s="122">
        <v>6</v>
      </c>
      <c r="P14" s="24" t="s">
        <v>158</v>
      </c>
      <c r="Q14" s="25">
        <v>590000</v>
      </c>
      <c r="R14" s="26" t="s">
        <v>142</v>
      </c>
      <c r="S14" s="27" t="s">
        <v>163</v>
      </c>
      <c r="T14" s="27" t="s">
        <v>164</v>
      </c>
      <c r="U14" s="124" t="s">
        <v>140</v>
      </c>
      <c r="V14" s="28">
        <v>16</v>
      </c>
      <c r="W14" s="29">
        <v>6864</v>
      </c>
      <c r="X14" s="29" t="s">
        <v>151</v>
      </c>
      <c r="Y14" s="29"/>
      <c r="Z14" s="30">
        <v>9.870000000000001</v>
      </c>
      <c r="AA14" s="136" t="s">
        <v>131</v>
      </c>
      <c r="AB14" s="136"/>
      <c r="AC14" s="122" t="s">
        <v>155</v>
      </c>
      <c r="AD14" s="31">
        <v>1.85</v>
      </c>
      <c r="AE14" s="32" t="s">
        <v>147</v>
      </c>
    </row>
    <row r="15" spans="1:31">
      <c r="A15" s="135">
        <v>1</v>
      </c>
      <c r="B15" s="20" t="s">
        <v>136</v>
      </c>
      <c r="C15" s="122">
        <v>13</v>
      </c>
      <c r="D15" s="21">
        <v>902</v>
      </c>
      <c r="E15" s="122">
        <v>605</v>
      </c>
      <c r="F15" s="21">
        <v>113</v>
      </c>
      <c r="G15" s="21">
        <v>902113</v>
      </c>
      <c r="H15" s="119">
        <v>13.96</v>
      </c>
      <c r="I15" s="101"/>
      <c r="J15" s="101">
        <v>13.96</v>
      </c>
      <c r="K15" s="125" t="s">
        <v>170</v>
      </c>
      <c r="L15" s="11" t="s">
        <v>86</v>
      </c>
      <c r="M15" s="23" t="s">
        <v>149</v>
      </c>
      <c r="N15" s="122" t="s">
        <v>140</v>
      </c>
      <c r="O15" s="122">
        <v>6</v>
      </c>
      <c r="P15" s="24" t="s">
        <v>158</v>
      </c>
      <c r="Q15" s="25">
        <v>590000</v>
      </c>
      <c r="R15" s="26" t="s">
        <v>142</v>
      </c>
      <c r="S15" s="27" t="s">
        <v>163</v>
      </c>
      <c r="T15" s="27" t="s">
        <v>164</v>
      </c>
      <c r="U15" s="124" t="s">
        <v>140</v>
      </c>
      <c r="V15" s="28">
        <v>16</v>
      </c>
      <c r="W15" s="29">
        <v>11168</v>
      </c>
      <c r="X15" s="29" t="s">
        <v>151</v>
      </c>
      <c r="Y15" s="29"/>
      <c r="Z15" s="30">
        <v>13.96</v>
      </c>
      <c r="AA15" s="136" t="s">
        <v>131</v>
      </c>
      <c r="AB15" s="136"/>
      <c r="AC15" s="122" t="s">
        <v>155</v>
      </c>
      <c r="AD15" s="31">
        <v>1.85</v>
      </c>
      <c r="AE15" s="32" t="s">
        <v>147</v>
      </c>
    </row>
    <row r="16" spans="1:31">
      <c r="A16" s="135">
        <v>1</v>
      </c>
      <c r="B16" s="20" t="s">
        <v>136</v>
      </c>
      <c r="C16" s="122">
        <v>14</v>
      </c>
      <c r="D16" s="21">
        <v>902</v>
      </c>
      <c r="E16" s="122">
        <v>604</v>
      </c>
      <c r="F16" s="21">
        <v>114</v>
      </c>
      <c r="G16" s="21">
        <v>902114</v>
      </c>
      <c r="H16" s="119">
        <v>11.75</v>
      </c>
      <c r="I16" s="101"/>
      <c r="J16" s="101">
        <v>11.75</v>
      </c>
      <c r="K16" s="125" t="s">
        <v>170</v>
      </c>
      <c r="L16" s="11" t="s">
        <v>86</v>
      </c>
      <c r="M16" s="23" t="s">
        <v>149</v>
      </c>
      <c r="N16" s="122" t="s">
        <v>140</v>
      </c>
      <c r="O16" s="122">
        <v>6</v>
      </c>
      <c r="P16" s="24" t="s">
        <v>158</v>
      </c>
      <c r="Q16" s="25">
        <v>590000</v>
      </c>
      <c r="R16" s="26" t="s">
        <v>142</v>
      </c>
      <c r="S16" s="27" t="s">
        <v>163</v>
      </c>
      <c r="T16" s="27" t="s">
        <v>164</v>
      </c>
      <c r="U16" s="124" t="s">
        <v>140</v>
      </c>
      <c r="V16" s="28">
        <v>16</v>
      </c>
      <c r="W16" s="29">
        <v>9400</v>
      </c>
      <c r="X16" s="29" t="s">
        <v>151</v>
      </c>
      <c r="Y16" s="29"/>
      <c r="Z16" s="30">
        <v>11.75</v>
      </c>
      <c r="AA16" s="136" t="s">
        <v>131</v>
      </c>
      <c r="AB16" s="136"/>
      <c r="AC16" s="122" t="s">
        <v>155</v>
      </c>
      <c r="AD16" s="32">
        <v>1.85</v>
      </c>
      <c r="AE16" s="32" t="s">
        <v>147</v>
      </c>
    </row>
    <row r="17" spans="1:31">
      <c r="A17" s="135">
        <v>1</v>
      </c>
      <c r="B17" s="20" t="s">
        <v>136</v>
      </c>
      <c r="C17" s="122">
        <v>15</v>
      </c>
      <c r="D17" s="21">
        <v>902</v>
      </c>
      <c r="E17" s="122">
        <v>601</v>
      </c>
      <c r="F17" s="21">
        <v>115</v>
      </c>
      <c r="G17" s="21">
        <v>902115</v>
      </c>
      <c r="H17" s="119">
        <v>25.3</v>
      </c>
      <c r="I17" s="101"/>
      <c r="J17" s="101">
        <v>25.3</v>
      </c>
      <c r="K17" s="125" t="s">
        <v>170</v>
      </c>
      <c r="L17" s="11" t="s">
        <v>86</v>
      </c>
      <c r="M17" s="23" t="s">
        <v>171</v>
      </c>
      <c r="N17" s="122" t="s">
        <v>140</v>
      </c>
      <c r="O17" s="122">
        <v>6</v>
      </c>
      <c r="P17" s="24" t="s">
        <v>158</v>
      </c>
      <c r="Q17" s="25">
        <v>590000</v>
      </c>
      <c r="R17" s="26" t="s">
        <v>142</v>
      </c>
      <c r="S17" s="27" t="s">
        <v>163</v>
      </c>
      <c r="T17" s="27" t="s">
        <v>164</v>
      </c>
      <c r="U17" s="124" t="s">
        <v>140</v>
      </c>
      <c r="V17" s="28">
        <v>16</v>
      </c>
      <c r="W17" s="29">
        <v>20240</v>
      </c>
      <c r="X17" s="29" t="s">
        <v>151</v>
      </c>
      <c r="Y17" s="29"/>
      <c r="Z17" s="30">
        <v>25.3</v>
      </c>
      <c r="AA17" s="136" t="s">
        <v>131</v>
      </c>
      <c r="AB17" s="136"/>
      <c r="AC17" s="122" t="s">
        <v>155</v>
      </c>
      <c r="AD17" s="32">
        <v>1.85</v>
      </c>
      <c r="AE17" s="32" t="s">
        <v>147</v>
      </c>
    </row>
    <row r="18" spans="1:31">
      <c r="A18" s="135">
        <v>1</v>
      </c>
      <c r="B18" s="20" t="s">
        <v>136</v>
      </c>
      <c r="C18" s="122">
        <v>16</v>
      </c>
      <c r="D18" s="21">
        <v>902</v>
      </c>
      <c r="E18" s="122">
        <v>718</v>
      </c>
      <c r="F18" s="21">
        <v>116</v>
      </c>
      <c r="G18" s="21">
        <v>902116</v>
      </c>
      <c r="H18" s="119">
        <v>11.98</v>
      </c>
      <c r="I18" s="101"/>
      <c r="J18" s="101">
        <v>11.98</v>
      </c>
      <c r="K18" s="125" t="s">
        <v>170</v>
      </c>
      <c r="L18" s="11" t="s">
        <v>86</v>
      </c>
      <c r="M18" s="23" t="s">
        <v>149</v>
      </c>
      <c r="N18" s="122" t="s">
        <v>140</v>
      </c>
      <c r="O18" s="122">
        <v>6</v>
      </c>
      <c r="P18" s="24" t="s">
        <v>158</v>
      </c>
      <c r="Q18" s="25">
        <v>590000</v>
      </c>
      <c r="R18" s="26" t="s">
        <v>142</v>
      </c>
      <c r="S18" s="27" t="s">
        <v>163</v>
      </c>
      <c r="T18" s="27" t="s">
        <v>164</v>
      </c>
      <c r="U18" s="124" t="s">
        <v>140</v>
      </c>
      <c r="V18" s="28">
        <v>16</v>
      </c>
      <c r="W18" s="29">
        <v>9584</v>
      </c>
      <c r="X18" s="29" t="s">
        <v>151</v>
      </c>
      <c r="Y18" s="29"/>
      <c r="Z18" s="30">
        <v>11.98</v>
      </c>
      <c r="AA18" s="136" t="s">
        <v>131</v>
      </c>
      <c r="AB18" s="136"/>
      <c r="AC18" s="122" t="s">
        <v>146</v>
      </c>
      <c r="AD18" s="31">
        <v>1.65</v>
      </c>
      <c r="AE18" s="32" t="s">
        <v>147</v>
      </c>
    </row>
    <row r="19" spans="1:31">
      <c r="A19" s="135">
        <v>1</v>
      </c>
      <c r="B19" s="20" t="s">
        <v>136</v>
      </c>
      <c r="C19" s="122">
        <v>17</v>
      </c>
      <c r="D19" s="21">
        <v>902</v>
      </c>
      <c r="E19" s="33">
        <v>719</v>
      </c>
      <c r="F19" s="34">
        <v>117</v>
      </c>
      <c r="G19" s="34">
        <v>902117</v>
      </c>
      <c r="H19" s="119">
        <v>16.54</v>
      </c>
      <c r="I19" s="101"/>
      <c r="J19" s="101">
        <v>16.54</v>
      </c>
      <c r="K19" s="125" t="s">
        <v>172</v>
      </c>
      <c r="L19" s="11" t="s">
        <v>86</v>
      </c>
      <c r="M19" s="23" t="s">
        <v>149</v>
      </c>
      <c r="N19" s="122" t="s">
        <v>140</v>
      </c>
      <c r="O19" s="122">
        <v>6</v>
      </c>
      <c r="P19" s="24" t="s">
        <v>158</v>
      </c>
      <c r="Q19" s="25">
        <v>590000</v>
      </c>
      <c r="R19" s="26" t="s">
        <v>142</v>
      </c>
      <c r="S19" s="27" t="s">
        <v>163</v>
      </c>
      <c r="T19" s="27" t="s">
        <v>164</v>
      </c>
      <c r="U19" s="124" t="s">
        <v>140</v>
      </c>
      <c r="V19" s="28">
        <v>16</v>
      </c>
      <c r="W19" s="29">
        <v>13232</v>
      </c>
      <c r="X19" s="29" t="s">
        <v>151</v>
      </c>
      <c r="Y19" s="29"/>
      <c r="Z19" s="30">
        <v>16.54</v>
      </c>
      <c r="AA19" s="136" t="s">
        <v>131</v>
      </c>
      <c r="AB19" s="136"/>
      <c r="AC19" s="122" t="s">
        <v>146</v>
      </c>
      <c r="AD19" s="31">
        <v>1.65</v>
      </c>
      <c r="AE19" s="32" t="s">
        <v>147</v>
      </c>
    </row>
    <row r="20" spans="1:31">
      <c r="A20" s="135">
        <v>1</v>
      </c>
      <c r="B20" s="20" t="s">
        <v>136</v>
      </c>
      <c r="C20" s="122">
        <v>18</v>
      </c>
      <c r="D20" s="21">
        <v>902</v>
      </c>
      <c r="E20" s="33">
        <v>720</v>
      </c>
      <c r="F20" s="34">
        <v>118</v>
      </c>
      <c r="G20" s="34">
        <v>902118</v>
      </c>
      <c r="H20" s="119">
        <v>10.24</v>
      </c>
      <c r="I20" s="101"/>
      <c r="J20" s="101">
        <v>10.24</v>
      </c>
      <c r="K20" s="125" t="s">
        <v>172</v>
      </c>
      <c r="L20" s="11" t="s">
        <v>86</v>
      </c>
      <c r="M20" s="23" t="s">
        <v>173</v>
      </c>
      <c r="N20" s="122" t="s">
        <v>140</v>
      </c>
      <c r="O20" s="122">
        <v>6</v>
      </c>
      <c r="P20" s="24" t="s">
        <v>158</v>
      </c>
      <c r="Q20" s="25">
        <v>590000</v>
      </c>
      <c r="R20" s="26" t="s">
        <v>142</v>
      </c>
      <c r="S20" s="27" t="s">
        <v>163</v>
      </c>
      <c r="T20" s="27" t="s">
        <v>164</v>
      </c>
      <c r="U20" s="124" t="s">
        <v>140</v>
      </c>
      <c r="V20" s="28">
        <v>16</v>
      </c>
      <c r="W20" s="29">
        <v>8192</v>
      </c>
      <c r="X20" s="29" t="s">
        <v>151</v>
      </c>
      <c r="Y20" s="29"/>
      <c r="Z20" s="30">
        <v>10.24</v>
      </c>
      <c r="AA20" s="136" t="s">
        <v>131</v>
      </c>
      <c r="AB20" s="136"/>
      <c r="AC20" s="122" t="s">
        <v>146</v>
      </c>
      <c r="AD20" s="32">
        <v>1.65</v>
      </c>
      <c r="AE20" s="32" t="s">
        <v>147</v>
      </c>
    </row>
    <row r="21" spans="1:31">
      <c r="A21" s="135">
        <v>1</v>
      </c>
      <c r="B21" s="20" t="s">
        <v>136</v>
      </c>
      <c r="C21" s="122">
        <v>19</v>
      </c>
      <c r="D21" s="21">
        <v>902</v>
      </c>
      <c r="E21" s="33">
        <v>721</v>
      </c>
      <c r="F21" s="34">
        <v>119</v>
      </c>
      <c r="G21" s="34">
        <v>902119</v>
      </c>
      <c r="H21" s="119">
        <v>5.37</v>
      </c>
      <c r="I21" s="101">
        <v>5.37</v>
      </c>
      <c r="J21" s="101"/>
      <c r="K21" s="125" t="s">
        <v>148</v>
      </c>
      <c r="L21" s="11" t="s">
        <v>148</v>
      </c>
      <c r="M21" s="23" t="s">
        <v>149</v>
      </c>
      <c r="N21" s="122" t="s">
        <v>140</v>
      </c>
      <c r="O21" s="122">
        <v>6</v>
      </c>
      <c r="P21" s="24" t="s">
        <v>158</v>
      </c>
      <c r="Q21" s="25">
        <v>590000</v>
      </c>
      <c r="R21" s="26" t="s">
        <v>142</v>
      </c>
      <c r="S21" s="27" t="s">
        <v>163</v>
      </c>
      <c r="T21" s="27" t="s">
        <v>164</v>
      </c>
      <c r="U21" s="124" t="s">
        <v>140</v>
      </c>
      <c r="V21" s="28">
        <v>16</v>
      </c>
      <c r="W21" s="29">
        <v>0</v>
      </c>
      <c r="X21" s="29" t="s">
        <v>151</v>
      </c>
      <c r="Y21" s="29"/>
      <c r="Z21" s="30">
        <v>5.37</v>
      </c>
      <c r="AA21" s="136" t="s">
        <v>131</v>
      </c>
      <c r="AB21" s="136"/>
      <c r="AC21" s="122" t="s">
        <v>155</v>
      </c>
      <c r="AD21" s="31">
        <v>1.85</v>
      </c>
      <c r="AE21" s="32" t="s">
        <v>147</v>
      </c>
    </row>
    <row r="22" spans="1:31">
      <c r="A22" s="135">
        <v>1</v>
      </c>
      <c r="B22" s="20" t="s">
        <v>136</v>
      </c>
      <c r="C22" s="122">
        <v>20</v>
      </c>
      <c r="D22" s="21">
        <v>902</v>
      </c>
      <c r="E22" s="33">
        <v>725</v>
      </c>
      <c r="F22" s="34">
        <v>120</v>
      </c>
      <c r="G22" s="34">
        <v>902120</v>
      </c>
      <c r="H22" s="119">
        <v>20.5</v>
      </c>
      <c r="I22" s="101"/>
      <c r="J22" s="100">
        <v>20.5</v>
      </c>
      <c r="K22" s="22" t="s">
        <v>137</v>
      </c>
      <c r="L22" s="11" t="s">
        <v>138</v>
      </c>
      <c r="M22" s="23" t="s">
        <v>169</v>
      </c>
      <c r="N22" s="122" t="s">
        <v>140</v>
      </c>
      <c r="O22" s="122">
        <v>6</v>
      </c>
      <c r="P22" s="24" t="s">
        <v>158</v>
      </c>
      <c r="Q22" s="25">
        <v>590000</v>
      </c>
      <c r="R22" s="26" t="s">
        <v>142</v>
      </c>
      <c r="S22" s="27" t="s">
        <v>163</v>
      </c>
      <c r="T22" s="27" t="s">
        <v>164</v>
      </c>
      <c r="U22" s="124" t="s">
        <v>140</v>
      </c>
      <c r="V22" s="28">
        <v>16</v>
      </c>
      <c r="W22" s="29">
        <v>16400</v>
      </c>
      <c r="X22" s="29" t="s">
        <v>151</v>
      </c>
      <c r="Y22" s="29"/>
      <c r="Z22" s="30">
        <v>20.5</v>
      </c>
      <c r="AA22" s="136" t="s">
        <v>131</v>
      </c>
      <c r="AB22" s="136"/>
      <c r="AC22" s="21" t="s">
        <v>155</v>
      </c>
      <c r="AD22" s="31">
        <v>1.85</v>
      </c>
      <c r="AE22" s="32" t="s">
        <v>147</v>
      </c>
    </row>
    <row r="23" spans="1:31">
      <c r="A23" s="135">
        <v>1</v>
      </c>
      <c r="B23" s="20" t="s">
        <v>136</v>
      </c>
      <c r="C23" s="122">
        <v>21</v>
      </c>
      <c r="D23" s="21">
        <v>902</v>
      </c>
      <c r="E23" s="33">
        <v>726</v>
      </c>
      <c r="F23" s="34">
        <v>121</v>
      </c>
      <c r="G23" s="34">
        <v>902121</v>
      </c>
      <c r="H23" s="119">
        <v>13.85</v>
      </c>
      <c r="I23" s="101"/>
      <c r="J23" s="100">
        <v>13.85</v>
      </c>
      <c r="K23" s="125" t="s">
        <v>170</v>
      </c>
      <c r="L23" s="11" t="s">
        <v>86</v>
      </c>
      <c r="M23" s="23" t="s">
        <v>162</v>
      </c>
      <c r="N23" s="122" t="s">
        <v>140</v>
      </c>
      <c r="O23" s="122">
        <v>6</v>
      </c>
      <c r="P23" s="24" t="s">
        <v>158</v>
      </c>
      <c r="Q23" s="25">
        <v>590000</v>
      </c>
      <c r="R23" s="26" t="s">
        <v>142</v>
      </c>
      <c r="S23" s="27" t="s">
        <v>163</v>
      </c>
      <c r="T23" s="27" t="s">
        <v>164</v>
      </c>
      <c r="U23" s="124" t="s">
        <v>140</v>
      </c>
      <c r="V23" s="28">
        <v>16</v>
      </c>
      <c r="W23" s="29">
        <v>11080</v>
      </c>
      <c r="X23" s="29" t="s">
        <v>151</v>
      </c>
      <c r="Y23" s="29"/>
      <c r="Z23" s="30">
        <v>13.85</v>
      </c>
      <c r="AA23" s="136" t="s">
        <v>131</v>
      </c>
      <c r="AB23" s="136"/>
      <c r="AC23" s="122" t="s">
        <v>155</v>
      </c>
      <c r="AD23" s="32">
        <v>1.85</v>
      </c>
      <c r="AE23" s="32" t="s">
        <v>147</v>
      </c>
    </row>
    <row r="24" spans="1:31">
      <c r="A24" s="135">
        <v>1</v>
      </c>
      <c r="B24" s="20" t="s">
        <v>136</v>
      </c>
      <c r="C24" s="122">
        <v>22</v>
      </c>
      <c r="D24" s="21">
        <v>902</v>
      </c>
      <c r="E24" s="33">
        <v>740</v>
      </c>
      <c r="F24" s="34">
        <v>122</v>
      </c>
      <c r="G24" s="34">
        <v>902122</v>
      </c>
      <c r="H24" s="119">
        <v>9.35</v>
      </c>
      <c r="I24" s="101"/>
      <c r="J24" s="101">
        <v>9.35</v>
      </c>
      <c r="K24" s="125" t="s">
        <v>170</v>
      </c>
      <c r="L24" s="11" t="s">
        <v>86</v>
      </c>
      <c r="M24" s="23" t="s">
        <v>174</v>
      </c>
      <c r="N24" s="122" t="s">
        <v>140</v>
      </c>
      <c r="O24" s="122">
        <v>6</v>
      </c>
      <c r="P24" s="24" t="s">
        <v>158</v>
      </c>
      <c r="Q24" s="25">
        <v>590000</v>
      </c>
      <c r="R24" s="26" t="s">
        <v>142</v>
      </c>
      <c r="S24" s="27" t="s">
        <v>163</v>
      </c>
      <c r="T24" s="27" t="s">
        <v>164</v>
      </c>
      <c r="U24" s="124" t="s">
        <v>140</v>
      </c>
      <c r="V24" s="28">
        <v>16</v>
      </c>
      <c r="W24" s="29">
        <v>7480</v>
      </c>
      <c r="X24" s="29" t="s">
        <v>151</v>
      </c>
      <c r="Y24" s="29"/>
      <c r="Z24" s="30">
        <v>9.35</v>
      </c>
      <c r="AA24" s="136" t="s">
        <v>131</v>
      </c>
      <c r="AB24" s="136"/>
      <c r="AC24" s="122" t="s">
        <v>155</v>
      </c>
      <c r="AD24" s="31">
        <v>1.85</v>
      </c>
      <c r="AE24" s="32" t="s">
        <v>147</v>
      </c>
    </row>
    <row r="25" spans="1:31">
      <c r="A25" s="135">
        <v>1</v>
      </c>
      <c r="B25" s="20" t="s">
        <v>136</v>
      </c>
      <c r="C25" s="122">
        <v>23</v>
      </c>
      <c r="D25" s="21">
        <v>902</v>
      </c>
      <c r="E25" s="33">
        <v>714</v>
      </c>
      <c r="F25" s="34">
        <v>123</v>
      </c>
      <c r="G25" s="34">
        <v>902123</v>
      </c>
      <c r="H25" s="119">
        <v>12.37</v>
      </c>
      <c r="I25" s="101"/>
      <c r="J25" s="100">
        <v>12.37</v>
      </c>
      <c r="K25" s="22" t="s">
        <v>137</v>
      </c>
      <c r="L25" s="11" t="s">
        <v>138</v>
      </c>
      <c r="M25" s="23" t="s">
        <v>175</v>
      </c>
      <c r="N25" s="122" t="s">
        <v>140</v>
      </c>
      <c r="O25" s="122">
        <v>6</v>
      </c>
      <c r="P25" s="24" t="s">
        <v>176</v>
      </c>
      <c r="Q25" s="25">
        <v>103000</v>
      </c>
      <c r="R25" s="26" t="s">
        <v>142</v>
      </c>
      <c r="S25" s="27" t="s">
        <v>177</v>
      </c>
      <c r="T25" s="27" t="s">
        <v>144</v>
      </c>
      <c r="U25" s="124" t="s">
        <v>140</v>
      </c>
      <c r="V25" s="28">
        <v>9</v>
      </c>
      <c r="W25" s="29">
        <v>5566.5</v>
      </c>
      <c r="X25" s="29" t="s">
        <v>151</v>
      </c>
      <c r="Y25" s="29"/>
      <c r="Z25" s="30">
        <v>12.37</v>
      </c>
      <c r="AA25" s="136" t="s">
        <v>131</v>
      </c>
      <c r="AB25" s="136"/>
      <c r="AC25" s="21" t="s">
        <v>146</v>
      </c>
      <c r="AD25" s="31">
        <v>1.85</v>
      </c>
      <c r="AE25" s="32" t="s">
        <v>147</v>
      </c>
    </row>
    <row r="26" spans="1:31">
      <c r="A26" s="135">
        <v>1</v>
      </c>
      <c r="B26" s="20" t="s">
        <v>136</v>
      </c>
      <c r="C26" s="122">
        <v>24</v>
      </c>
      <c r="D26" s="21">
        <v>902</v>
      </c>
      <c r="E26" s="33">
        <v>715</v>
      </c>
      <c r="F26" s="34">
        <v>124</v>
      </c>
      <c r="G26" s="34">
        <v>902124</v>
      </c>
      <c r="H26" s="119">
        <v>59.33</v>
      </c>
      <c r="I26" s="101"/>
      <c r="J26" s="101">
        <v>59.33</v>
      </c>
      <c r="K26" s="125" t="s">
        <v>170</v>
      </c>
      <c r="L26" s="11" t="s">
        <v>86</v>
      </c>
      <c r="M26" s="23" t="s">
        <v>149</v>
      </c>
      <c r="N26" s="122" t="s">
        <v>140</v>
      </c>
      <c r="O26" s="122">
        <v>6</v>
      </c>
      <c r="P26" s="24" t="s">
        <v>176</v>
      </c>
      <c r="Q26" s="25">
        <v>103000</v>
      </c>
      <c r="R26" s="26" t="s">
        <v>142</v>
      </c>
      <c r="S26" s="27" t="s">
        <v>177</v>
      </c>
      <c r="T26" s="27" t="s">
        <v>144</v>
      </c>
      <c r="U26" s="124" t="s">
        <v>140</v>
      </c>
      <c r="V26" s="28">
        <v>9</v>
      </c>
      <c r="W26" s="29">
        <v>26698.5</v>
      </c>
      <c r="X26" s="29" t="s">
        <v>151</v>
      </c>
      <c r="Y26" s="29"/>
      <c r="Z26" s="30">
        <v>59.33</v>
      </c>
      <c r="AA26" s="136" t="s">
        <v>131</v>
      </c>
      <c r="AB26" s="136"/>
      <c r="AC26" s="122" t="s">
        <v>155</v>
      </c>
      <c r="AD26" s="31">
        <v>1.85</v>
      </c>
      <c r="AE26" s="32" t="s">
        <v>147</v>
      </c>
    </row>
    <row r="27" spans="1:31">
      <c r="A27" s="135">
        <v>1</v>
      </c>
      <c r="B27" s="20" t="s">
        <v>136</v>
      </c>
      <c r="C27" s="122">
        <v>25</v>
      </c>
      <c r="D27" s="21">
        <v>902</v>
      </c>
      <c r="E27" s="33">
        <v>742</v>
      </c>
      <c r="F27" s="34">
        <v>125</v>
      </c>
      <c r="G27" s="34">
        <v>902125</v>
      </c>
      <c r="H27" s="119">
        <v>28.68</v>
      </c>
      <c r="I27" s="101"/>
      <c r="J27" s="101">
        <v>28.68</v>
      </c>
      <c r="K27" s="125" t="s">
        <v>170</v>
      </c>
      <c r="L27" s="11" t="s">
        <v>86</v>
      </c>
      <c r="M27" s="23" t="s">
        <v>178</v>
      </c>
      <c r="N27" s="122" t="s">
        <v>140</v>
      </c>
      <c r="O27" s="122">
        <v>6</v>
      </c>
      <c r="P27" s="24" t="s">
        <v>158</v>
      </c>
      <c r="Q27" s="25">
        <v>590000</v>
      </c>
      <c r="R27" s="26" t="s">
        <v>142</v>
      </c>
      <c r="S27" s="27" t="s">
        <v>159</v>
      </c>
      <c r="T27" s="27" t="s">
        <v>160</v>
      </c>
      <c r="U27" s="124" t="s">
        <v>150</v>
      </c>
      <c r="V27" s="28">
        <v>3</v>
      </c>
      <c r="W27" s="29">
        <v>4302</v>
      </c>
      <c r="X27" s="29" t="s">
        <v>151</v>
      </c>
      <c r="Y27" s="29"/>
      <c r="Z27" s="30">
        <v>31.849999999999998</v>
      </c>
      <c r="AA27" s="136" t="s">
        <v>131</v>
      </c>
      <c r="AB27" s="136"/>
      <c r="AC27" s="122" t="s">
        <v>155</v>
      </c>
      <c r="AD27" s="31">
        <v>1.85</v>
      </c>
      <c r="AE27" s="32" t="s">
        <v>147</v>
      </c>
    </row>
    <row r="28" spans="1:31">
      <c r="A28" s="135">
        <v>1</v>
      </c>
      <c r="B28" s="20" t="s">
        <v>136</v>
      </c>
      <c r="C28" s="122">
        <v>26</v>
      </c>
      <c r="D28" s="21">
        <v>902</v>
      </c>
      <c r="E28" s="33">
        <v>743</v>
      </c>
      <c r="F28" s="34">
        <v>126</v>
      </c>
      <c r="G28" s="34">
        <v>902126</v>
      </c>
      <c r="H28" s="119">
        <v>39.76</v>
      </c>
      <c r="I28" s="101"/>
      <c r="J28" s="100">
        <v>39.76</v>
      </c>
      <c r="K28" s="125" t="s">
        <v>170</v>
      </c>
      <c r="L28" s="11" t="s">
        <v>86</v>
      </c>
      <c r="M28" s="23" t="s">
        <v>165</v>
      </c>
      <c r="N28" s="122" t="s">
        <v>140</v>
      </c>
      <c r="O28" s="122">
        <v>6</v>
      </c>
      <c r="P28" s="24" t="s">
        <v>179</v>
      </c>
      <c r="Q28" s="25">
        <v>157000</v>
      </c>
      <c r="R28" s="26" t="s">
        <v>142</v>
      </c>
      <c r="S28" s="27" t="s">
        <v>143</v>
      </c>
      <c r="T28" s="27" t="s">
        <v>144</v>
      </c>
      <c r="U28" s="124" t="s">
        <v>140</v>
      </c>
      <c r="V28" s="28">
        <v>8</v>
      </c>
      <c r="W28" s="29">
        <v>15904</v>
      </c>
      <c r="X28" s="29" t="s">
        <v>151</v>
      </c>
      <c r="Y28" s="29"/>
      <c r="Z28" s="30">
        <v>39.76</v>
      </c>
      <c r="AA28" s="136" t="s">
        <v>131</v>
      </c>
      <c r="AB28" s="136"/>
      <c r="AC28" s="21" t="s">
        <v>155</v>
      </c>
      <c r="AD28" s="31">
        <v>1.85</v>
      </c>
      <c r="AE28" s="32" t="s">
        <v>147</v>
      </c>
    </row>
    <row r="29" spans="1:31">
      <c r="A29" s="135">
        <v>1</v>
      </c>
      <c r="B29" s="20" t="s">
        <v>136</v>
      </c>
      <c r="C29" s="122">
        <v>27</v>
      </c>
      <c r="D29" s="21">
        <v>902</v>
      </c>
      <c r="E29" s="33" t="s">
        <v>180</v>
      </c>
      <c r="F29" s="34">
        <v>127</v>
      </c>
      <c r="G29" s="34">
        <v>902127</v>
      </c>
      <c r="H29" s="119">
        <v>55.36</v>
      </c>
      <c r="I29" s="101"/>
      <c r="J29" s="100">
        <v>55.36</v>
      </c>
      <c r="K29" s="125" t="s">
        <v>170</v>
      </c>
      <c r="L29" s="11" t="s">
        <v>86</v>
      </c>
      <c r="M29" s="23" t="s">
        <v>149</v>
      </c>
      <c r="N29" s="122" t="s">
        <v>140</v>
      </c>
      <c r="O29" s="122">
        <v>6</v>
      </c>
      <c r="P29" s="24" t="s">
        <v>179</v>
      </c>
      <c r="Q29" s="25">
        <v>157000</v>
      </c>
      <c r="R29" s="26" t="s">
        <v>142</v>
      </c>
      <c r="S29" s="27" t="s">
        <v>143</v>
      </c>
      <c r="T29" s="27" t="s">
        <v>144</v>
      </c>
      <c r="U29" s="124" t="s">
        <v>140</v>
      </c>
      <c r="V29" s="28">
        <v>8</v>
      </c>
      <c r="W29" s="29">
        <v>22144</v>
      </c>
      <c r="X29" s="29" t="s">
        <v>151</v>
      </c>
      <c r="Y29" s="29"/>
      <c r="Z29" s="30">
        <v>57.15</v>
      </c>
      <c r="AA29" s="136" t="s">
        <v>131</v>
      </c>
      <c r="AB29" s="136"/>
      <c r="AC29" s="122" t="s">
        <v>155</v>
      </c>
      <c r="AD29" s="32">
        <v>1.85</v>
      </c>
      <c r="AE29" s="32" t="s">
        <v>147</v>
      </c>
    </row>
    <row r="30" spans="1:31">
      <c r="A30" s="135">
        <v>1</v>
      </c>
      <c r="B30" s="20" t="s">
        <v>136</v>
      </c>
      <c r="C30" s="122">
        <v>28</v>
      </c>
      <c r="D30" s="21">
        <v>902</v>
      </c>
      <c r="E30" s="33">
        <v>744</v>
      </c>
      <c r="F30" s="34">
        <v>128</v>
      </c>
      <c r="G30" s="34">
        <v>902128</v>
      </c>
      <c r="H30" s="119">
        <v>141.88999999999999</v>
      </c>
      <c r="I30" s="101"/>
      <c r="J30" s="100">
        <v>141.88999999999999</v>
      </c>
      <c r="K30" s="22" t="s">
        <v>137</v>
      </c>
      <c r="L30" s="11" t="s">
        <v>138</v>
      </c>
      <c r="M30" s="23" t="s">
        <v>181</v>
      </c>
      <c r="N30" s="122" t="s">
        <v>140</v>
      </c>
      <c r="O30" s="122">
        <v>6</v>
      </c>
      <c r="P30" s="24" t="s">
        <v>179</v>
      </c>
      <c r="Q30" s="25">
        <v>157000</v>
      </c>
      <c r="R30" s="26" t="s">
        <v>142</v>
      </c>
      <c r="S30" s="27" t="s">
        <v>143</v>
      </c>
      <c r="T30" s="27" t="s">
        <v>144</v>
      </c>
      <c r="U30" s="124" t="s">
        <v>140</v>
      </c>
      <c r="V30" s="28">
        <v>8</v>
      </c>
      <c r="W30" s="29">
        <v>56755.999999999993</v>
      </c>
      <c r="X30" s="29" t="s">
        <v>151</v>
      </c>
      <c r="Y30" s="29"/>
      <c r="Z30" s="30">
        <v>146.12999999999997</v>
      </c>
      <c r="AA30" s="136" t="s">
        <v>131</v>
      </c>
      <c r="AB30" s="136"/>
      <c r="AC30" s="21" t="s">
        <v>155</v>
      </c>
      <c r="AD30" s="31">
        <v>1.85</v>
      </c>
      <c r="AE30" s="32" t="s">
        <v>147</v>
      </c>
    </row>
    <row r="31" spans="1:31">
      <c r="A31" s="135">
        <v>1</v>
      </c>
      <c r="B31" s="20" t="s">
        <v>136</v>
      </c>
      <c r="C31" s="122">
        <v>29</v>
      </c>
      <c r="D31" s="21">
        <v>902</v>
      </c>
      <c r="E31" s="33">
        <v>745</v>
      </c>
      <c r="F31" s="34">
        <v>129</v>
      </c>
      <c r="G31" s="34">
        <v>902129</v>
      </c>
      <c r="H31" s="119">
        <v>19.850000000000001</v>
      </c>
      <c r="I31" s="101"/>
      <c r="J31" s="101">
        <v>19.850000000000001</v>
      </c>
      <c r="K31" s="125" t="s">
        <v>170</v>
      </c>
      <c r="L31" s="11" t="s">
        <v>86</v>
      </c>
      <c r="M31" s="23" t="s">
        <v>182</v>
      </c>
      <c r="N31" s="122" t="s">
        <v>140</v>
      </c>
      <c r="O31" s="122">
        <v>6</v>
      </c>
      <c r="P31" s="24" t="s">
        <v>179</v>
      </c>
      <c r="Q31" s="25">
        <v>157000</v>
      </c>
      <c r="R31" s="26" t="s">
        <v>142</v>
      </c>
      <c r="S31" s="27" t="s">
        <v>143</v>
      </c>
      <c r="T31" s="27" t="s">
        <v>144</v>
      </c>
      <c r="U31" s="124" t="s">
        <v>140</v>
      </c>
      <c r="V31" s="28">
        <v>8</v>
      </c>
      <c r="W31" s="29">
        <v>7940.0000000000009</v>
      </c>
      <c r="X31" s="29" t="s">
        <v>151</v>
      </c>
      <c r="Y31" s="29"/>
      <c r="Z31" s="30">
        <v>22.39</v>
      </c>
      <c r="AA31" s="136" t="s">
        <v>131</v>
      </c>
      <c r="AB31" s="136"/>
      <c r="AC31" s="122" t="s">
        <v>155</v>
      </c>
      <c r="AD31" s="31">
        <v>1.85</v>
      </c>
      <c r="AE31" s="32" t="s">
        <v>147</v>
      </c>
    </row>
    <row r="32" spans="1:31">
      <c r="A32" s="135">
        <v>1</v>
      </c>
      <c r="B32" s="20" t="s">
        <v>136</v>
      </c>
      <c r="C32" s="122">
        <v>30</v>
      </c>
      <c r="D32" s="21">
        <v>902</v>
      </c>
      <c r="E32" s="33">
        <v>746</v>
      </c>
      <c r="F32" s="34">
        <v>130</v>
      </c>
      <c r="G32" s="34">
        <v>902130</v>
      </c>
      <c r="H32" s="119">
        <v>17.309999999999999</v>
      </c>
      <c r="I32" s="101"/>
      <c r="J32" s="101">
        <v>17.309999999999999</v>
      </c>
      <c r="K32" s="125" t="s">
        <v>170</v>
      </c>
      <c r="L32" s="11" t="s">
        <v>86</v>
      </c>
      <c r="M32" s="23" t="s">
        <v>183</v>
      </c>
      <c r="N32" s="122" t="s">
        <v>140</v>
      </c>
      <c r="O32" s="122">
        <v>6</v>
      </c>
      <c r="P32" s="24" t="s">
        <v>158</v>
      </c>
      <c r="Q32" s="25">
        <v>590000</v>
      </c>
      <c r="R32" s="26" t="s">
        <v>142</v>
      </c>
      <c r="S32" s="27" t="s">
        <v>159</v>
      </c>
      <c r="T32" s="27" t="s">
        <v>160</v>
      </c>
      <c r="U32" s="124" t="s">
        <v>150</v>
      </c>
      <c r="V32" s="28">
        <v>3</v>
      </c>
      <c r="W32" s="29">
        <v>2596.5</v>
      </c>
      <c r="X32" s="29" t="s">
        <v>151</v>
      </c>
      <c r="Y32" s="29"/>
      <c r="Z32" s="30">
        <v>19.22</v>
      </c>
      <c r="AA32" s="136" t="s">
        <v>131</v>
      </c>
      <c r="AB32" s="136"/>
      <c r="AC32" s="122" t="s">
        <v>155</v>
      </c>
      <c r="AD32" s="31">
        <v>1.85</v>
      </c>
      <c r="AE32" s="32" t="s">
        <v>147</v>
      </c>
    </row>
    <row r="33" spans="1:31">
      <c r="A33" s="135">
        <v>1</v>
      </c>
      <c r="B33" s="20" t="s">
        <v>136</v>
      </c>
      <c r="C33" s="122">
        <v>31</v>
      </c>
      <c r="D33" s="21">
        <v>902</v>
      </c>
      <c r="E33" s="33">
        <v>731</v>
      </c>
      <c r="F33" s="34">
        <v>131</v>
      </c>
      <c r="G33" s="34">
        <v>902131</v>
      </c>
      <c r="H33" s="119">
        <v>11.3</v>
      </c>
      <c r="I33" s="101"/>
      <c r="J33" s="100">
        <v>11.3</v>
      </c>
      <c r="K33" s="22" t="s">
        <v>137</v>
      </c>
      <c r="L33" s="11" t="s">
        <v>138</v>
      </c>
      <c r="M33" s="23" t="s">
        <v>184</v>
      </c>
      <c r="N33" s="122" t="s">
        <v>140</v>
      </c>
      <c r="O33" s="122">
        <v>6</v>
      </c>
      <c r="P33" s="24" t="s">
        <v>179</v>
      </c>
      <c r="Q33" s="25">
        <v>157000</v>
      </c>
      <c r="R33" s="26" t="s">
        <v>142</v>
      </c>
      <c r="S33" s="27" t="s">
        <v>143</v>
      </c>
      <c r="T33" s="27" t="s">
        <v>144</v>
      </c>
      <c r="U33" s="124" t="s">
        <v>140</v>
      </c>
      <c r="V33" s="28">
        <v>8</v>
      </c>
      <c r="W33" s="29">
        <v>4520</v>
      </c>
      <c r="X33" s="29" t="s">
        <v>151</v>
      </c>
      <c r="Y33" s="29"/>
      <c r="Z33" s="30">
        <v>11.3</v>
      </c>
      <c r="AA33" s="136" t="s">
        <v>131</v>
      </c>
      <c r="AB33" s="136"/>
      <c r="AC33" s="21" t="s">
        <v>155</v>
      </c>
      <c r="AD33" s="31">
        <v>1.85</v>
      </c>
      <c r="AE33" s="32" t="s">
        <v>147</v>
      </c>
    </row>
    <row r="34" spans="1:31">
      <c r="A34" s="135">
        <v>1</v>
      </c>
      <c r="B34" s="20" t="s">
        <v>136</v>
      </c>
      <c r="C34" s="122">
        <v>32</v>
      </c>
      <c r="D34" s="21">
        <v>902</v>
      </c>
      <c r="E34" s="33">
        <v>732</v>
      </c>
      <c r="F34" s="34">
        <v>132</v>
      </c>
      <c r="G34" s="34">
        <v>902132</v>
      </c>
      <c r="H34" s="119">
        <v>23.21</v>
      </c>
      <c r="I34" s="101"/>
      <c r="J34" s="100">
        <v>23.21</v>
      </c>
      <c r="K34" s="22" t="s">
        <v>137</v>
      </c>
      <c r="L34" s="11" t="s">
        <v>138</v>
      </c>
      <c r="M34" s="23" t="s">
        <v>184</v>
      </c>
      <c r="N34" s="122" t="s">
        <v>140</v>
      </c>
      <c r="O34" s="122">
        <v>6</v>
      </c>
      <c r="P34" s="24" t="s">
        <v>179</v>
      </c>
      <c r="Q34" s="25">
        <v>157000</v>
      </c>
      <c r="R34" s="26" t="s">
        <v>142</v>
      </c>
      <c r="S34" s="27" t="s">
        <v>143</v>
      </c>
      <c r="T34" s="27" t="s">
        <v>144</v>
      </c>
      <c r="U34" s="124" t="s">
        <v>140</v>
      </c>
      <c r="V34" s="28">
        <v>8</v>
      </c>
      <c r="W34" s="29">
        <v>9284</v>
      </c>
      <c r="X34" s="29" t="s">
        <v>151</v>
      </c>
      <c r="Y34" s="29"/>
      <c r="Z34" s="30">
        <v>23.21</v>
      </c>
      <c r="AA34" s="136" t="s">
        <v>131</v>
      </c>
      <c r="AB34" s="136"/>
      <c r="AC34" s="21" t="s">
        <v>155</v>
      </c>
      <c r="AD34" s="31">
        <v>1.85</v>
      </c>
      <c r="AE34" s="32" t="s">
        <v>147</v>
      </c>
    </row>
    <row r="35" spans="1:31">
      <c r="A35" s="135">
        <v>1</v>
      </c>
      <c r="B35" s="20" t="s">
        <v>136</v>
      </c>
      <c r="C35" s="122">
        <v>33</v>
      </c>
      <c r="D35" s="21">
        <v>902</v>
      </c>
      <c r="E35" s="33">
        <v>733</v>
      </c>
      <c r="F35" s="34">
        <v>133</v>
      </c>
      <c r="G35" s="34">
        <v>902133</v>
      </c>
      <c r="H35" s="119">
        <v>24.2</v>
      </c>
      <c r="I35" s="101"/>
      <c r="J35" s="100">
        <v>24.2</v>
      </c>
      <c r="K35" s="22" t="s">
        <v>137</v>
      </c>
      <c r="L35" s="11" t="s">
        <v>138</v>
      </c>
      <c r="M35" s="23" t="s">
        <v>185</v>
      </c>
      <c r="N35" s="122" t="s">
        <v>140</v>
      </c>
      <c r="O35" s="122">
        <v>6</v>
      </c>
      <c r="P35" s="24" t="s">
        <v>179</v>
      </c>
      <c r="Q35" s="25">
        <v>157000</v>
      </c>
      <c r="R35" s="26" t="s">
        <v>142</v>
      </c>
      <c r="S35" s="27" t="s">
        <v>143</v>
      </c>
      <c r="T35" s="27" t="s">
        <v>144</v>
      </c>
      <c r="U35" s="124" t="s">
        <v>140</v>
      </c>
      <c r="V35" s="28">
        <v>8</v>
      </c>
      <c r="W35" s="29">
        <v>9680</v>
      </c>
      <c r="X35" s="29" t="s">
        <v>151</v>
      </c>
      <c r="Y35" s="29"/>
      <c r="Z35" s="30">
        <v>24.2</v>
      </c>
      <c r="AA35" s="136" t="s">
        <v>131</v>
      </c>
      <c r="AB35" s="136"/>
      <c r="AC35" s="21" t="s">
        <v>155</v>
      </c>
      <c r="AD35" s="31">
        <v>1.85</v>
      </c>
      <c r="AE35" s="32" t="s">
        <v>147</v>
      </c>
    </row>
    <row r="36" spans="1:31">
      <c r="A36" s="135">
        <v>1</v>
      </c>
      <c r="B36" s="20" t="s">
        <v>136</v>
      </c>
      <c r="C36" s="122">
        <v>34</v>
      </c>
      <c r="D36" s="21">
        <v>902</v>
      </c>
      <c r="E36" s="33">
        <v>734</v>
      </c>
      <c r="F36" s="34">
        <v>134</v>
      </c>
      <c r="G36" s="34">
        <v>902134</v>
      </c>
      <c r="H36" s="119">
        <v>24.81</v>
      </c>
      <c r="I36" s="101"/>
      <c r="J36" s="100">
        <v>24.81</v>
      </c>
      <c r="K36" s="22" t="s">
        <v>137</v>
      </c>
      <c r="L36" s="11" t="s">
        <v>138</v>
      </c>
      <c r="M36" s="23" t="s">
        <v>185</v>
      </c>
      <c r="N36" s="122" t="s">
        <v>140</v>
      </c>
      <c r="O36" s="122">
        <v>6</v>
      </c>
      <c r="P36" s="24" t="s">
        <v>179</v>
      </c>
      <c r="Q36" s="25">
        <v>157000</v>
      </c>
      <c r="R36" s="26" t="s">
        <v>142</v>
      </c>
      <c r="S36" s="27" t="s">
        <v>143</v>
      </c>
      <c r="T36" s="27" t="s">
        <v>144</v>
      </c>
      <c r="U36" s="124" t="s">
        <v>140</v>
      </c>
      <c r="V36" s="28">
        <v>8</v>
      </c>
      <c r="W36" s="29">
        <v>9924</v>
      </c>
      <c r="X36" s="29" t="s">
        <v>151</v>
      </c>
      <c r="Y36" s="29"/>
      <c r="Z36" s="30">
        <v>24.81</v>
      </c>
      <c r="AA36" s="136" t="s">
        <v>131</v>
      </c>
      <c r="AB36" s="136"/>
      <c r="AC36" s="21" t="s">
        <v>155</v>
      </c>
      <c r="AD36" s="31">
        <v>1.85</v>
      </c>
      <c r="AE36" s="32" t="s">
        <v>147</v>
      </c>
    </row>
    <row r="37" spans="1:31">
      <c r="A37" s="135">
        <v>1</v>
      </c>
      <c r="B37" s="20" t="s">
        <v>136</v>
      </c>
      <c r="C37" s="122">
        <v>35</v>
      </c>
      <c r="D37" s="21">
        <v>902</v>
      </c>
      <c r="E37" s="33">
        <v>735</v>
      </c>
      <c r="F37" s="34">
        <v>135</v>
      </c>
      <c r="G37" s="34">
        <v>902135</v>
      </c>
      <c r="H37" s="119">
        <v>25.22</v>
      </c>
      <c r="I37" s="101"/>
      <c r="J37" s="100">
        <v>25.22</v>
      </c>
      <c r="K37" s="22" t="s">
        <v>170</v>
      </c>
      <c r="L37" s="23" t="s">
        <v>86</v>
      </c>
      <c r="M37" s="23" t="s">
        <v>186</v>
      </c>
      <c r="N37" s="122" t="s">
        <v>140</v>
      </c>
      <c r="O37" s="122">
        <v>6</v>
      </c>
      <c r="P37" s="24" t="s">
        <v>179</v>
      </c>
      <c r="Q37" s="25">
        <v>157000</v>
      </c>
      <c r="R37" s="26" t="s">
        <v>142</v>
      </c>
      <c r="S37" s="27" t="s">
        <v>143</v>
      </c>
      <c r="T37" s="27" t="s">
        <v>144</v>
      </c>
      <c r="U37" s="124" t="s">
        <v>140</v>
      </c>
      <c r="V37" s="28">
        <v>8</v>
      </c>
      <c r="W37" s="29">
        <v>10088</v>
      </c>
      <c r="X37" s="29" t="s">
        <v>151</v>
      </c>
      <c r="Y37" s="29"/>
      <c r="Z37" s="30">
        <v>27.349999999999998</v>
      </c>
      <c r="AA37" s="136" t="s">
        <v>131</v>
      </c>
      <c r="AB37" s="136"/>
      <c r="AC37" s="122" t="s">
        <v>155</v>
      </c>
      <c r="AD37" s="31">
        <v>1.85</v>
      </c>
      <c r="AE37" s="32" t="s">
        <v>147</v>
      </c>
    </row>
    <row r="38" spans="1:31">
      <c r="A38" s="135">
        <v>1</v>
      </c>
      <c r="B38" s="20" t="s">
        <v>136</v>
      </c>
      <c r="C38" s="122">
        <v>36</v>
      </c>
      <c r="D38" s="21">
        <v>902</v>
      </c>
      <c r="E38" s="33">
        <v>711</v>
      </c>
      <c r="F38" s="34">
        <v>136</v>
      </c>
      <c r="G38" s="34">
        <v>902136</v>
      </c>
      <c r="H38" s="119">
        <v>68.260000000000005</v>
      </c>
      <c r="I38" s="101"/>
      <c r="J38" s="100">
        <v>68.260000000000005</v>
      </c>
      <c r="K38" s="22" t="s">
        <v>137</v>
      </c>
      <c r="L38" s="11" t="s">
        <v>138</v>
      </c>
      <c r="M38" s="23" t="s">
        <v>187</v>
      </c>
      <c r="N38" s="122" t="s">
        <v>140</v>
      </c>
      <c r="O38" s="122">
        <v>6</v>
      </c>
      <c r="P38" s="24" t="s">
        <v>176</v>
      </c>
      <c r="Q38" s="25">
        <v>103000</v>
      </c>
      <c r="R38" s="26" t="s">
        <v>142</v>
      </c>
      <c r="S38" s="27" t="s">
        <v>177</v>
      </c>
      <c r="T38" s="27" t="s">
        <v>144</v>
      </c>
      <c r="U38" s="124" t="s">
        <v>140</v>
      </c>
      <c r="V38" s="28">
        <v>9</v>
      </c>
      <c r="W38" s="29">
        <v>30717.000000000004</v>
      </c>
      <c r="X38" s="29" t="s">
        <v>151</v>
      </c>
      <c r="Y38" s="29"/>
      <c r="Z38" s="30">
        <v>68.260000000000005</v>
      </c>
      <c r="AA38" s="136" t="s">
        <v>131</v>
      </c>
      <c r="AB38" s="136"/>
      <c r="AC38" s="21" t="s">
        <v>155</v>
      </c>
      <c r="AD38" s="31">
        <v>1.85</v>
      </c>
      <c r="AE38" s="32" t="s">
        <v>147</v>
      </c>
    </row>
    <row r="39" spans="1:31">
      <c r="A39" s="135">
        <v>1</v>
      </c>
      <c r="B39" s="20" t="s">
        <v>136</v>
      </c>
      <c r="C39" s="122">
        <v>37</v>
      </c>
      <c r="D39" s="21">
        <v>902</v>
      </c>
      <c r="E39" s="33">
        <v>640</v>
      </c>
      <c r="F39" s="34">
        <v>137</v>
      </c>
      <c r="G39" s="34">
        <v>902137</v>
      </c>
      <c r="H39" s="119">
        <v>20.45</v>
      </c>
      <c r="I39" s="101"/>
      <c r="J39" s="101">
        <v>20.45</v>
      </c>
      <c r="K39" s="125" t="s">
        <v>170</v>
      </c>
      <c r="L39" s="11" t="s">
        <v>86</v>
      </c>
      <c r="M39" s="23" t="s">
        <v>149</v>
      </c>
      <c r="N39" s="122" t="s">
        <v>150</v>
      </c>
      <c r="O39" s="122">
        <v>3</v>
      </c>
      <c r="P39" s="24" t="s">
        <v>188</v>
      </c>
      <c r="Q39" s="25">
        <v>157000</v>
      </c>
      <c r="R39" s="26" t="s">
        <v>142</v>
      </c>
      <c r="S39" s="27" t="s">
        <v>159</v>
      </c>
      <c r="T39" s="27" t="s">
        <v>160</v>
      </c>
      <c r="U39" s="124" t="s">
        <v>150</v>
      </c>
      <c r="V39" s="28">
        <v>5</v>
      </c>
      <c r="W39" s="29">
        <v>5112.5</v>
      </c>
      <c r="X39" s="29" t="s">
        <v>151</v>
      </c>
      <c r="Y39" s="29"/>
      <c r="Z39" s="30">
        <v>20.45</v>
      </c>
      <c r="AA39" s="136" t="s">
        <v>131</v>
      </c>
      <c r="AB39" s="136"/>
      <c r="AC39" s="21" t="s">
        <v>155</v>
      </c>
      <c r="AD39" s="31">
        <v>1.85</v>
      </c>
      <c r="AE39" s="32" t="s">
        <v>147</v>
      </c>
    </row>
    <row r="40" spans="1:31">
      <c r="A40" s="135">
        <v>1</v>
      </c>
      <c r="B40" s="20" t="s">
        <v>136</v>
      </c>
      <c r="C40" s="122">
        <v>38</v>
      </c>
      <c r="D40" s="21">
        <v>902</v>
      </c>
      <c r="E40" s="33">
        <v>701</v>
      </c>
      <c r="F40" s="34">
        <v>138</v>
      </c>
      <c r="G40" s="34">
        <v>902138</v>
      </c>
      <c r="H40" s="119">
        <v>33.700000000000003</v>
      </c>
      <c r="I40" s="101">
        <v>33.700000000000003</v>
      </c>
      <c r="J40" s="101"/>
      <c r="K40" s="35" t="s">
        <v>148</v>
      </c>
      <c r="L40" s="35" t="s">
        <v>148</v>
      </c>
      <c r="M40" s="23" t="s">
        <v>149</v>
      </c>
      <c r="N40" s="122" t="s">
        <v>140</v>
      </c>
      <c r="O40" s="122">
        <v>6</v>
      </c>
      <c r="P40" s="24" t="s">
        <v>189</v>
      </c>
      <c r="Q40" s="25">
        <v>26950</v>
      </c>
      <c r="R40" s="26" t="s">
        <v>142</v>
      </c>
      <c r="S40" s="27" t="s">
        <v>159</v>
      </c>
      <c r="T40" s="27" t="s">
        <v>160</v>
      </c>
      <c r="U40" s="124" t="s">
        <v>150</v>
      </c>
      <c r="V40" s="28">
        <v>3</v>
      </c>
      <c r="W40" s="29">
        <v>0</v>
      </c>
      <c r="X40" s="29" t="s">
        <v>151</v>
      </c>
      <c r="Y40" s="29"/>
      <c r="Z40" s="30">
        <v>33.700000000000003</v>
      </c>
      <c r="AA40" s="136" t="s">
        <v>131</v>
      </c>
      <c r="AB40" s="136"/>
      <c r="AC40" s="122" t="s">
        <v>146</v>
      </c>
      <c r="AD40" s="31">
        <v>1.65</v>
      </c>
      <c r="AE40" s="32" t="s">
        <v>147</v>
      </c>
    </row>
    <row r="41" spans="1:31">
      <c r="A41" s="135">
        <v>1</v>
      </c>
      <c r="B41" s="20" t="s">
        <v>136</v>
      </c>
      <c r="C41" s="122">
        <v>39</v>
      </c>
      <c r="D41" s="21">
        <v>902</v>
      </c>
      <c r="E41" s="33">
        <v>702</v>
      </c>
      <c r="F41" s="34">
        <v>139</v>
      </c>
      <c r="G41" s="34">
        <v>902139</v>
      </c>
      <c r="H41" s="119">
        <v>36.86</v>
      </c>
      <c r="I41" s="101">
        <v>36.86</v>
      </c>
      <c r="J41" s="101"/>
      <c r="K41" s="35" t="s">
        <v>148</v>
      </c>
      <c r="L41" s="35" t="s">
        <v>148</v>
      </c>
      <c r="M41" s="23" t="s">
        <v>149</v>
      </c>
      <c r="N41" s="122" t="s">
        <v>140</v>
      </c>
      <c r="O41" s="122">
        <v>6</v>
      </c>
      <c r="P41" s="24" t="s">
        <v>189</v>
      </c>
      <c r="Q41" s="25">
        <v>26950</v>
      </c>
      <c r="R41" s="26" t="s">
        <v>142</v>
      </c>
      <c r="S41" s="27" t="s">
        <v>159</v>
      </c>
      <c r="T41" s="27" t="s">
        <v>160</v>
      </c>
      <c r="U41" s="124" t="s">
        <v>150</v>
      </c>
      <c r="V41" s="28">
        <v>3</v>
      </c>
      <c r="W41" s="29">
        <v>0</v>
      </c>
      <c r="X41" s="29" t="s">
        <v>151</v>
      </c>
      <c r="Y41" s="29"/>
      <c r="Z41" s="30">
        <v>36.86</v>
      </c>
      <c r="AA41" s="136" t="s">
        <v>131</v>
      </c>
      <c r="AB41" s="136"/>
      <c r="AC41" s="122" t="s">
        <v>146</v>
      </c>
      <c r="AD41" s="31">
        <v>1.65</v>
      </c>
      <c r="AE41" s="32" t="s">
        <v>147</v>
      </c>
    </row>
    <row r="42" spans="1:31">
      <c r="A42" s="135">
        <v>1</v>
      </c>
      <c r="B42" s="20" t="s">
        <v>136</v>
      </c>
      <c r="C42" s="122">
        <v>40</v>
      </c>
      <c r="D42" s="21">
        <v>902</v>
      </c>
      <c r="E42" s="33">
        <v>703</v>
      </c>
      <c r="F42" s="34">
        <v>140</v>
      </c>
      <c r="G42" s="34">
        <v>902140</v>
      </c>
      <c r="H42" s="119">
        <v>40.97</v>
      </c>
      <c r="I42" s="101"/>
      <c r="J42" s="100">
        <v>40.97</v>
      </c>
      <c r="K42" s="22" t="s">
        <v>137</v>
      </c>
      <c r="L42" s="11" t="s">
        <v>138</v>
      </c>
      <c r="M42" s="23" t="s">
        <v>191</v>
      </c>
      <c r="N42" s="122" t="s">
        <v>150</v>
      </c>
      <c r="O42" s="122">
        <v>3</v>
      </c>
      <c r="P42" s="24" t="s">
        <v>192</v>
      </c>
      <c r="Q42" s="25">
        <v>5000</v>
      </c>
      <c r="R42" s="26" t="s">
        <v>142</v>
      </c>
      <c r="S42" s="27" t="s">
        <v>159</v>
      </c>
      <c r="T42" s="27" t="s">
        <v>160</v>
      </c>
      <c r="U42" s="124" t="s">
        <v>150</v>
      </c>
      <c r="V42" s="28">
        <v>2</v>
      </c>
      <c r="W42" s="29">
        <v>4097</v>
      </c>
      <c r="X42" s="29" t="s">
        <v>151</v>
      </c>
      <c r="Y42" s="29"/>
      <c r="Z42" s="30">
        <v>50.36</v>
      </c>
      <c r="AA42" s="136" t="s">
        <v>131</v>
      </c>
      <c r="AB42" s="136"/>
      <c r="AC42" s="21" t="s">
        <v>155</v>
      </c>
      <c r="AD42" s="31">
        <v>1.85</v>
      </c>
      <c r="AE42" s="32" t="s">
        <v>147</v>
      </c>
    </row>
    <row r="43" spans="1:31">
      <c r="A43" s="135">
        <v>1</v>
      </c>
      <c r="B43" s="20" t="s">
        <v>136</v>
      </c>
      <c r="C43" s="122">
        <v>41</v>
      </c>
      <c r="D43" s="21">
        <v>902</v>
      </c>
      <c r="E43" s="33" t="s">
        <v>193</v>
      </c>
      <c r="F43" s="34">
        <v>141</v>
      </c>
      <c r="G43" s="34">
        <v>902141</v>
      </c>
      <c r="H43" s="119">
        <v>68.27</v>
      </c>
      <c r="I43" s="101"/>
      <c r="J43" s="101">
        <v>68.27</v>
      </c>
      <c r="K43" s="125" t="s">
        <v>172</v>
      </c>
      <c r="L43" s="11" t="s">
        <v>86</v>
      </c>
      <c r="M43" s="23"/>
      <c r="N43" s="122" t="s">
        <v>140</v>
      </c>
      <c r="O43" s="122">
        <v>6</v>
      </c>
      <c r="P43" s="24" t="s">
        <v>141</v>
      </c>
      <c r="Q43" s="25">
        <v>85000</v>
      </c>
      <c r="R43" s="26" t="s">
        <v>142</v>
      </c>
      <c r="S43" s="27" t="s">
        <v>143</v>
      </c>
      <c r="T43" s="27" t="s">
        <v>144</v>
      </c>
      <c r="U43" s="124" t="s">
        <v>140</v>
      </c>
      <c r="V43" s="28">
        <v>6</v>
      </c>
      <c r="W43" s="29">
        <v>20481</v>
      </c>
      <c r="X43" s="29" t="s">
        <v>151</v>
      </c>
      <c r="Y43" s="29"/>
      <c r="Z43" s="30">
        <v>74.97</v>
      </c>
      <c r="AA43" s="136" t="s">
        <v>131</v>
      </c>
      <c r="AB43" s="136"/>
      <c r="AC43" s="21"/>
      <c r="AD43" s="31"/>
      <c r="AE43" s="32" t="s">
        <v>194</v>
      </c>
    </row>
    <row r="44" spans="1:31">
      <c r="A44" s="135">
        <v>1</v>
      </c>
      <c r="B44" s="20" t="s">
        <v>136</v>
      </c>
      <c r="C44" s="122">
        <v>42</v>
      </c>
      <c r="D44" s="21">
        <v>902</v>
      </c>
      <c r="E44" s="33" t="s">
        <v>193</v>
      </c>
      <c r="F44" s="34">
        <v>142</v>
      </c>
      <c r="G44" s="34">
        <v>902142</v>
      </c>
      <c r="H44" s="119">
        <v>9.667250000000001</v>
      </c>
      <c r="I44" s="101"/>
      <c r="J44" s="101">
        <v>9.667250000000001</v>
      </c>
      <c r="K44" s="125" t="s">
        <v>172</v>
      </c>
      <c r="L44" s="11" t="s">
        <v>86</v>
      </c>
      <c r="M44" s="23"/>
      <c r="N44" s="122" t="s">
        <v>150</v>
      </c>
      <c r="O44" s="122">
        <v>3</v>
      </c>
      <c r="P44" s="24"/>
      <c r="Q44" s="24"/>
      <c r="R44" s="26"/>
      <c r="S44" s="27"/>
      <c r="T44" s="27"/>
      <c r="U44" s="36" t="s">
        <v>150</v>
      </c>
      <c r="V44" s="28">
        <v>0</v>
      </c>
      <c r="W44" s="29">
        <v>0</v>
      </c>
      <c r="X44" s="29" t="s">
        <v>151</v>
      </c>
      <c r="Y44" s="29"/>
      <c r="Z44" s="30">
        <v>9.667250000000001</v>
      </c>
      <c r="AA44" s="136" t="s">
        <v>131</v>
      </c>
      <c r="AB44" s="136"/>
      <c r="AC44" s="21"/>
      <c r="AD44" s="31"/>
      <c r="AE44" s="32" t="s">
        <v>194</v>
      </c>
    </row>
    <row r="45" spans="1:31">
      <c r="A45" s="135">
        <v>1</v>
      </c>
      <c r="B45" s="20" t="s">
        <v>136</v>
      </c>
      <c r="C45" s="122">
        <v>43</v>
      </c>
      <c r="D45" s="21">
        <v>902</v>
      </c>
      <c r="E45" s="33" t="s">
        <v>193</v>
      </c>
      <c r="F45" s="34">
        <v>143</v>
      </c>
      <c r="G45" s="34">
        <v>902143</v>
      </c>
      <c r="H45" s="119">
        <v>25.313000000000002</v>
      </c>
      <c r="I45" s="101"/>
      <c r="J45" s="101">
        <v>25.313000000000002</v>
      </c>
      <c r="K45" s="125" t="s">
        <v>172</v>
      </c>
      <c r="L45" s="11" t="s">
        <v>86</v>
      </c>
      <c r="M45" s="23"/>
      <c r="N45" s="122" t="s">
        <v>150</v>
      </c>
      <c r="O45" s="122">
        <v>3</v>
      </c>
      <c r="P45" s="24"/>
      <c r="Q45" s="24"/>
      <c r="R45" s="26"/>
      <c r="S45" s="27"/>
      <c r="T45" s="27"/>
      <c r="U45" s="36" t="s">
        <v>150</v>
      </c>
      <c r="V45" s="28">
        <v>0</v>
      </c>
      <c r="W45" s="29">
        <v>0</v>
      </c>
      <c r="X45" s="29" t="s">
        <v>151</v>
      </c>
      <c r="Y45" s="29"/>
      <c r="Z45" s="30">
        <v>25.313000000000002</v>
      </c>
      <c r="AA45" s="136" t="s">
        <v>131</v>
      </c>
      <c r="AB45" s="136"/>
      <c r="AC45" s="21"/>
      <c r="AD45" s="31"/>
      <c r="AE45" s="32" t="s">
        <v>194</v>
      </c>
    </row>
    <row r="46" spans="1:31">
      <c r="A46" s="135">
        <v>1</v>
      </c>
      <c r="B46" s="20" t="s">
        <v>136</v>
      </c>
      <c r="C46" s="122">
        <v>44</v>
      </c>
      <c r="D46" s="21">
        <v>902</v>
      </c>
      <c r="E46" s="33" t="s">
        <v>193</v>
      </c>
      <c r="F46" s="34">
        <v>144</v>
      </c>
      <c r="G46" s="34">
        <v>902144</v>
      </c>
      <c r="H46" s="119">
        <v>12.227499999999999</v>
      </c>
      <c r="I46" s="101"/>
      <c r="J46" s="101">
        <v>12.227499999999999</v>
      </c>
      <c r="K46" s="37" t="s">
        <v>170</v>
      </c>
      <c r="L46" s="11" t="s">
        <v>86</v>
      </c>
      <c r="M46" s="23"/>
      <c r="N46" s="122" t="s">
        <v>150</v>
      </c>
      <c r="O46" s="122">
        <v>3</v>
      </c>
      <c r="P46" s="24" t="s">
        <v>195</v>
      </c>
      <c r="Q46" s="25"/>
      <c r="R46" s="26" t="s">
        <v>142</v>
      </c>
      <c r="S46" s="27" t="s">
        <v>159</v>
      </c>
      <c r="T46" s="27" t="s">
        <v>160</v>
      </c>
      <c r="U46" s="124" t="s">
        <v>150</v>
      </c>
      <c r="V46" s="28">
        <v>4</v>
      </c>
      <c r="W46" s="29">
        <v>2445.5</v>
      </c>
      <c r="X46" s="29" t="s">
        <v>151</v>
      </c>
      <c r="Y46" s="29"/>
      <c r="Z46" s="30">
        <v>12.227499999999999</v>
      </c>
      <c r="AA46" s="136" t="s">
        <v>131</v>
      </c>
      <c r="AB46" s="136"/>
      <c r="AC46" s="21"/>
      <c r="AD46" s="31"/>
      <c r="AE46" s="32" t="s">
        <v>194</v>
      </c>
    </row>
    <row r="47" spans="1:31">
      <c r="A47" s="135">
        <v>1</v>
      </c>
      <c r="B47" s="20" t="s">
        <v>136</v>
      </c>
      <c r="C47" s="122">
        <v>45</v>
      </c>
      <c r="D47" s="21">
        <v>902</v>
      </c>
      <c r="E47" s="33" t="s">
        <v>193</v>
      </c>
      <c r="F47" s="34">
        <v>145</v>
      </c>
      <c r="G47" s="34">
        <v>902145</v>
      </c>
      <c r="H47" s="119">
        <v>15.87425</v>
      </c>
      <c r="I47" s="101"/>
      <c r="J47" s="101">
        <v>15.87425</v>
      </c>
      <c r="K47" s="37" t="s">
        <v>170</v>
      </c>
      <c r="L47" s="11" t="s">
        <v>86</v>
      </c>
      <c r="M47" s="23"/>
      <c r="N47" s="122" t="s">
        <v>150</v>
      </c>
      <c r="O47" s="122">
        <v>3</v>
      </c>
      <c r="P47" s="24" t="s">
        <v>195</v>
      </c>
      <c r="Q47" s="25"/>
      <c r="R47" s="26" t="s">
        <v>142</v>
      </c>
      <c r="S47" s="27" t="s">
        <v>159</v>
      </c>
      <c r="T47" s="27" t="s">
        <v>160</v>
      </c>
      <c r="U47" s="124" t="s">
        <v>150</v>
      </c>
      <c r="V47" s="28">
        <v>4</v>
      </c>
      <c r="W47" s="29">
        <v>3174.85</v>
      </c>
      <c r="X47" s="29" t="s">
        <v>151</v>
      </c>
      <c r="Y47" s="29"/>
      <c r="Z47" s="30">
        <v>15.87425</v>
      </c>
      <c r="AA47" s="136" t="s">
        <v>131</v>
      </c>
      <c r="AB47" s="136"/>
      <c r="AC47" s="21"/>
      <c r="AD47" s="31"/>
      <c r="AE47" s="32" t="s">
        <v>194</v>
      </c>
    </row>
    <row r="48" spans="1:31">
      <c r="A48" s="135">
        <v>1</v>
      </c>
      <c r="B48" s="38" t="s">
        <v>196</v>
      </c>
      <c r="C48" s="122">
        <v>1</v>
      </c>
      <c r="D48" s="122">
        <v>906</v>
      </c>
      <c r="E48" s="33">
        <v>1037</v>
      </c>
      <c r="F48" s="34">
        <v>101</v>
      </c>
      <c r="G48" s="34">
        <v>906101</v>
      </c>
      <c r="H48" s="119">
        <v>48.89</v>
      </c>
      <c r="I48" s="101"/>
      <c r="J48" s="100">
        <v>48.89</v>
      </c>
      <c r="K48" s="22" t="s">
        <v>137</v>
      </c>
      <c r="L48" s="11" t="s">
        <v>138</v>
      </c>
      <c r="M48" s="23" t="s">
        <v>175</v>
      </c>
      <c r="N48" s="122" t="s">
        <v>140</v>
      </c>
      <c r="O48" s="122">
        <v>6</v>
      </c>
      <c r="P48" s="24" t="s">
        <v>198</v>
      </c>
      <c r="Q48" s="25">
        <v>196000</v>
      </c>
      <c r="R48" s="26" t="s">
        <v>142</v>
      </c>
      <c r="S48" s="27" t="s">
        <v>199</v>
      </c>
      <c r="T48" s="27" t="s">
        <v>164</v>
      </c>
      <c r="U48" s="124" t="s">
        <v>140</v>
      </c>
      <c r="V48" s="39">
        <v>8</v>
      </c>
      <c r="W48" s="29">
        <v>19556</v>
      </c>
      <c r="X48" s="29" t="s">
        <v>200</v>
      </c>
      <c r="Y48" s="29"/>
      <c r="Z48" s="30">
        <v>48.89</v>
      </c>
      <c r="AA48" s="136" t="s">
        <v>201</v>
      </c>
      <c r="AB48" s="136"/>
      <c r="AC48" s="21" t="s">
        <v>155</v>
      </c>
      <c r="AD48" s="31">
        <v>1.85</v>
      </c>
      <c r="AE48" s="32" t="s">
        <v>147</v>
      </c>
    </row>
    <row r="49" spans="1:31">
      <c r="A49" s="135">
        <v>1</v>
      </c>
      <c r="B49" s="38" t="s">
        <v>196</v>
      </c>
      <c r="C49" s="122">
        <v>2</v>
      </c>
      <c r="D49" s="122">
        <v>906</v>
      </c>
      <c r="E49" s="33">
        <v>912</v>
      </c>
      <c r="F49" s="34">
        <v>102</v>
      </c>
      <c r="G49" s="34">
        <v>906102</v>
      </c>
      <c r="H49" s="119">
        <v>18.91</v>
      </c>
      <c r="I49" s="101"/>
      <c r="J49" s="100">
        <v>18.91</v>
      </c>
      <c r="K49" s="22" t="s">
        <v>137</v>
      </c>
      <c r="L49" s="11" t="s">
        <v>138</v>
      </c>
      <c r="M49" s="23" t="s">
        <v>202</v>
      </c>
      <c r="N49" s="122" t="s">
        <v>140</v>
      </c>
      <c r="O49" s="122">
        <v>6</v>
      </c>
      <c r="P49" s="24" t="s">
        <v>198</v>
      </c>
      <c r="Q49" s="25">
        <v>196000</v>
      </c>
      <c r="R49" s="26" t="s">
        <v>142</v>
      </c>
      <c r="S49" s="27" t="s">
        <v>199</v>
      </c>
      <c r="T49" s="27" t="s">
        <v>164</v>
      </c>
      <c r="U49" s="124" t="s">
        <v>140</v>
      </c>
      <c r="V49" s="39">
        <v>8</v>
      </c>
      <c r="W49" s="29">
        <v>7564</v>
      </c>
      <c r="X49" s="29" t="s">
        <v>200</v>
      </c>
      <c r="Y49" s="29"/>
      <c r="Z49" s="30">
        <v>18.91</v>
      </c>
      <c r="AA49" s="136" t="s">
        <v>201</v>
      </c>
      <c r="AB49" s="136"/>
      <c r="AC49" s="21" t="s">
        <v>155</v>
      </c>
      <c r="AD49" s="31">
        <v>1.85</v>
      </c>
      <c r="AE49" s="32" t="s">
        <v>147</v>
      </c>
    </row>
    <row r="50" spans="1:31">
      <c r="A50" s="135">
        <v>1</v>
      </c>
      <c r="B50" s="38" t="s">
        <v>196</v>
      </c>
      <c r="C50" s="122">
        <v>3</v>
      </c>
      <c r="D50" s="122">
        <v>906</v>
      </c>
      <c r="E50" s="33">
        <v>914</v>
      </c>
      <c r="F50" s="34">
        <v>103</v>
      </c>
      <c r="G50" s="34">
        <v>906103</v>
      </c>
      <c r="H50" s="119">
        <v>7.57</v>
      </c>
      <c r="I50" s="101"/>
      <c r="J50" s="100">
        <v>7.57</v>
      </c>
      <c r="K50" s="22" t="s">
        <v>137</v>
      </c>
      <c r="L50" s="11" t="s">
        <v>138</v>
      </c>
      <c r="M50" s="23" t="s">
        <v>203</v>
      </c>
      <c r="N50" s="122" t="s">
        <v>140</v>
      </c>
      <c r="O50" s="122">
        <v>6</v>
      </c>
      <c r="P50" s="24" t="s">
        <v>198</v>
      </c>
      <c r="Q50" s="25">
        <v>196000</v>
      </c>
      <c r="R50" s="26" t="s">
        <v>142</v>
      </c>
      <c r="S50" s="27" t="s">
        <v>199</v>
      </c>
      <c r="T50" s="27" t="s">
        <v>164</v>
      </c>
      <c r="U50" s="124" t="s">
        <v>140</v>
      </c>
      <c r="V50" s="39">
        <v>8</v>
      </c>
      <c r="W50" s="29">
        <v>3028</v>
      </c>
      <c r="X50" s="29" t="s">
        <v>200</v>
      </c>
      <c r="Y50" s="29"/>
      <c r="Z50" s="30">
        <v>7.57</v>
      </c>
      <c r="AA50" s="136" t="s">
        <v>201</v>
      </c>
      <c r="AB50" s="136"/>
      <c r="AC50" s="21" t="s">
        <v>155</v>
      </c>
      <c r="AD50" s="31">
        <v>1.85</v>
      </c>
      <c r="AE50" s="32" t="s">
        <v>147</v>
      </c>
    </row>
    <row r="51" spans="1:31">
      <c r="A51" s="135">
        <v>1</v>
      </c>
      <c r="B51" s="38" t="s">
        <v>196</v>
      </c>
      <c r="C51" s="122">
        <v>4</v>
      </c>
      <c r="D51" s="122">
        <v>906</v>
      </c>
      <c r="E51" s="33">
        <v>911</v>
      </c>
      <c r="F51" s="34">
        <v>104</v>
      </c>
      <c r="G51" s="34">
        <v>906104</v>
      </c>
      <c r="H51" s="119">
        <v>17.55</v>
      </c>
      <c r="I51" s="101"/>
      <c r="J51" s="100">
        <v>17.55</v>
      </c>
      <c r="K51" s="22" t="s">
        <v>170</v>
      </c>
      <c r="L51" s="23" t="s">
        <v>86</v>
      </c>
      <c r="M51" s="23" t="s">
        <v>139</v>
      </c>
      <c r="N51" s="122" t="s">
        <v>140</v>
      </c>
      <c r="O51" s="122">
        <v>6</v>
      </c>
      <c r="P51" s="24" t="s">
        <v>198</v>
      </c>
      <c r="Q51" s="25">
        <v>196000</v>
      </c>
      <c r="R51" s="26" t="s">
        <v>142</v>
      </c>
      <c r="S51" s="27" t="s">
        <v>199</v>
      </c>
      <c r="T51" s="27" t="s">
        <v>164</v>
      </c>
      <c r="U51" s="124" t="s">
        <v>140</v>
      </c>
      <c r="V51" s="39">
        <v>8</v>
      </c>
      <c r="W51" s="29">
        <v>7020</v>
      </c>
      <c r="X51" s="29" t="s">
        <v>200</v>
      </c>
      <c r="Y51" s="29"/>
      <c r="Z51" s="30">
        <v>17.55</v>
      </c>
      <c r="AA51" s="136" t="s">
        <v>201</v>
      </c>
      <c r="AB51" s="136"/>
      <c r="AC51" s="21" t="s">
        <v>155</v>
      </c>
      <c r="AD51" s="31">
        <v>1.85</v>
      </c>
      <c r="AE51" s="32" t="s">
        <v>147</v>
      </c>
    </row>
    <row r="52" spans="1:31">
      <c r="A52" s="135">
        <v>1</v>
      </c>
      <c r="B52" s="38" t="s">
        <v>196</v>
      </c>
      <c r="C52" s="122">
        <v>5</v>
      </c>
      <c r="D52" s="122">
        <v>906</v>
      </c>
      <c r="E52" s="33">
        <v>901</v>
      </c>
      <c r="F52" s="34">
        <v>105</v>
      </c>
      <c r="G52" s="34">
        <v>906105</v>
      </c>
      <c r="H52" s="119">
        <v>7.3</v>
      </c>
      <c r="I52" s="101"/>
      <c r="J52" s="100">
        <v>7.3</v>
      </c>
      <c r="K52" s="22" t="s">
        <v>170</v>
      </c>
      <c r="L52" s="23" t="s">
        <v>86</v>
      </c>
      <c r="M52" s="23" t="s">
        <v>149</v>
      </c>
      <c r="N52" s="122" t="s">
        <v>140</v>
      </c>
      <c r="O52" s="122">
        <v>6</v>
      </c>
      <c r="P52" s="24" t="s">
        <v>198</v>
      </c>
      <c r="Q52" s="25">
        <v>196000</v>
      </c>
      <c r="R52" s="26" t="s">
        <v>142</v>
      </c>
      <c r="S52" s="27" t="s">
        <v>199</v>
      </c>
      <c r="T52" s="27" t="s">
        <v>164</v>
      </c>
      <c r="U52" s="124" t="s">
        <v>140</v>
      </c>
      <c r="V52" s="39">
        <v>8</v>
      </c>
      <c r="W52" s="29">
        <v>2920</v>
      </c>
      <c r="X52" s="29" t="s">
        <v>200</v>
      </c>
      <c r="Y52" s="29"/>
      <c r="Z52" s="30">
        <v>7.3</v>
      </c>
      <c r="AA52" s="136" t="s">
        <v>201</v>
      </c>
      <c r="AB52" s="136"/>
      <c r="AC52" s="122" t="s">
        <v>155</v>
      </c>
      <c r="AD52" s="31">
        <v>1.85</v>
      </c>
      <c r="AE52" s="32" t="s">
        <v>147</v>
      </c>
    </row>
    <row r="53" spans="1:31">
      <c r="A53" s="135">
        <v>1</v>
      </c>
      <c r="B53" s="38" t="s">
        <v>196</v>
      </c>
      <c r="C53" s="122">
        <v>6</v>
      </c>
      <c r="D53" s="122">
        <v>906</v>
      </c>
      <c r="E53" s="33">
        <v>904</v>
      </c>
      <c r="F53" s="34">
        <v>106</v>
      </c>
      <c r="G53" s="34">
        <v>906106</v>
      </c>
      <c r="H53" s="119">
        <v>11.19</v>
      </c>
      <c r="I53" s="101"/>
      <c r="J53" s="100">
        <v>11.19</v>
      </c>
      <c r="K53" s="22" t="s">
        <v>170</v>
      </c>
      <c r="L53" s="23" t="s">
        <v>86</v>
      </c>
      <c r="M53" s="23" t="s">
        <v>149</v>
      </c>
      <c r="N53" s="122" t="s">
        <v>140</v>
      </c>
      <c r="O53" s="122">
        <v>6</v>
      </c>
      <c r="P53" s="24" t="s">
        <v>198</v>
      </c>
      <c r="Q53" s="25">
        <v>196000</v>
      </c>
      <c r="R53" s="26" t="s">
        <v>142</v>
      </c>
      <c r="S53" s="27" t="s">
        <v>199</v>
      </c>
      <c r="T53" s="27" t="s">
        <v>164</v>
      </c>
      <c r="U53" s="124" t="s">
        <v>140</v>
      </c>
      <c r="V53" s="39">
        <v>8</v>
      </c>
      <c r="W53" s="29">
        <v>4476</v>
      </c>
      <c r="X53" s="29" t="s">
        <v>200</v>
      </c>
      <c r="Y53" s="29"/>
      <c r="Z53" s="30">
        <v>11.19</v>
      </c>
      <c r="AA53" s="136" t="s">
        <v>201</v>
      </c>
      <c r="AB53" s="136"/>
      <c r="AC53" s="122" t="s">
        <v>155</v>
      </c>
      <c r="AD53" s="32">
        <v>1.85</v>
      </c>
      <c r="AE53" s="32" t="s">
        <v>147</v>
      </c>
    </row>
    <row r="54" spans="1:31">
      <c r="A54" s="135">
        <v>1</v>
      </c>
      <c r="B54" s="38" t="s">
        <v>196</v>
      </c>
      <c r="C54" s="122">
        <v>7</v>
      </c>
      <c r="D54" s="122">
        <v>906</v>
      </c>
      <c r="E54" s="33">
        <v>906</v>
      </c>
      <c r="F54" s="34">
        <v>107</v>
      </c>
      <c r="G54" s="34">
        <v>906107</v>
      </c>
      <c r="H54" s="119">
        <v>19.350000000000001</v>
      </c>
      <c r="I54" s="101"/>
      <c r="J54" s="100">
        <v>19.350000000000001</v>
      </c>
      <c r="K54" s="22" t="s">
        <v>137</v>
      </c>
      <c r="L54" s="11" t="s">
        <v>138</v>
      </c>
      <c r="M54" s="23" t="s">
        <v>139</v>
      </c>
      <c r="N54" s="122" t="s">
        <v>140</v>
      </c>
      <c r="O54" s="122">
        <v>6</v>
      </c>
      <c r="P54" s="24" t="s">
        <v>198</v>
      </c>
      <c r="Q54" s="25">
        <v>196000</v>
      </c>
      <c r="R54" s="26" t="s">
        <v>142</v>
      </c>
      <c r="S54" s="27" t="s">
        <v>199</v>
      </c>
      <c r="T54" s="27" t="s">
        <v>164</v>
      </c>
      <c r="U54" s="124" t="s">
        <v>140</v>
      </c>
      <c r="V54" s="39">
        <v>8</v>
      </c>
      <c r="W54" s="29">
        <v>7740.0000000000009</v>
      </c>
      <c r="X54" s="29" t="s">
        <v>200</v>
      </c>
      <c r="Y54" s="29"/>
      <c r="Z54" s="30">
        <v>19.350000000000001</v>
      </c>
      <c r="AA54" s="136" t="s">
        <v>201</v>
      </c>
      <c r="AB54" s="136"/>
      <c r="AC54" s="21" t="s">
        <v>155</v>
      </c>
      <c r="AD54" s="31">
        <v>1.85</v>
      </c>
      <c r="AE54" s="32" t="s">
        <v>147</v>
      </c>
    </row>
    <row r="55" spans="1:31">
      <c r="A55" s="135">
        <v>1</v>
      </c>
      <c r="B55" s="38" t="s">
        <v>196</v>
      </c>
      <c r="C55" s="122">
        <v>8</v>
      </c>
      <c r="D55" s="122">
        <v>906</v>
      </c>
      <c r="E55" s="33">
        <v>908</v>
      </c>
      <c r="F55" s="34">
        <v>108</v>
      </c>
      <c r="G55" s="34">
        <v>906108</v>
      </c>
      <c r="H55" s="119">
        <v>40.35</v>
      </c>
      <c r="I55" s="101"/>
      <c r="J55" s="100">
        <v>40.35</v>
      </c>
      <c r="K55" s="22" t="s">
        <v>137</v>
      </c>
      <c r="L55" s="11" t="s">
        <v>138</v>
      </c>
      <c r="M55" s="23" t="s">
        <v>139</v>
      </c>
      <c r="N55" s="122" t="s">
        <v>140</v>
      </c>
      <c r="O55" s="122">
        <v>6</v>
      </c>
      <c r="P55" s="24" t="s">
        <v>198</v>
      </c>
      <c r="Q55" s="25">
        <v>196000</v>
      </c>
      <c r="R55" s="26" t="s">
        <v>142</v>
      </c>
      <c r="S55" s="27" t="s">
        <v>199</v>
      </c>
      <c r="T55" s="27" t="s">
        <v>164</v>
      </c>
      <c r="U55" s="124" t="s">
        <v>140</v>
      </c>
      <c r="V55" s="39">
        <v>8</v>
      </c>
      <c r="W55" s="29">
        <v>16140</v>
      </c>
      <c r="X55" s="29" t="s">
        <v>200</v>
      </c>
      <c r="Y55" s="29"/>
      <c r="Z55" s="30">
        <v>40.35</v>
      </c>
      <c r="AA55" s="136" t="s">
        <v>201</v>
      </c>
      <c r="AB55" s="136"/>
      <c r="AC55" s="21" t="s">
        <v>155</v>
      </c>
      <c r="AD55" s="31">
        <v>1.85</v>
      </c>
      <c r="AE55" s="32" t="s">
        <v>147</v>
      </c>
    </row>
    <row r="56" spans="1:31">
      <c r="A56" s="135">
        <v>1</v>
      </c>
      <c r="B56" s="38" t="s">
        <v>196</v>
      </c>
      <c r="C56" s="122">
        <v>9</v>
      </c>
      <c r="D56" s="122">
        <v>906</v>
      </c>
      <c r="E56" s="33">
        <v>915</v>
      </c>
      <c r="F56" s="34">
        <v>109</v>
      </c>
      <c r="G56" s="34">
        <v>906109</v>
      </c>
      <c r="H56" s="119">
        <v>26.18</v>
      </c>
      <c r="I56" s="101"/>
      <c r="J56" s="100">
        <v>26.18</v>
      </c>
      <c r="K56" s="22" t="s">
        <v>137</v>
      </c>
      <c r="L56" s="11" t="s">
        <v>138</v>
      </c>
      <c r="M56" s="23" t="s">
        <v>139</v>
      </c>
      <c r="N56" s="122" t="s">
        <v>140</v>
      </c>
      <c r="O56" s="122">
        <v>6</v>
      </c>
      <c r="P56" s="24" t="s">
        <v>198</v>
      </c>
      <c r="Q56" s="25">
        <v>196000</v>
      </c>
      <c r="R56" s="26" t="s">
        <v>142</v>
      </c>
      <c r="S56" s="27" t="s">
        <v>199</v>
      </c>
      <c r="T56" s="27" t="s">
        <v>164</v>
      </c>
      <c r="U56" s="124" t="s">
        <v>140</v>
      </c>
      <c r="V56" s="39">
        <v>8</v>
      </c>
      <c r="W56" s="29">
        <v>10472</v>
      </c>
      <c r="X56" s="29" t="s">
        <v>200</v>
      </c>
      <c r="Y56" s="29"/>
      <c r="Z56" s="30">
        <v>26.18</v>
      </c>
      <c r="AA56" s="136" t="s">
        <v>201</v>
      </c>
      <c r="AB56" s="136"/>
      <c r="AC56" s="21" t="s">
        <v>155</v>
      </c>
      <c r="AD56" s="31">
        <v>1.85</v>
      </c>
      <c r="AE56" s="32" t="s">
        <v>147</v>
      </c>
    </row>
    <row r="57" spans="1:31">
      <c r="A57" s="135">
        <v>1</v>
      </c>
      <c r="B57" s="38" t="s">
        <v>196</v>
      </c>
      <c r="C57" s="122">
        <v>10</v>
      </c>
      <c r="D57" s="122">
        <v>906</v>
      </c>
      <c r="E57" s="33">
        <v>917</v>
      </c>
      <c r="F57" s="34">
        <v>110</v>
      </c>
      <c r="G57" s="34">
        <v>906110</v>
      </c>
      <c r="H57" s="119">
        <v>34.299999999999997</v>
      </c>
      <c r="I57" s="103">
        <v>34.299999999999997</v>
      </c>
      <c r="J57" s="100"/>
      <c r="K57" s="22" t="s">
        <v>148</v>
      </c>
      <c r="L57" s="11" t="s">
        <v>148</v>
      </c>
      <c r="M57" s="23" t="s">
        <v>139</v>
      </c>
      <c r="N57" s="122" t="s">
        <v>140</v>
      </c>
      <c r="O57" s="122">
        <v>6</v>
      </c>
      <c r="P57" s="24" t="s">
        <v>198</v>
      </c>
      <c r="Q57" s="25">
        <v>196000</v>
      </c>
      <c r="R57" s="26" t="s">
        <v>142</v>
      </c>
      <c r="S57" s="27" t="s">
        <v>199</v>
      </c>
      <c r="T57" s="27" t="s">
        <v>164</v>
      </c>
      <c r="U57" s="124" t="s">
        <v>140</v>
      </c>
      <c r="V57" s="39">
        <v>8</v>
      </c>
      <c r="W57" s="29">
        <v>0</v>
      </c>
      <c r="X57" s="29" t="s">
        <v>200</v>
      </c>
      <c r="Y57" s="29"/>
      <c r="Z57" s="30">
        <v>34.299999999999997</v>
      </c>
      <c r="AA57" s="136" t="s">
        <v>201</v>
      </c>
      <c r="AB57" s="136"/>
      <c r="AC57" s="21" t="s">
        <v>155</v>
      </c>
      <c r="AD57" s="31">
        <v>1.85</v>
      </c>
      <c r="AE57" s="32" t="s">
        <v>147</v>
      </c>
    </row>
    <row r="58" spans="1:31">
      <c r="A58" s="135">
        <v>1</v>
      </c>
      <c r="B58" s="38" t="s">
        <v>196</v>
      </c>
      <c r="C58" s="122">
        <v>11</v>
      </c>
      <c r="D58" s="122">
        <v>906</v>
      </c>
      <c r="E58" s="33">
        <v>919</v>
      </c>
      <c r="F58" s="34">
        <v>111</v>
      </c>
      <c r="G58" s="34">
        <v>906111</v>
      </c>
      <c r="H58" s="119">
        <v>15.16</v>
      </c>
      <c r="I58" s="101"/>
      <c r="J58" s="100">
        <v>15.16</v>
      </c>
      <c r="K58" s="125" t="s">
        <v>172</v>
      </c>
      <c r="L58" s="11" t="s">
        <v>86</v>
      </c>
      <c r="M58" s="23" t="s">
        <v>178</v>
      </c>
      <c r="N58" s="122" t="s">
        <v>140</v>
      </c>
      <c r="O58" s="122">
        <v>6</v>
      </c>
      <c r="P58" s="24" t="s">
        <v>204</v>
      </c>
      <c r="Q58" s="25">
        <v>650000</v>
      </c>
      <c r="R58" s="26" t="s">
        <v>205</v>
      </c>
      <c r="S58" s="27" t="s">
        <v>206</v>
      </c>
      <c r="T58" s="27" t="s">
        <v>164</v>
      </c>
      <c r="U58" s="124" t="s">
        <v>140</v>
      </c>
      <c r="V58" s="39">
        <v>13</v>
      </c>
      <c r="W58" s="29">
        <v>9854</v>
      </c>
      <c r="X58" s="29" t="s">
        <v>207</v>
      </c>
      <c r="Y58" s="29"/>
      <c r="Z58" s="30">
        <v>15.16</v>
      </c>
      <c r="AA58" s="136" t="s">
        <v>201</v>
      </c>
      <c r="AB58" s="136"/>
      <c r="AC58" s="21" t="s">
        <v>155</v>
      </c>
      <c r="AD58" s="31">
        <v>1.85</v>
      </c>
      <c r="AE58" s="32" t="s">
        <v>147</v>
      </c>
    </row>
    <row r="59" spans="1:31">
      <c r="A59" s="135">
        <v>1</v>
      </c>
      <c r="B59" s="38" t="s">
        <v>196</v>
      </c>
      <c r="C59" s="122">
        <v>12</v>
      </c>
      <c r="D59" s="122">
        <v>906</v>
      </c>
      <c r="E59" s="33">
        <v>920</v>
      </c>
      <c r="F59" s="34">
        <v>112</v>
      </c>
      <c r="G59" s="34">
        <v>906112</v>
      </c>
      <c r="H59" s="119">
        <v>7.46</v>
      </c>
      <c r="I59" s="101"/>
      <c r="J59" s="100">
        <v>7.46</v>
      </c>
      <c r="K59" s="125" t="s">
        <v>172</v>
      </c>
      <c r="L59" s="11" t="s">
        <v>86</v>
      </c>
      <c r="M59" s="23" t="s">
        <v>149</v>
      </c>
      <c r="N59" s="122" t="s">
        <v>140</v>
      </c>
      <c r="O59" s="122">
        <v>6</v>
      </c>
      <c r="P59" s="24" t="s">
        <v>204</v>
      </c>
      <c r="Q59" s="25">
        <v>650000</v>
      </c>
      <c r="R59" s="26" t="s">
        <v>205</v>
      </c>
      <c r="S59" s="27" t="s">
        <v>206</v>
      </c>
      <c r="T59" s="27" t="s">
        <v>164</v>
      </c>
      <c r="U59" s="124" t="s">
        <v>140</v>
      </c>
      <c r="V59" s="39">
        <v>13</v>
      </c>
      <c r="W59" s="29">
        <v>4849</v>
      </c>
      <c r="X59" s="29" t="s">
        <v>207</v>
      </c>
      <c r="Y59" s="29"/>
      <c r="Z59" s="30">
        <v>7.46</v>
      </c>
      <c r="AA59" s="136" t="s">
        <v>201</v>
      </c>
      <c r="AB59" s="136"/>
      <c r="AC59" s="21" t="s">
        <v>155</v>
      </c>
      <c r="AD59" s="31">
        <v>1.85</v>
      </c>
      <c r="AE59" s="32" t="s">
        <v>147</v>
      </c>
    </row>
    <row r="60" spans="1:31">
      <c r="A60" s="135">
        <v>1</v>
      </c>
      <c r="B60" s="38" t="s">
        <v>196</v>
      </c>
      <c r="C60" s="122">
        <v>13</v>
      </c>
      <c r="D60" s="122">
        <v>906</v>
      </c>
      <c r="E60" s="33">
        <v>923</v>
      </c>
      <c r="F60" s="34">
        <v>113</v>
      </c>
      <c r="G60" s="34">
        <v>906113</v>
      </c>
      <c r="H60" s="119">
        <v>13.77</v>
      </c>
      <c r="I60" s="101"/>
      <c r="J60" s="100">
        <v>13.77</v>
      </c>
      <c r="K60" s="125" t="s">
        <v>172</v>
      </c>
      <c r="L60" s="11" t="s">
        <v>86</v>
      </c>
      <c r="M60" s="23" t="s">
        <v>178</v>
      </c>
      <c r="N60" s="122" t="s">
        <v>140</v>
      </c>
      <c r="O60" s="122">
        <v>6</v>
      </c>
      <c r="P60" s="24" t="s">
        <v>204</v>
      </c>
      <c r="Q60" s="25">
        <v>650000</v>
      </c>
      <c r="R60" s="26" t="s">
        <v>205</v>
      </c>
      <c r="S60" s="27" t="s">
        <v>206</v>
      </c>
      <c r="T60" s="27" t="s">
        <v>164</v>
      </c>
      <c r="U60" s="124" t="s">
        <v>140</v>
      </c>
      <c r="V60" s="39">
        <v>13</v>
      </c>
      <c r="W60" s="29">
        <v>8950.5</v>
      </c>
      <c r="X60" s="29" t="s">
        <v>207</v>
      </c>
      <c r="Y60" s="29"/>
      <c r="Z60" s="30">
        <v>13.77</v>
      </c>
      <c r="AA60" s="136" t="s">
        <v>201</v>
      </c>
      <c r="AB60" s="136"/>
      <c r="AC60" s="122" t="s">
        <v>155</v>
      </c>
      <c r="AD60" s="31">
        <v>1.85</v>
      </c>
      <c r="AE60" s="32" t="s">
        <v>147</v>
      </c>
    </row>
    <row r="61" spans="1:31">
      <c r="A61" s="135">
        <v>1</v>
      </c>
      <c r="B61" s="38" t="s">
        <v>196</v>
      </c>
      <c r="C61" s="122">
        <v>12</v>
      </c>
      <c r="D61" s="122">
        <v>906</v>
      </c>
      <c r="E61" s="33">
        <v>922</v>
      </c>
      <c r="F61" s="34">
        <v>114</v>
      </c>
      <c r="G61" s="34">
        <v>906114</v>
      </c>
      <c r="H61" s="119">
        <v>10.36</v>
      </c>
      <c r="I61" s="101"/>
      <c r="J61" s="100">
        <v>10.36</v>
      </c>
      <c r="K61" s="22" t="s">
        <v>137</v>
      </c>
      <c r="L61" s="11" t="s">
        <v>138</v>
      </c>
      <c r="M61" s="23" t="s">
        <v>139</v>
      </c>
      <c r="N61" s="122" t="s">
        <v>140</v>
      </c>
      <c r="O61" s="122">
        <v>4</v>
      </c>
      <c r="P61" s="24" t="s">
        <v>204</v>
      </c>
      <c r="Q61" s="25">
        <v>650000</v>
      </c>
      <c r="R61" s="26" t="s">
        <v>205</v>
      </c>
      <c r="S61" s="27" t="s">
        <v>206</v>
      </c>
      <c r="T61" s="27" t="s">
        <v>164</v>
      </c>
      <c r="U61" s="124" t="s">
        <v>140</v>
      </c>
      <c r="V61" s="39">
        <v>13</v>
      </c>
      <c r="W61" s="29">
        <v>6734</v>
      </c>
      <c r="X61" s="29" t="s">
        <v>207</v>
      </c>
      <c r="Y61" s="29"/>
      <c r="Z61" s="30">
        <v>10.36</v>
      </c>
      <c r="AA61" s="136" t="s">
        <v>201</v>
      </c>
      <c r="AB61" s="136"/>
      <c r="AC61" s="21" t="s">
        <v>155</v>
      </c>
      <c r="AD61" s="31">
        <v>1.85</v>
      </c>
      <c r="AE61" s="32" t="s">
        <v>147</v>
      </c>
    </row>
    <row r="62" spans="1:31">
      <c r="A62" s="135">
        <v>1</v>
      </c>
      <c r="B62" s="38" t="s">
        <v>196</v>
      </c>
      <c r="C62" s="122">
        <v>13</v>
      </c>
      <c r="D62" s="122">
        <v>906</v>
      </c>
      <c r="E62" s="33">
        <v>921</v>
      </c>
      <c r="F62" s="34">
        <v>115</v>
      </c>
      <c r="G62" s="34">
        <v>906115</v>
      </c>
      <c r="H62" s="119">
        <v>46.03</v>
      </c>
      <c r="I62" s="101"/>
      <c r="J62" s="100">
        <v>46.03</v>
      </c>
      <c r="K62" s="22" t="s">
        <v>161</v>
      </c>
      <c r="L62" s="23" t="s">
        <v>138</v>
      </c>
      <c r="M62" s="23" t="s">
        <v>208</v>
      </c>
      <c r="N62" s="122" t="s">
        <v>140</v>
      </c>
      <c r="O62" s="122">
        <v>6</v>
      </c>
      <c r="P62" s="24" t="s">
        <v>204</v>
      </c>
      <c r="Q62" s="25">
        <v>650000</v>
      </c>
      <c r="R62" s="26" t="s">
        <v>205</v>
      </c>
      <c r="S62" s="27" t="s">
        <v>206</v>
      </c>
      <c r="T62" s="27" t="s">
        <v>164</v>
      </c>
      <c r="U62" s="124" t="s">
        <v>140</v>
      </c>
      <c r="V62" s="39">
        <v>13</v>
      </c>
      <c r="W62" s="29">
        <v>29919.5</v>
      </c>
      <c r="X62" s="29" t="s">
        <v>207</v>
      </c>
      <c r="Y62" s="29"/>
      <c r="Z62" s="30">
        <v>46.03</v>
      </c>
      <c r="AA62" s="136" t="s">
        <v>201</v>
      </c>
      <c r="AB62" s="136"/>
      <c r="AC62" s="122" t="s">
        <v>155</v>
      </c>
      <c r="AD62" s="31">
        <v>1.85</v>
      </c>
      <c r="AE62" s="32" t="s">
        <v>147</v>
      </c>
    </row>
    <row r="63" spans="1:31">
      <c r="A63" s="135">
        <v>1</v>
      </c>
      <c r="B63" s="38" t="s">
        <v>196</v>
      </c>
      <c r="C63" s="122">
        <v>14</v>
      </c>
      <c r="D63" s="122">
        <v>906</v>
      </c>
      <c r="E63" s="33">
        <v>1040</v>
      </c>
      <c r="F63" s="34">
        <v>116</v>
      </c>
      <c r="G63" s="34">
        <v>906116</v>
      </c>
      <c r="H63" s="119">
        <v>29.84</v>
      </c>
      <c r="I63" s="101"/>
      <c r="J63" s="101">
        <v>29.84</v>
      </c>
      <c r="K63" s="125" t="s">
        <v>170</v>
      </c>
      <c r="L63" s="11" t="s">
        <v>86</v>
      </c>
      <c r="M63" s="23" t="s">
        <v>149</v>
      </c>
      <c r="N63" s="122" t="s">
        <v>140</v>
      </c>
      <c r="O63" s="122">
        <v>6</v>
      </c>
      <c r="P63" s="24" t="s">
        <v>204</v>
      </c>
      <c r="Q63" s="25">
        <v>650000</v>
      </c>
      <c r="R63" s="26" t="s">
        <v>205</v>
      </c>
      <c r="S63" s="27" t="s">
        <v>206</v>
      </c>
      <c r="T63" s="27" t="s">
        <v>164</v>
      </c>
      <c r="U63" s="124" t="s">
        <v>140</v>
      </c>
      <c r="V63" s="39">
        <v>13</v>
      </c>
      <c r="W63" s="29">
        <v>19396</v>
      </c>
      <c r="X63" s="29" t="s">
        <v>207</v>
      </c>
      <c r="Y63" s="29"/>
      <c r="Z63" s="30">
        <v>29.84</v>
      </c>
      <c r="AA63" s="136" t="s">
        <v>201</v>
      </c>
      <c r="AB63" s="136"/>
      <c r="AC63" s="122" t="s">
        <v>155</v>
      </c>
      <c r="AD63" s="31">
        <v>1.85</v>
      </c>
      <c r="AE63" s="32" t="s">
        <v>147</v>
      </c>
    </row>
    <row r="64" spans="1:31">
      <c r="A64" s="135">
        <v>1</v>
      </c>
      <c r="B64" s="38" t="s">
        <v>196</v>
      </c>
      <c r="C64" s="122">
        <v>15</v>
      </c>
      <c r="D64" s="122">
        <v>906</v>
      </c>
      <c r="E64" s="33">
        <v>926</v>
      </c>
      <c r="F64" s="34">
        <v>117</v>
      </c>
      <c r="G64" s="34">
        <v>906117</v>
      </c>
      <c r="H64" s="119">
        <v>13.01</v>
      </c>
      <c r="I64" s="101"/>
      <c r="J64" s="100">
        <v>13.01</v>
      </c>
      <c r="K64" s="22" t="s">
        <v>137</v>
      </c>
      <c r="L64" s="11" t="s">
        <v>138</v>
      </c>
      <c r="M64" s="23" t="s">
        <v>209</v>
      </c>
      <c r="N64" s="122" t="s">
        <v>140</v>
      </c>
      <c r="O64" s="122">
        <v>4</v>
      </c>
      <c r="P64" s="24" t="s">
        <v>204</v>
      </c>
      <c r="Q64" s="25">
        <v>650000</v>
      </c>
      <c r="R64" s="26" t="s">
        <v>205</v>
      </c>
      <c r="S64" s="27" t="s">
        <v>206</v>
      </c>
      <c r="T64" s="27" t="s">
        <v>164</v>
      </c>
      <c r="U64" s="124" t="s">
        <v>140</v>
      </c>
      <c r="V64" s="39">
        <v>13</v>
      </c>
      <c r="W64" s="29">
        <v>8456.5</v>
      </c>
      <c r="X64" s="29" t="s">
        <v>207</v>
      </c>
      <c r="Y64" s="29"/>
      <c r="Z64" s="30">
        <v>13.01</v>
      </c>
      <c r="AA64" s="136" t="s">
        <v>201</v>
      </c>
      <c r="AB64" s="136"/>
      <c r="AC64" s="21" t="s">
        <v>155</v>
      </c>
      <c r="AD64" s="31">
        <v>1.85</v>
      </c>
      <c r="AE64" s="32" t="s">
        <v>147</v>
      </c>
    </row>
    <row r="65" spans="1:31">
      <c r="A65" s="135">
        <v>1</v>
      </c>
      <c r="B65" s="38" t="s">
        <v>196</v>
      </c>
      <c r="C65" s="122">
        <v>16</v>
      </c>
      <c r="D65" s="122">
        <v>906</v>
      </c>
      <c r="E65" s="33" t="s">
        <v>210</v>
      </c>
      <c r="F65" s="34">
        <v>118</v>
      </c>
      <c r="G65" s="34">
        <v>906118</v>
      </c>
      <c r="H65" s="119">
        <v>22.34</v>
      </c>
      <c r="I65" s="101"/>
      <c r="J65" s="100">
        <v>22.34</v>
      </c>
      <c r="K65" s="22" t="s">
        <v>161</v>
      </c>
      <c r="L65" s="23" t="s">
        <v>138</v>
      </c>
      <c r="M65" s="23" t="s">
        <v>149</v>
      </c>
      <c r="N65" s="122" t="s">
        <v>140</v>
      </c>
      <c r="O65" s="122">
        <v>6</v>
      </c>
      <c r="P65" s="24" t="s">
        <v>204</v>
      </c>
      <c r="Q65" s="25">
        <v>650000</v>
      </c>
      <c r="R65" s="26" t="s">
        <v>205</v>
      </c>
      <c r="S65" s="27" t="s">
        <v>206</v>
      </c>
      <c r="T65" s="27" t="s">
        <v>164</v>
      </c>
      <c r="U65" s="124" t="s">
        <v>140</v>
      </c>
      <c r="V65" s="39">
        <v>13</v>
      </c>
      <c r="W65" s="29">
        <v>14521</v>
      </c>
      <c r="X65" s="29" t="s">
        <v>211</v>
      </c>
      <c r="Y65" s="29"/>
      <c r="Z65" s="30">
        <v>22.34</v>
      </c>
      <c r="AA65" s="136" t="s">
        <v>201</v>
      </c>
      <c r="AB65" s="136"/>
      <c r="AC65" s="122" t="s">
        <v>155</v>
      </c>
      <c r="AD65" s="31">
        <v>1.85</v>
      </c>
      <c r="AE65" s="32" t="s">
        <v>147</v>
      </c>
    </row>
    <row r="66" spans="1:31">
      <c r="A66" s="135">
        <v>1</v>
      </c>
      <c r="B66" s="38" t="s">
        <v>196</v>
      </c>
      <c r="C66" s="122">
        <v>17</v>
      </c>
      <c r="D66" s="122">
        <v>906</v>
      </c>
      <c r="E66" s="33" t="s">
        <v>212</v>
      </c>
      <c r="F66" s="34">
        <v>119</v>
      </c>
      <c r="G66" s="34">
        <v>906119</v>
      </c>
      <c r="H66" s="119">
        <v>27.33</v>
      </c>
      <c r="I66" s="101"/>
      <c r="J66" s="100">
        <v>27.33</v>
      </c>
      <c r="K66" s="22" t="s">
        <v>161</v>
      </c>
      <c r="L66" s="23" t="s">
        <v>138</v>
      </c>
      <c r="M66" s="23" t="s">
        <v>213</v>
      </c>
      <c r="N66" s="122" t="s">
        <v>140</v>
      </c>
      <c r="O66" s="122">
        <v>4</v>
      </c>
      <c r="P66" s="24" t="s">
        <v>204</v>
      </c>
      <c r="Q66" s="25">
        <v>650000</v>
      </c>
      <c r="R66" s="26" t="s">
        <v>205</v>
      </c>
      <c r="S66" s="27" t="s">
        <v>206</v>
      </c>
      <c r="T66" s="27" t="s">
        <v>164</v>
      </c>
      <c r="U66" s="124" t="s">
        <v>140</v>
      </c>
      <c r="V66" s="39">
        <v>13</v>
      </c>
      <c r="W66" s="29">
        <v>17764.5</v>
      </c>
      <c r="X66" s="29" t="s">
        <v>211</v>
      </c>
      <c r="Y66" s="29"/>
      <c r="Z66" s="30">
        <v>27.33</v>
      </c>
      <c r="AA66" s="136" t="s">
        <v>201</v>
      </c>
      <c r="AB66" s="136"/>
      <c r="AC66" s="122" t="s">
        <v>155</v>
      </c>
      <c r="AD66" s="31">
        <v>1.85</v>
      </c>
      <c r="AE66" s="32" t="s">
        <v>147</v>
      </c>
    </row>
    <row r="67" spans="1:31">
      <c r="A67" s="135">
        <v>1</v>
      </c>
      <c r="B67" s="38" t="s">
        <v>196</v>
      </c>
      <c r="C67" s="122">
        <v>18</v>
      </c>
      <c r="D67" s="122">
        <v>906</v>
      </c>
      <c r="E67" s="33">
        <v>924</v>
      </c>
      <c r="F67" s="34">
        <v>120</v>
      </c>
      <c r="G67" s="34">
        <v>906120</v>
      </c>
      <c r="H67" s="119">
        <v>17.46</v>
      </c>
      <c r="I67" s="103">
        <v>17.46</v>
      </c>
      <c r="J67" s="100"/>
      <c r="K67" s="125" t="s">
        <v>148</v>
      </c>
      <c r="L67" s="11" t="s">
        <v>148</v>
      </c>
      <c r="M67" s="23" t="s">
        <v>139</v>
      </c>
      <c r="N67" s="122" t="s">
        <v>140</v>
      </c>
      <c r="O67" s="122">
        <v>4</v>
      </c>
      <c r="P67" s="24" t="s">
        <v>204</v>
      </c>
      <c r="Q67" s="25">
        <v>650000</v>
      </c>
      <c r="R67" s="26" t="s">
        <v>205</v>
      </c>
      <c r="S67" s="27" t="s">
        <v>214</v>
      </c>
      <c r="T67" s="27" t="s">
        <v>164</v>
      </c>
      <c r="U67" s="124" t="s">
        <v>140</v>
      </c>
      <c r="V67" s="39">
        <v>13</v>
      </c>
      <c r="W67" s="29">
        <v>0</v>
      </c>
      <c r="X67" s="29" t="s">
        <v>211</v>
      </c>
      <c r="Y67" s="29"/>
      <c r="Z67" s="30">
        <v>17.46</v>
      </c>
      <c r="AA67" s="136" t="s">
        <v>201</v>
      </c>
      <c r="AB67" s="136"/>
      <c r="AC67" s="21" t="s">
        <v>155</v>
      </c>
      <c r="AD67" s="31">
        <v>1.85</v>
      </c>
      <c r="AE67" s="32" t="s">
        <v>147</v>
      </c>
    </row>
    <row r="68" spans="1:31">
      <c r="A68" s="135">
        <v>1</v>
      </c>
      <c r="B68" s="38" t="s">
        <v>196</v>
      </c>
      <c r="C68" s="122">
        <v>19</v>
      </c>
      <c r="D68" s="122">
        <v>906</v>
      </c>
      <c r="E68" s="33">
        <v>925</v>
      </c>
      <c r="F68" s="34">
        <v>121</v>
      </c>
      <c r="G68" s="34">
        <v>906121</v>
      </c>
      <c r="H68" s="119">
        <v>20.59</v>
      </c>
      <c r="I68" s="101"/>
      <c r="J68" s="100">
        <v>20.59</v>
      </c>
      <c r="K68" s="22" t="s">
        <v>161</v>
      </c>
      <c r="L68" s="23" t="s">
        <v>138</v>
      </c>
      <c r="M68" s="23" t="s">
        <v>213</v>
      </c>
      <c r="N68" s="122" t="s">
        <v>140</v>
      </c>
      <c r="O68" s="122">
        <v>4</v>
      </c>
      <c r="P68" s="24" t="s">
        <v>204</v>
      </c>
      <c r="Q68" s="25">
        <v>650000</v>
      </c>
      <c r="R68" s="26" t="s">
        <v>205</v>
      </c>
      <c r="S68" s="27" t="s">
        <v>214</v>
      </c>
      <c r="T68" s="27" t="s">
        <v>164</v>
      </c>
      <c r="U68" s="124" t="s">
        <v>140</v>
      </c>
      <c r="V68" s="39">
        <v>13</v>
      </c>
      <c r="W68" s="29">
        <v>13383.5</v>
      </c>
      <c r="X68" s="29" t="s">
        <v>211</v>
      </c>
      <c r="Y68" s="29"/>
      <c r="Z68" s="30">
        <v>20.59</v>
      </c>
      <c r="AA68" s="136" t="s">
        <v>201</v>
      </c>
      <c r="AB68" s="136"/>
      <c r="AC68" s="122" t="s">
        <v>155</v>
      </c>
      <c r="AD68" s="31">
        <v>1.85</v>
      </c>
      <c r="AE68" s="32" t="s">
        <v>147</v>
      </c>
    </row>
    <row r="69" spans="1:31">
      <c r="A69" s="135">
        <v>1</v>
      </c>
      <c r="B69" s="38" t="s">
        <v>196</v>
      </c>
      <c r="C69" s="122">
        <v>20</v>
      </c>
      <c r="D69" s="122">
        <v>906</v>
      </c>
      <c r="E69" s="33">
        <v>1038</v>
      </c>
      <c r="F69" s="34">
        <v>122</v>
      </c>
      <c r="G69" s="34">
        <v>906122</v>
      </c>
      <c r="H69" s="119">
        <v>4.68</v>
      </c>
      <c r="I69" s="101"/>
      <c r="J69" s="100">
        <v>4.68</v>
      </c>
      <c r="K69" s="22" t="s">
        <v>137</v>
      </c>
      <c r="L69" s="11" t="s">
        <v>138</v>
      </c>
      <c r="M69" s="23" t="s">
        <v>203</v>
      </c>
      <c r="N69" s="122" t="s">
        <v>140</v>
      </c>
      <c r="O69" s="122">
        <v>6</v>
      </c>
      <c r="P69" s="24" t="s">
        <v>204</v>
      </c>
      <c r="Q69" s="25">
        <v>650000</v>
      </c>
      <c r="R69" s="26" t="s">
        <v>205</v>
      </c>
      <c r="S69" s="27" t="s">
        <v>214</v>
      </c>
      <c r="T69" s="27" t="s">
        <v>164</v>
      </c>
      <c r="U69" s="124" t="s">
        <v>140</v>
      </c>
      <c r="V69" s="39">
        <v>13</v>
      </c>
      <c r="W69" s="29">
        <v>3042</v>
      </c>
      <c r="X69" s="29" t="s">
        <v>211</v>
      </c>
      <c r="Y69" s="29"/>
      <c r="Z69" s="30">
        <v>4.68</v>
      </c>
      <c r="AA69" s="136" t="s">
        <v>201</v>
      </c>
      <c r="AB69" s="136"/>
      <c r="AC69" s="21" t="s">
        <v>155</v>
      </c>
      <c r="AD69" s="31">
        <v>1.85</v>
      </c>
      <c r="AE69" s="32" t="s">
        <v>147</v>
      </c>
    </row>
    <row r="70" spans="1:31">
      <c r="A70" s="135">
        <v>1</v>
      </c>
      <c r="B70" s="38" t="s">
        <v>196</v>
      </c>
      <c r="C70" s="122">
        <v>21</v>
      </c>
      <c r="D70" s="122">
        <v>906</v>
      </c>
      <c r="E70" s="33">
        <v>928</v>
      </c>
      <c r="F70" s="34">
        <v>123</v>
      </c>
      <c r="G70" s="34">
        <v>906123</v>
      </c>
      <c r="H70" s="119">
        <v>51.51</v>
      </c>
      <c r="I70" s="101"/>
      <c r="J70" s="101">
        <v>51.51</v>
      </c>
      <c r="K70" s="125" t="s">
        <v>170</v>
      </c>
      <c r="L70" s="11" t="s">
        <v>86</v>
      </c>
      <c r="M70" s="23" t="s">
        <v>215</v>
      </c>
      <c r="N70" s="122" t="s">
        <v>140</v>
      </c>
      <c r="O70" s="122">
        <v>4</v>
      </c>
      <c r="P70" s="24" t="s">
        <v>204</v>
      </c>
      <c r="Q70" s="25">
        <v>650000</v>
      </c>
      <c r="R70" s="26" t="s">
        <v>205</v>
      </c>
      <c r="S70" s="27" t="s">
        <v>214</v>
      </c>
      <c r="T70" s="27" t="s">
        <v>164</v>
      </c>
      <c r="U70" s="124" t="s">
        <v>140</v>
      </c>
      <c r="V70" s="39">
        <v>13</v>
      </c>
      <c r="W70" s="29">
        <v>33481.5</v>
      </c>
      <c r="X70" s="29" t="s">
        <v>211</v>
      </c>
      <c r="Y70" s="29"/>
      <c r="Z70" s="30">
        <v>51.51</v>
      </c>
      <c r="AA70" s="136" t="s">
        <v>201</v>
      </c>
      <c r="AB70" s="136"/>
      <c r="AC70" s="122" t="s">
        <v>155</v>
      </c>
      <c r="AD70" s="31">
        <v>1.85</v>
      </c>
      <c r="AE70" s="32" t="s">
        <v>147</v>
      </c>
    </row>
    <row r="71" spans="1:31">
      <c r="A71" s="135">
        <v>1</v>
      </c>
      <c r="B71" s="38" t="s">
        <v>196</v>
      </c>
      <c r="C71" s="122">
        <v>22</v>
      </c>
      <c r="D71" s="122">
        <v>906</v>
      </c>
      <c r="E71" s="33">
        <v>929</v>
      </c>
      <c r="F71" s="34">
        <v>124</v>
      </c>
      <c r="G71" s="34">
        <v>906124</v>
      </c>
      <c r="H71" s="119">
        <v>14.04</v>
      </c>
      <c r="I71" s="101"/>
      <c r="J71" s="100">
        <v>14.04</v>
      </c>
      <c r="K71" s="22" t="s">
        <v>161</v>
      </c>
      <c r="L71" s="23" t="s">
        <v>138</v>
      </c>
      <c r="M71" s="23" t="s">
        <v>149</v>
      </c>
      <c r="N71" s="122" t="s">
        <v>140</v>
      </c>
      <c r="O71" s="122">
        <v>4</v>
      </c>
      <c r="P71" s="24" t="s">
        <v>204</v>
      </c>
      <c r="Q71" s="25">
        <v>650000</v>
      </c>
      <c r="R71" s="26" t="s">
        <v>205</v>
      </c>
      <c r="S71" s="27" t="s">
        <v>214</v>
      </c>
      <c r="T71" s="27" t="s">
        <v>164</v>
      </c>
      <c r="U71" s="124" t="s">
        <v>140</v>
      </c>
      <c r="V71" s="39">
        <v>13</v>
      </c>
      <c r="W71" s="29">
        <v>9126</v>
      </c>
      <c r="X71" s="29" t="s">
        <v>211</v>
      </c>
      <c r="Y71" s="29"/>
      <c r="Z71" s="30">
        <v>14.04</v>
      </c>
      <c r="AA71" s="136" t="s">
        <v>201</v>
      </c>
      <c r="AB71" s="136"/>
      <c r="AC71" s="122" t="s">
        <v>155</v>
      </c>
      <c r="AD71" s="31">
        <v>1.85</v>
      </c>
      <c r="AE71" s="32" t="s">
        <v>147</v>
      </c>
    </row>
    <row r="72" spans="1:31">
      <c r="A72" s="135">
        <v>1</v>
      </c>
      <c r="B72" s="38" t="s">
        <v>196</v>
      </c>
      <c r="C72" s="122">
        <v>23</v>
      </c>
      <c r="D72" s="122">
        <v>906</v>
      </c>
      <c r="E72" s="33">
        <v>938</v>
      </c>
      <c r="F72" s="34">
        <v>125</v>
      </c>
      <c r="G72" s="34">
        <v>906125</v>
      </c>
      <c r="H72" s="119">
        <v>35.409999999999997</v>
      </c>
      <c r="I72" s="101"/>
      <c r="J72" s="100">
        <v>35.409999999999997</v>
      </c>
      <c r="K72" s="22" t="s">
        <v>137</v>
      </c>
      <c r="L72" s="11" t="s">
        <v>138</v>
      </c>
      <c r="M72" s="23" t="s">
        <v>216</v>
      </c>
      <c r="N72" s="122" t="s">
        <v>140</v>
      </c>
      <c r="O72" s="122">
        <v>4</v>
      </c>
      <c r="P72" s="24" t="s">
        <v>217</v>
      </c>
      <c r="Q72" s="25">
        <v>52000</v>
      </c>
      <c r="R72" s="26" t="s">
        <v>204</v>
      </c>
      <c r="S72" s="27" t="s">
        <v>159</v>
      </c>
      <c r="T72" s="27" t="s">
        <v>160</v>
      </c>
      <c r="U72" s="124" t="s">
        <v>140</v>
      </c>
      <c r="V72" s="39">
        <v>6</v>
      </c>
      <c r="W72" s="29">
        <v>10622.999999999998</v>
      </c>
      <c r="X72" s="29" t="s">
        <v>211</v>
      </c>
      <c r="Y72" s="29"/>
      <c r="Z72" s="30">
        <v>35.409999999999997</v>
      </c>
      <c r="AA72" s="136" t="s">
        <v>201</v>
      </c>
      <c r="AB72" s="136"/>
      <c r="AC72" s="21" t="s">
        <v>155</v>
      </c>
      <c r="AD72" s="31">
        <v>1.85</v>
      </c>
      <c r="AE72" s="32" t="s">
        <v>147</v>
      </c>
    </row>
    <row r="73" spans="1:31">
      <c r="A73" s="135">
        <v>1</v>
      </c>
      <c r="B73" s="38" t="s">
        <v>196</v>
      </c>
      <c r="C73" s="122">
        <v>24</v>
      </c>
      <c r="D73" s="122">
        <v>906</v>
      </c>
      <c r="E73" s="33">
        <v>937</v>
      </c>
      <c r="F73" s="34">
        <v>126</v>
      </c>
      <c r="G73" s="34">
        <v>906126</v>
      </c>
      <c r="H73" s="119">
        <v>33.56</v>
      </c>
      <c r="I73" s="101"/>
      <c r="J73" s="100">
        <v>33.56</v>
      </c>
      <c r="K73" s="22" t="s">
        <v>137</v>
      </c>
      <c r="L73" s="11" t="s">
        <v>138</v>
      </c>
      <c r="M73" s="23" t="s">
        <v>139</v>
      </c>
      <c r="N73" s="122" t="s">
        <v>140</v>
      </c>
      <c r="O73" s="122">
        <v>4</v>
      </c>
      <c r="P73" s="24" t="s">
        <v>217</v>
      </c>
      <c r="Q73" s="25">
        <v>52000</v>
      </c>
      <c r="R73" s="26" t="s">
        <v>204</v>
      </c>
      <c r="S73" s="27" t="s">
        <v>159</v>
      </c>
      <c r="T73" s="27" t="s">
        <v>160</v>
      </c>
      <c r="U73" s="124" t="s">
        <v>140</v>
      </c>
      <c r="V73" s="39">
        <v>6</v>
      </c>
      <c r="W73" s="29">
        <v>10068</v>
      </c>
      <c r="X73" s="29" t="s">
        <v>211</v>
      </c>
      <c r="Y73" s="29"/>
      <c r="Z73" s="30">
        <v>33.56</v>
      </c>
      <c r="AA73" s="136" t="s">
        <v>201</v>
      </c>
      <c r="AB73" s="136"/>
      <c r="AC73" s="21" t="s">
        <v>155</v>
      </c>
      <c r="AD73" s="31">
        <v>1.85</v>
      </c>
      <c r="AE73" s="32" t="s">
        <v>147</v>
      </c>
    </row>
    <row r="74" spans="1:31">
      <c r="A74" s="135">
        <v>1</v>
      </c>
      <c r="B74" s="38" t="s">
        <v>196</v>
      </c>
      <c r="C74" s="122">
        <v>25</v>
      </c>
      <c r="D74" s="122">
        <v>906</v>
      </c>
      <c r="E74" s="33">
        <v>1036</v>
      </c>
      <c r="F74" s="34">
        <v>127</v>
      </c>
      <c r="G74" s="34">
        <v>906127</v>
      </c>
      <c r="H74" s="119">
        <v>13.48</v>
      </c>
      <c r="I74" s="103">
        <v>13.48</v>
      </c>
      <c r="J74" s="100"/>
      <c r="K74" s="125" t="s">
        <v>148</v>
      </c>
      <c r="L74" s="11" t="s">
        <v>148</v>
      </c>
      <c r="M74" s="23" t="s">
        <v>149</v>
      </c>
      <c r="N74" s="122" t="s">
        <v>140</v>
      </c>
      <c r="O74" s="122">
        <v>4</v>
      </c>
      <c r="P74" s="24" t="s">
        <v>217</v>
      </c>
      <c r="Q74" s="25">
        <v>52000</v>
      </c>
      <c r="R74" s="26" t="s">
        <v>204</v>
      </c>
      <c r="S74" s="27" t="s">
        <v>159</v>
      </c>
      <c r="T74" s="27" t="s">
        <v>160</v>
      </c>
      <c r="U74" s="124" t="s">
        <v>140</v>
      </c>
      <c r="V74" s="39">
        <v>6</v>
      </c>
      <c r="W74" s="29">
        <v>0</v>
      </c>
      <c r="X74" s="29" t="s">
        <v>211</v>
      </c>
      <c r="Y74" s="29"/>
      <c r="Z74" s="30">
        <v>13.48</v>
      </c>
      <c r="AA74" s="136" t="s">
        <v>201</v>
      </c>
      <c r="AB74" s="136"/>
      <c r="AC74" s="21" t="s">
        <v>155</v>
      </c>
      <c r="AD74" s="31">
        <v>1.85</v>
      </c>
      <c r="AE74" s="32" t="s">
        <v>147</v>
      </c>
    </row>
    <row r="75" spans="1:31">
      <c r="A75" s="135">
        <v>1</v>
      </c>
      <c r="B75" s="38" t="s">
        <v>196</v>
      </c>
      <c r="C75" s="122">
        <v>26</v>
      </c>
      <c r="D75" s="122">
        <v>906</v>
      </c>
      <c r="E75" s="33">
        <v>1033</v>
      </c>
      <c r="F75" s="34">
        <v>128</v>
      </c>
      <c r="G75" s="34">
        <v>906128</v>
      </c>
      <c r="H75" s="119">
        <v>47.09</v>
      </c>
      <c r="I75" s="101">
        <v>47.09</v>
      </c>
      <c r="J75" s="100"/>
      <c r="K75" s="125" t="s">
        <v>148</v>
      </c>
      <c r="L75" s="11" t="s">
        <v>148</v>
      </c>
      <c r="M75" s="23" t="s">
        <v>175</v>
      </c>
      <c r="N75" s="122" t="s">
        <v>140</v>
      </c>
      <c r="O75" s="122">
        <v>4</v>
      </c>
      <c r="P75" s="24" t="s">
        <v>218</v>
      </c>
      <c r="Q75" s="25">
        <v>48000</v>
      </c>
      <c r="R75" s="26" t="s">
        <v>204</v>
      </c>
      <c r="S75" s="27" t="s">
        <v>159</v>
      </c>
      <c r="T75" s="27" t="s">
        <v>219</v>
      </c>
      <c r="U75" s="124" t="s">
        <v>140</v>
      </c>
      <c r="V75" s="39">
        <v>6</v>
      </c>
      <c r="W75" s="124"/>
      <c r="X75" s="124"/>
      <c r="Y75" s="124"/>
      <c r="Z75" s="30"/>
      <c r="AA75" s="40"/>
      <c r="AB75" s="40"/>
      <c r="AC75" s="21" t="s">
        <v>155</v>
      </c>
      <c r="AD75" s="31">
        <v>1.85</v>
      </c>
      <c r="AE75" s="32" t="s">
        <v>147</v>
      </c>
    </row>
    <row r="76" spans="1:31">
      <c r="A76" s="135">
        <v>1</v>
      </c>
      <c r="B76" s="38" t="s">
        <v>196</v>
      </c>
      <c r="C76" s="122">
        <v>27</v>
      </c>
      <c r="D76" s="122">
        <v>906</v>
      </c>
      <c r="E76" s="33" t="s">
        <v>220</v>
      </c>
      <c r="F76" s="34">
        <v>129</v>
      </c>
      <c r="G76" s="34">
        <v>906129</v>
      </c>
      <c r="H76" s="119">
        <v>66.12</v>
      </c>
      <c r="I76" s="101">
        <v>66.12</v>
      </c>
      <c r="J76" s="100"/>
      <c r="K76" s="125" t="s">
        <v>148</v>
      </c>
      <c r="L76" s="11" t="s">
        <v>148</v>
      </c>
      <c r="M76" s="23" t="s">
        <v>149</v>
      </c>
      <c r="N76" s="122" t="s">
        <v>140</v>
      </c>
      <c r="O76" s="122">
        <v>4</v>
      </c>
      <c r="P76" s="24" t="s">
        <v>218</v>
      </c>
      <c r="Q76" s="25">
        <v>48000</v>
      </c>
      <c r="R76" s="26" t="s">
        <v>204</v>
      </c>
      <c r="S76" s="27" t="s">
        <v>159</v>
      </c>
      <c r="T76" s="27" t="s">
        <v>219</v>
      </c>
      <c r="U76" s="124" t="s">
        <v>140</v>
      </c>
      <c r="V76" s="39">
        <v>6</v>
      </c>
      <c r="W76" s="124"/>
      <c r="X76" s="124"/>
      <c r="Y76" s="124"/>
      <c r="Z76" s="30"/>
      <c r="AA76" s="40"/>
      <c r="AB76" s="40"/>
      <c r="AC76" s="21" t="s">
        <v>155</v>
      </c>
      <c r="AD76" s="31">
        <v>1.85</v>
      </c>
      <c r="AE76" s="32" t="s">
        <v>147</v>
      </c>
    </row>
    <row r="77" spans="1:31">
      <c r="A77" s="135">
        <v>1</v>
      </c>
      <c r="B77" s="38" t="s">
        <v>196</v>
      </c>
      <c r="C77" s="122">
        <v>28</v>
      </c>
      <c r="D77" s="122">
        <v>906</v>
      </c>
      <c r="E77" s="33">
        <v>1002</v>
      </c>
      <c r="F77" s="34">
        <v>130</v>
      </c>
      <c r="G77" s="34">
        <v>906130</v>
      </c>
      <c r="H77" s="119">
        <v>38.549999999999997</v>
      </c>
      <c r="I77" s="101"/>
      <c r="J77" s="100">
        <v>38.549999999999997</v>
      </c>
      <c r="K77" s="125" t="s">
        <v>172</v>
      </c>
      <c r="L77" s="11" t="s">
        <v>86</v>
      </c>
      <c r="M77" s="23" t="s">
        <v>149</v>
      </c>
      <c r="N77" s="122" t="s">
        <v>140</v>
      </c>
      <c r="O77" s="122">
        <v>4</v>
      </c>
      <c r="P77" s="24" t="s">
        <v>204</v>
      </c>
      <c r="Q77" s="25">
        <v>650000</v>
      </c>
      <c r="R77" s="26" t="s">
        <v>205</v>
      </c>
      <c r="S77" s="27" t="s">
        <v>206</v>
      </c>
      <c r="T77" s="27" t="s">
        <v>164</v>
      </c>
      <c r="U77" s="124" t="s">
        <v>140</v>
      </c>
      <c r="V77" s="39">
        <v>13</v>
      </c>
      <c r="W77" s="29">
        <v>25057.499999999996</v>
      </c>
      <c r="X77" s="124" t="s">
        <v>221</v>
      </c>
      <c r="Y77" s="124"/>
      <c r="Z77" s="30">
        <v>38.549999999999997</v>
      </c>
      <c r="AA77" s="136" t="s">
        <v>201</v>
      </c>
      <c r="AB77" s="136"/>
      <c r="AC77" s="122" t="s">
        <v>155</v>
      </c>
      <c r="AD77" s="32">
        <v>1.85</v>
      </c>
      <c r="AE77" s="32" t="s">
        <v>147</v>
      </c>
    </row>
    <row r="78" spans="1:31">
      <c r="A78" s="135">
        <v>1</v>
      </c>
      <c r="B78" s="38" t="s">
        <v>196</v>
      </c>
      <c r="C78" s="122">
        <v>29</v>
      </c>
      <c r="D78" s="122">
        <v>906</v>
      </c>
      <c r="E78" s="33">
        <v>1007</v>
      </c>
      <c r="F78" s="34">
        <v>131</v>
      </c>
      <c r="G78" s="34">
        <v>906131</v>
      </c>
      <c r="H78" s="119">
        <v>21.65</v>
      </c>
      <c r="I78" s="101"/>
      <c r="J78" s="100">
        <v>21.65</v>
      </c>
      <c r="K78" s="125" t="s">
        <v>172</v>
      </c>
      <c r="L78" s="11" t="s">
        <v>86</v>
      </c>
      <c r="M78" s="23" t="s">
        <v>149</v>
      </c>
      <c r="N78" s="122" t="s">
        <v>140</v>
      </c>
      <c r="O78" s="122">
        <v>4</v>
      </c>
      <c r="P78" s="24" t="s">
        <v>204</v>
      </c>
      <c r="Q78" s="25">
        <v>650000</v>
      </c>
      <c r="R78" s="26" t="s">
        <v>205</v>
      </c>
      <c r="S78" s="27" t="s">
        <v>206</v>
      </c>
      <c r="T78" s="27" t="s">
        <v>164</v>
      </c>
      <c r="U78" s="124" t="s">
        <v>140</v>
      </c>
      <c r="V78" s="39">
        <v>13</v>
      </c>
      <c r="W78" s="29">
        <v>14072.499999999998</v>
      </c>
      <c r="X78" s="124" t="s">
        <v>221</v>
      </c>
      <c r="Y78" s="124"/>
      <c r="Z78" s="30">
        <v>21.56</v>
      </c>
      <c r="AA78" s="136" t="s">
        <v>201</v>
      </c>
      <c r="AB78" s="136"/>
      <c r="AC78" s="21" t="s">
        <v>155</v>
      </c>
      <c r="AD78" s="31">
        <v>1.85</v>
      </c>
      <c r="AE78" s="32" t="s">
        <v>147</v>
      </c>
    </row>
    <row r="79" spans="1:31">
      <c r="A79" s="135">
        <v>1</v>
      </c>
      <c r="B79" s="38" t="s">
        <v>196</v>
      </c>
      <c r="C79" s="122">
        <v>30</v>
      </c>
      <c r="D79" s="122">
        <v>906</v>
      </c>
      <c r="E79" s="33">
        <v>1008</v>
      </c>
      <c r="F79" s="34">
        <v>132</v>
      </c>
      <c r="G79" s="34">
        <v>906132</v>
      </c>
      <c r="H79" s="119">
        <v>28.59</v>
      </c>
      <c r="I79" s="101"/>
      <c r="J79" s="100">
        <v>28.59</v>
      </c>
      <c r="K79" s="125" t="s">
        <v>172</v>
      </c>
      <c r="L79" s="11" t="s">
        <v>86</v>
      </c>
      <c r="M79" s="23" t="s">
        <v>149</v>
      </c>
      <c r="N79" s="122" t="s">
        <v>140</v>
      </c>
      <c r="O79" s="122">
        <v>4</v>
      </c>
      <c r="P79" s="24" t="s">
        <v>204</v>
      </c>
      <c r="Q79" s="25">
        <v>650000</v>
      </c>
      <c r="R79" s="26" t="s">
        <v>205</v>
      </c>
      <c r="S79" s="27" t="s">
        <v>206</v>
      </c>
      <c r="T79" s="27" t="s">
        <v>164</v>
      </c>
      <c r="U79" s="124" t="s">
        <v>140</v>
      </c>
      <c r="V79" s="39">
        <v>13</v>
      </c>
      <c r="W79" s="29">
        <v>18583.5</v>
      </c>
      <c r="X79" s="124" t="s">
        <v>221</v>
      </c>
      <c r="Y79" s="124"/>
      <c r="Z79" s="30">
        <v>28.59</v>
      </c>
      <c r="AA79" s="136" t="s">
        <v>201</v>
      </c>
      <c r="AB79" s="136"/>
      <c r="AC79" s="122" t="s">
        <v>155</v>
      </c>
      <c r="AD79" s="32">
        <v>1.85</v>
      </c>
      <c r="AE79" s="32" t="s">
        <v>147</v>
      </c>
    </row>
    <row r="80" spans="1:31">
      <c r="A80" s="135">
        <v>1</v>
      </c>
      <c r="B80" s="38" t="s">
        <v>196</v>
      </c>
      <c r="C80" s="122">
        <v>31</v>
      </c>
      <c r="D80" s="122">
        <v>906</v>
      </c>
      <c r="E80" s="33">
        <v>1001</v>
      </c>
      <c r="F80" s="34">
        <v>133</v>
      </c>
      <c r="G80" s="34">
        <v>906133</v>
      </c>
      <c r="H80" s="119">
        <v>21.88</v>
      </c>
      <c r="I80" s="101"/>
      <c r="J80" s="100">
        <v>21.88</v>
      </c>
      <c r="K80" s="125" t="s">
        <v>172</v>
      </c>
      <c r="L80" s="11" t="s">
        <v>86</v>
      </c>
      <c r="M80" s="23" t="s">
        <v>149</v>
      </c>
      <c r="N80" s="122" t="s">
        <v>140</v>
      </c>
      <c r="O80" s="122">
        <v>4</v>
      </c>
      <c r="P80" s="24" t="s">
        <v>204</v>
      </c>
      <c r="Q80" s="25">
        <v>650000</v>
      </c>
      <c r="R80" s="26" t="s">
        <v>205</v>
      </c>
      <c r="S80" s="27" t="s">
        <v>206</v>
      </c>
      <c r="T80" s="27" t="s">
        <v>164</v>
      </c>
      <c r="U80" s="124" t="s">
        <v>140</v>
      </c>
      <c r="V80" s="39">
        <v>13</v>
      </c>
      <c r="W80" s="29">
        <v>14222</v>
      </c>
      <c r="X80" s="124" t="s">
        <v>221</v>
      </c>
      <c r="Y80" s="124"/>
      <c r="Z80" s="30">
        <v>21.88</v>
      </c>
      <c r="AA80" s="136" t="s">
        <v>201</v>
      </c>
      <c r="AB80" s="136"/>
      <c r="AC80" s="21" t="s">
        <v>155</v>
      </c>
      <c r="AD80" s="31">
        <v>1.85</v>
      </c>
      <c r="AE80" s="32" t="s">
        <v>147</v>
      </c>
    </row>
    <row r="81" spans="1:31">
      <c r="A81" s="135">
        <v>1</v>
      </c>
      <c r="B81" s="38" t="s">
        <v>196</v>
      </c>
      <c r="C81" s="122">
        <v>32</v>
      </c>
      <c r="D81" s="122">
        <v>906</v>
      </c>
      <c r="E81" s="33">
        <v>1015</v>
      </c>
      <c r="F81" s="34">
        <v>134</v>
      </c>
      <c r="G81" s="34">
        <v>906134</v>
      </c>
      <c r="H81" s="119">
        <v>32.18</v>
      </c>
      <c r="I81" s="101"/>
      <c r="J81" s="100">
        <v>32.18</v>
      </c>
      <c r="K81" s="125" t="s">
        <v>172</v>
      </c>
      <c r="L81" s="11" t="s">
        <v>86</v>
      </c>
      <c r="M81" s="23" t="s">
        <v>178</v>
      </c>
      <c r="N81" s="122" t="s">
        <v>140</v>
      </c>
      <c r="O81" s="122">
        <v>4</v>
      </c>
      <c r="P81" s="24" t="s">
        <v>204</v>
      </c>
      <c r="Q81" s="25">
        <v>650000</v>
      </c>
      <c r="R81" s="26" t="s">
        <v>205</v>
      </c>
      <c r="S81" s="27" t="s">
        <v>206</v>
      </c>
      <c r="T81" s="27" t="s">
        <v>222</v>
      </c>
      <c r="U81" s="124" t="s">
        <v>140</v>
      </c>
      <c r="V81" s="39">
        <v>13</v>
      </c>
      <c r="W81" s="29">
        <v>20917</v>
      </c>
      <c r="X81" s="124" t="s">
        <v>221</v>
      </c>
      <c r="Y81" s="124"/>
      <c r="Z81" s="30">
        <v>32.18</v>
      </c>
      <c r="AA81" s="136" t="s">
        <v>201</v>
      </c>
      <c r="AB81" s="136"/>
      <c r="AC81" s="21" t="s">
        <v>155</v>
      </c>
      <c r="AD81" s="31">
        <v>1.85</v>
      </c>
      <c r="AE81" s="32" t="s">
        <v>147</v>
      </c>
    </row>
    <row r="82" spans="1:31">
      <c r="A82" s="135">
        <v>1</v>
      </c>
      <c r="B82" s="38" t="s">
        <v>196</v>
      </c>
      <c r="C82" s="122">
        <v>33</v>
      </c>
      <c r="D82" s="122">
        <v>906</v>
      </c>
      <c r="E82" s="33">
        <v>1017</v>
      </c>
      <c r="F82" s="34">
        <v>135</v>
      </c>
      <c r="G82" s="34">
        <v>906135</v>
      </c>
      <c r="H82" s="119">
        <v>18.57</v>
      </c>
      <c r="I82" s="101"/>
      <c r="J82" s="100">
        <v>18.57</v>
      </c>
      <c r="K82" s="125" t="s">
        <v>172</v>
      </c>
      <c r="L82" s="11" t="s">
        <v>86</v>
      </c>
      <c r="M82" s="23" t="s">
        <v>149</v>
      </c>
      <c r="N82" s="122" t="s">
        <v>140</v>
      </c>
      <c r="O82" s="122">
        <v>4</v>
      </c>
      <c r="P82" s="24" t="s">
        <v>204</v>
      </c>
      <c r="Q82" s="25">
        <v>650000</v>
      </c>
      <c r="R82" s="26" t="s">
        <v>205</v>
      </c>
      <c r="S82" s="27" t="s">
        <v>206</v>
      </c>
      <c r="T82" s="27" t="s">
        <v>222</v>
      </c>
      <c r="U82" s="124" t="s">
        <v>140</v>
      </c>
      <c r="V82" s="39">
        <v>13</v>
      </c>
      <c r="W82" s="29">
        <v>12070.5</v>
      </c>
      <c r="X82" s="124" t="s">
        <v>221</v>
      </c>
      <c r="Y82" s="124"/>
      <c r="Z82" s="30">
        <v>18.57</v>
      </c>
      <c r="AA82" s="136" t="s">
        <v>201</v>
      </c>
      <c r="AB82" s="136"/>
      <c r="AC82" s="122" t="s">
        <v>155</v>
      </c>
      <c r="AD82" s="32">
        <v>1.85</v>
      </c>
      <c r="AE82" s="32" t="s">
        <v>147</v>
      </c>
    </row>
    <row r="83" spans="1:31">
      <c r="A83" s="135">
        <v>1</v>
      </c>
      <c r="B83" s="38" t="s">
        <v>196</v>
      </c>
      <c r="C83" s="122">
        <v>34</v>
      </c>
      <c r="D83" s="122">
        <v>906</v>
      </c>
      <c r="E83" s="33">
        <v>1013</v>
      </c>
      <c r="F83" s="34">
        <v>136</v>
      </c>
      <c r="G83" s="34">
        <v>906136</v>
      </c>
      <c r="H83" s="119">
        <v>20.329999999999998</v>
      </c>
      <c r="I83" s="101"/>
      <c r="J83" s="100">
        <v>20.329999999999998</v>
      </c>
      <c r="K83" s="125" t="s">
        <v>172</v>
      </c>
      <c r="L83" s="11" t="s">
        <v>86</v>
      </c>
      <c r="M83" s="23" t="s">
        <v>149</v>
      </c>
      <c r="N83" s="122" t="s">
        <v>140</v>
      </c>
      <c r="O83" s="122">
        <v>4</v>
      </c>
      <c r="P83" s="24" t="s">
        <v>204</v>
      </c>
      <c r="Q83" s="25">
        <v>650000</v>
      </c>
      <c r="R83" s="26" t="s">
        <v>205</v>
      </c>
      <c r="S83" s="27" t="s">
        <v>206</v>
      </c>
      <c r="T83" s="27" t="s">
        <v>222</v>
      </c>
      <c r="U83" s="124" t="s">
        <v>140</v>
      </c>
      <c r="V83" s="39">
        <v>13</v>
      </c>
      <c r="W83" s="29">
        <v>13214.499999999998</v>
      </c>
      <c r="X83" s="124" t="s">
        <v>223</v>
      </c>
      <c r="Y83" s="124">
        <v>1</v>
      </c>
      <c r="Z83" s="30">
        <v>20.329999999999998</v>
      </c>
      <c r="AA83" s="136" t="s">
        <v>201</v>
      </c>
      <c r="AB83" s="136">
        <v>2</v>
      </c>
      <c r="AC83" s="122" t="s">
        <v>155</v>
      </c>
      <c r="AD83" s="32">
        <v>1.85</v>
      </c>
      <c r="AE83" s="32" t="s">
        <v>147</v>
      </c>
    </row>
    <row r="84" spans="1:31">
      <c r="A84" s="135">
        <v>1</v>
      </c>
      <c r="B84" s="38" t="s">
        <v>196</v>
      </c>
      <c r="C84" s="122">
        <v>35</v>
      </c>
      <c r="D84" s="122">
        <v>906</v>
      </c>
      <c r="E84" s="33">
        <v>1041</v>
      </c>
      <c r="F84" s="34">
        <v>137</v>
      </c>
      <c r="G84" s="34">
        <v>906137</v>
      </c>
      <c r="H84" s="119">
        <v>39.53</v>
      </c>
      <c r="I84" s="101"/>
      <c r="J84" s="100">
        <v>39.53</v>
      </c>
      <c r="K84" s="22" t="s">
        <v>137</v>
      </c>
      <c r="L84" s="11" t="s">
        <v>138</v>
      </c>
      <c r="M84" s="23" t="s">
        <v>203</v>
      </c>
      <c r="N84" s="122" t="s">
        <v>140</v>
      </c>
      <c r="O84" s="122">
        <v>4</v>
      </c>
      <c r="P84" s="24" t="s">
        <v>224</v>
      </c>
      <c r="Q84" s="25">
        <v>750000</v>
      </c>
      <c r="R84" s="26" t="s">
        <v>205</v>
      </c>
      <c r="S84" s="27" t="s">
        <v>159</v>
      </c>
      <c r="T84" s="27" t="s">
        <v>164</v>
      </c>
      <c r="U84" s="124" t="s">
        <v>140</v>
      </c>
      <c r="V84" s="39">
        <v>13</v>
      </c>
      <c r="W84" s="29">
        <v>25694.5</v>
      </c>
      <c r="X84" s="124" t="s">
        <v>223</v>
      </c>
      <c r="Y84" s="124"/>
      <c r="Z84" s="30">
        <v>39.53</v>
      </c>
      <c r="AA84" s="136" t="s">
        <v>201</v>
      </c>
      <c r="AB84" s="136">
        <v>2</v>
      </c>
      <c r="AC84" s="21" t="s">
        <v>155</v>
      </c>
      <c r="AD84" s="31">
        <v>1.85</v>
      </c>
      <c r="AE84" s="32" t="s">
        <v>147</v>
      </c>
    </row>
    <row r="85" spans="1:31">
      <c r="A85" s="135">
        <v>1</v>
      </c>
      <c r="B85" s="38" t="s">
        <v>196</v>
      </c>
      <c r="C85" s="122">
        <v>36</v>
      </c>
      <c r="D85" s="122">
        <v>906</v>
      </c>
      <c r="E85" s="33">
        <v>1020</v>
      </c>
      <c r="F85" s="34">
        <v>138</v>
      </c>
      <c r="G85" s="34">
        <v>906138</v>
      </c>
      <c r="H85" s="119">
        <v>33.6</v>
      </c>
      <c r="I85" s="101"/>
      <c r="J85" s="100">
        <v>33.6</v>
      </c>
      <c r="K85" s="125" t="s">
        <v>172</v>
      </c>
      <c r="L85" s="11" t="s">
        <v>86</v>
      </c>
      <c r="M85" s="23" t="s">
        <v>149</v>
      </c>
      <c r="N85" s="122" t="s">
        <v>140</v>
      </c>
      <c r="O85" s="122">
        <v>6</v>
      </c>
      <c r="P85" s="24" t="s">
        <v>225</v>
      </c>
      <c r="Q85" s="25">
        <v>183000</v>
      </c>
      <c r="R85" s="26" t="s">
        <v>142</v>
      </c>
      <c r="S85" s="27" t="s">
        <v>177</v>
      </c>
      <c r="T85" s="27" t="s">
        <v>222</v>
      </c>
      <c r="U85" s="124" t="s">
        <v>140</v>
      </c>
      <c r="V85" s="39">
        <v>11</v>
      </c>
      <c r="W85" s="29">
        <v>18480</v>
      </c>
      <c r="X85" s="29" t="s">
        <v>226</v>
      </c>
      <c r="Y85" s="29"/>
      <c r="Z85" s="30">
        <v>33.6</v>
      </c>
      <c r="AA85" s="136" t="s">
        <v>201</v>
      </c>
      <c r="AB85" s="136"/>
      <c r="AC85" s="122" t="s">
        <v>155</v>
      </c>
      <c r="AD85" s="31">
        <v>1.85</v>
      </c>
      <c r="AE85" s="32" t="s">
        <v>147</v>
      </c>
    </row>
    <row r="86" spans="1:31">
      <c r="A86" s="135">
        <v>1</v>
      </c>
      <c r="B86" s="38" t="s">
        <v>196</v>
      </c>
      <c r="C86" s="122">
        <v>37</v>
      </c>
      <c r="D86" s="122">
        <v>906</v>
      </c>
      <c r="E86" s="33">
        <v>1019</v>
      </c>
      <c r="F86" s="34">
        <v>139</v>
      </c>
      <c r="G86" s="34">
        <v>906139</v>
      </c>
      <c r="H86" s="119">
        <v>19.510000000000002</v>
      </c>
      <c r="I86" s="101"/>
      <c r="J86" s="100">
        <v>19.510000000000002</v>
      </c>
      <c r="K86" s="125" t="s">
        <v>172</v>
      </c>
      <c r="L86" s="11" t="s">
        <v>86</v>
      </c>
      <c r="M86" s="23" t="s">
        <v>149</v>
      </c>
      <c r="N86" s="122" t="s">
        <v>140</v>
      </c>
      <c r="O86" s="122">
        <v>6</v>
      </c>
      <c r="P86" s="24" t="s">
        <v>225</v>
      </c>
      <c r="Q86" s="25">
        <v>183000</v>
      </c>
      <c r="R86" s="26" t="s">
        <v>142</v>
      </c>
      <c r="S86" s="27" t="s">
        <v>177</v>
      </c>
      <c r="T86" s="27" t="s">
        <v>222</v>
      </c>
      <c r="U86" s="124" t="s">
        <v>140</v>
      </c>
      <c r="V86" s="39">
        <v>11</v>
      </c>
      <c r="W86" s="29">
        <v>10730.5</v>
      </c>
      <c r="X86" s="29" t="s">
        <v>226</v>
      </c>
      <c r="Y86" s="29"/>
      <c r="Z86" s="30">
        <v>19.510000000000002</v>
      </c>
      <c r="AA86" s="136" t="s">
        <v>201</v>
      </c>
      <c r="AB86" s="136"/>
      <c r="AC86" s="21" t="s">
        <v>155</v>
      </c>
      <c r="AD86" s="31">
        <v>1.85</v>
      </c>
      <c r="AE86" s="32" t="s">
        <v>147</v>
      </c>
    </row>
    <row r="87" spans="1:31">
      <c r="A87" s="135">
        <v>1</v>
      </c>
      <c r="B87" s="38" t="s">
        <v>196</v>
      </c>
      <c r="C87" s="122">
        <v>38</v>
      </c>
      <c r="D87" s="122">
        <v>906</v>
      </c>
      <c r="E87" s="33">
        <v>1014</v>
      </c>
      <c r="F87" s="34">
        <v>140</v>
      </c>
      <c r="G87" s="34">
        <v>906140</v>
      </c>
      <c r="H87" s="119">
        <v>37.54</v>
      </c>
      <c r="I87" s="101"/>
      <c r="J87" s="100">
        <v>37.54</v>
      </c>
      <c r="K87" s="125" t="s">
        <v>172</v>
      </c>
      <c r="L87" s="11" t="s">
        <v>86</v>
      </c>
      <c r="M87" s="23" t="s">
        <v>149</v>
      </c>
      <c r="N87" s="122" t="s">
        <v>140</v>
      </c>
      <c r="O87" s="122">
        <v>6</v>
      </c>
      <c r="P87" s="24" t="s">
        <v>225</v>
      </c>
      <c r="Q87" s="25">
        <v>183000</v>
      </c>
      <c r="R87" s="26" t="s">
        <v>142</v>
      </c>
      <c r="S87" s="27" t="s">
        <v>177</v>
      </c>
      <c r="T87" s="27" t="s">
        <v>222</v>
      </c>
      <c r="U87" s="124" t="s">
        <v>140</v>
      </c>
      <c r="V87" s="39">
        <v>11</v>
      </c>
      <c r="W87" s="29">
        <v>20647</v>
      </c>
      <c r="X87" s="124" t="s">
        <v>223</v>
      </c>
      <c r="Y87" s="124"/>
      <c r="Z87" s="30">
        <v>37.54</v>
      </c>
      <c r="AA87" s="136" t="s">
        <v>201</v>
      </c>
      <c r="AB87" s="136">
        <v>2</v>
      </c>
      <c r="AC87" s="21" t="s">
        <v>155</v>
      </c>
      <c r="AD87" s="31">
        <v>1.85</v>
      </c>
      <c r="AE87" s="32" t="s">
        <v>147</v>
      </c>
    </row>
    <row r="88" spans="1:31">
      <c r="A88" s="135">
        <v>1</v>
      </c>
      <c r="B88" s="38" t="s">
        <v>196</v>
      </c>
      <c r="C88" s="122">
        <v>39</v>
      </c>
      <c r="D88" s="122">
        <v>906</v>
      </c>
      <c r="E88" s="33">
        <v>1018</v>
      </c>
      <c r="F88" s="34">
        <v>141</v>
      </c>
      <c r="G88" s="34">
        <v>906141</v>
      </c>
      <c r="H88" s="119">
        <v>17.63</v>
      </c>
      <c r="I88" s="101">
        <v>17.63</v>
      </c>
      <c r="J88" s="100"/>
      <c r="K88" s="125" t="s">
        <v>148</v>
      </c>
      <c r="L88" s="11" t="s">
        <v>148</v>
      </c>
      <c r="M88" s="23" t="s">
        <v>203</v>
      </c>
      <c r="N88" s="122" t="s">
        <v>140</v>
      </c>
      <c r="O88" s="122">
        <v>4</v>
      </c>
      <c r="P88" s="24" t="s">
        <v>224</v>
      </c>
      <c r="Q88" s="25">
        <v>750000</v>
      </c>
      <c r="R88" s="26" t="s">
        <v>205</v>
      </c>
      <c r="S88" s="27" t="s">
        <v>159</v>
      </c>
      <c r="T88" s="27" t="s">
        <v>164</v>
      </c>
      <c r="U88" s="124" t="s">
        <v>140</v>
      </c>
      <c r="V88" s="39">
        <v>13</v>
      </c>
      <c r="W88" s="29">
        <v>0</v>
      </c>
      <c r="X88" s="124" t="s">
        <v>223</v>
      </c>
      <c r="Y88" s="124"/>
      <c r="Z88" s="30">
        <v>17.63</v>
      </c>
      <c r="AA88" s="136" t="s">
        <v>201</v>
      </c>
      <c r="AB88" s="136">
        <v>2</v>
      </c>
      <c r="AC88" s="21" t="s">
        <v>155</v>
      </c>
      <c r="AD88" s="31">
        <v>1.85</v>
      </c>
      <c r="AE88" s="32" t="s">
        <v>147</v>
      </c>
    </row>
    <row r="89" spans="1:31">
      <c r="A89" s="135">
        <v>1</v>
      </c>
      <c r="B89" s="38" t="s">
        <v>196</v>
      </c>
      <c r="C89" s="122">
        <v>40</v>
      </c>
      <c r="D89" s="122">
        <v>906</v>
      </c>
      <c r="E89" s="33">
        <v>1022</v>
      </c>
      <c r="F89" s="34">
        <v>142</v>
      </c>
      <c r="G89" s="34">
        <v>906142</v>
      </c>
      <c r="H89" s="119">
        <v>13.79</v>
      </c>
      <c r="I89" s="101"/>
      <c r="J89" s="100">
        <v>13.79</v>
      </c>
      <c r="K89" s="125" t="s">
        <v>172</v>
      </c>
      <c r="L89" s="11" t="s">
        <v>86</v>
      </c>
      <c r="M89" s="23" t="s">
        <v>165</v>
      </c>
      <c r="N89" s="122" t="s">
        <v>140</v>
      </c>
      <c r="O89" s="122">
        <v>6</v>
      </c>
      <c r="P89" s="24" t="s">
        <v>225</v>
      </c>
      <c r="Q89" s="25">
        <v>183000</v>
      </c>
      <c r="R89" s="26" t="s">
        <v>142</v>
      </c>
      <c r="S89" s="27" t="s">
        <v>177</v>
      </c>
      <c r="T89" s="27" t="s">
        <v>164</v>
      </c>
      <c r="U89" s="124" t="s">
        <v>140</v>
      </c>
      <c r="V89" s="39">
        <v>11</v>
      </c>
      <c r="W89" s="29">
        <v>7584.4999999999991</v>
      </c>
      <c r="X89" s="29" t="s">
        <v>226</v>
      </c>
      <c r="Y89" s="29"/>
      <c r="Z89" s="30">
        <v>13.79</v>
      </c>
      <c r="AA89" s="136" t="s">
        <v>201</v>
      </c>
      <c r="AB89" s="136"/>
      <c r="AC89" s="122" t="s">
        <v>155</v>
      </c>
      <c r="AD89" s="32">
        <v>1.85</v>
      </c>
      <c r="AE89" s="32" t="s">
        <v>147</v>
      </c>
    </row>
    <row r="90" spans="1:31">
      <c r="A90" s="135">
        <v>1</v>
      </c>
      <c r="B90" s="38" t="s">
        <v>196</v>
      </c>
      <c r="C90" s="122">
        <v>41</v>
      </c>
      <c r="D90" s="122">
        <v>906</v>
      </c>
      <c r="E90" s="33">
        <v>1028</v>
      </c>
      <c r="F90" s="34">
        <v>143</v>
      </c>
      <c r="G90" s="34">
        <v>906143</v>
      </c>
      <c r="H90" s="119">
        <v>15.78</v>
      </c>
      <c r="I90" s="101"/>
      <c r="J90" s="100">
        <v>15.78</v>
      </c>
      <c r="K90" s="125" t="s">
        <v>172</v>
      </c>
      <c r="L90" s="11" t="s">
        <v>86</v>
      </c>
      <c r="M90" s="23" t="s">
        <v>149</v>
      </c>
      <c r="N90" s="122" t="s">
        <v>140</v>
      </c>
      <c r="O90" s="122">
        <v>6</v>
      </c>
      <c r="P90" s="24" t="s">
        <v>225</v>
      </c>
      <c r="Q90" s="25">
        <v>183000</v>
      </c>
      <c r="R90" s="26" t="s">
        <v>142</v>
      </c>
      <c r="S90" s="27" t="s">
        <v>177</v>
      </c>
      <c r="T90" s="27" t="s">
        <v>164</v>
      </c>
      <c r="U90" s="124" t="s">
        <v>140</v>
      </c>
      <c r="V90" s="39">
        <v>11</v>
      </c>
      <c r="W90" s="29">
        <v>8679</v>
      </c>
      <c r="X90" s="29" t="s">
        <v>226</v>
      </c>
      <c r="Y90" s="29"/>
      <c r="Z90" s="30">
        <v>15.78</v>
      </c>
      <c r="AA90" s="136" t="s">
        <v>201</v>
      </c>
      <c r="AB90" s="136"/>
      <c r="AC90" s="21" t="s">
        <v>155</v>
      </c>
      <c r="AD90" s="31">
        <v>1.85</v>
      </c>
      <c r="AE90" s="32" t="s">
        <v>147</v>
      </c>
    </row>
    <row r="91" spans="1:31">
      <c r="A91" s="135">
        <v>1</v>
      </c>
      <c r="B91" s="38" t="s">
        <v>196</v>
      </c>
      <c r="C91" s="122">
        <v>40</v>
      </c>
      <c r="D91" s="122">
        <v>906</v>
      </c>
      <c r="E91" s="33">
        <v>1042</v>
      </c>
      <c r="F91" s="34">
        <v>144</v>
      </c>
      <c r="G91" s="34">
        <v>906144</v>
      </c>
      <c r="H91" s="119">
        <v>57.22</v>
      </c>
      <c r="I91" s="101"/>
      <c r="J91" s="100">
        <v>57.22</v>
      </c>
      <c r="K91" s="22" t="s">
        <v>137</v>
      </c>
      <c r="L91" s="11" t="s">
        <v>138</v>
      </c>
      <c r="M91" s="23" t="s">
        <v>227</v>
      </c>
      <c r="N91" s="122" t="s">
        <v>150</v>
      </c>
      <c r="O91" s="122">
        <v>3</v>
      </c>
      <c r="P91" s="24" t="s">
        <v>228</v>
      </c>
      <c r="Q91" s="25"/>
      <c r="R91" s="26" t="s">
        <v>229</v>
      </c>
      <c r="S91" s="27" t="s">
        <v>206</v>
      </c>
      <c r="T91" s="27" t="s">
        <v>222</v>
      </c>
      <c r="U91" s="124" t="s">
        <v>140</v>
      </c>
      <c r="V91" s="39">
        <v>15</v>
      </c>
      <c r="W91" s="29">
        <v>42915</v>
      </c>
      <c r="X91" s="29" t="s">
        <v>226</v>
      </c>
      <c r="Y91" s="29"/>
      <c r="Z91" s="30">
        <v>57.22</v>
      </c>
      <c r="AA91" s="136" t="s">
        <v>201</v>
      </c>
      <c r="AB91" s="136"/>
      <c r="AC91" s="21" t="s">
        <v>155</v>
      </c>
      <c r="AD91" s="31">
        <v>1.85</v>
      </c>
      <c r="AE91" s="32" t="s">
        <v>194</v>
      </c>
    </row>
    <row r="92" spans="1:31">
      <c r="A92" s="135">
        <v>1</v>
      </c>
      <c r="B92" s="38" t="s">
        <v>196</v>
      </c>
      <c r="C92" s="122">
        <v>41</v>
      </c>
      <c r="D92" s="122">
        <v>906</v>
      </c>
      <c r="E92" s="33">
        <v>1043</v>
      </c>
      <c r="F92" s="34">
        <v>145</v>
      </c>
      <c r="G92" s="34">
        <v>906145</v>
      </c>
      <c r="H92" s="119">
        <v>51.99</v>
      </c>
      <c r="I92" s="101"/>
      <c r="J92" s="100">
        <v>51.99</v>
      </c>
      <c r="K92" s="22" t="s">
        <v>137</v>
      </c>
      <c r="L92" s="11" t="s">
        <v>138</v>
      </c>
      <c r="M92" s="23" t="s">
        <v>230</v>
      </c>
      <c r="N92" s="122" t="s">
        <v>150</v>
      </c>
      <c r="O92" s="122">
        <v>3</v>
      </c>
      <c r="P92" s="24" t="s">
        <v>228</v>
      </c>
      <c r="Q92" s="25"/>
      <c r="R92" s="26" t="s">
        <v>229</v>
      </c>
      <c r="S92" s="27" t="s">
        <v>206</v>
      </c>
      <c r="T92" s="27" t="s">
        <v>222</v>
      </c>
      <c r="U92" s="124" t="s">
        <v>140</v>
      </c>
      <c r="V92" s="39">
        <v>15</v>
      </c>
      <c r="W92" s="29">
        <v>38992.5</v>
      </c>
      <c r="X92" s="29" t="s">
        <v>231</v>
      </c>
      <c r="Y92" s="29"/>
      <c r="Z92" s="30">
        <v>60.49</v>
      </c>
      <c r="AA92" s="136" t="s">
        <v>131</v>
      </c>
      <c r="AB92" s="136"/>
      <c r="AC92" s="21" t="s">
        <v>155</v>
      </c>
      <c r="AD92" s="31">
        <v>1.85</v>
      </c>
      <c r="AE92" s="32" t="s">
        <v>194</v>
      </c>
    </row>
    <row r="93" spans="1:31">
      <c r="A93" s="135">
        <v>1</v>
      </c>
      <c r="B93" s="38" t="s">
        <v>196</v>
      </c>
      <c r="C93" s="122">
        <v>42</v>
      </c>
      <c r="D93" s="122">
        <v>906</v>
      </c>
      <c r="E93" s="33">
        <v>1032</v>
      </c>
      <c r="F93" s="34">
        <v>146</v>
      </c>
      <c r="G93" s="34">
        <v>906146</v>
      </c>
      <c r="H93" s="119">
        <v>6.75</v>
      </c>
      <c r="I93" s="101">
        <v>6.75</v>
      </c>
      <c r="J93" s="101"/>
      <c r="K93" s="125" t="s">
        <v>148</v>
      </c>
      <c r="L93" s="11" t="s">
        <v>148</v>
      </c>
      <c r="M93" s="23" t="s">
        <v>232</v>
      </c>
      <c r="N93" s="122" t="s">
        <v>150</v>
      </c>
      <c r="O93" s="122">
        <v>3</v>
      </c>
      <c r="P93" s="24" t="s">
        <v>233</v>
      </c>
      <c r="Q93" s="41">
        <v>7000</v>
      </c>
      <c r="R93" s="26"/>
      <c r="S93" s="27" t="s">
        <v>159</v>
      </c>
      <c r="T93" s="27" t="s">
        <v>219</v>
      </c>
      <c r="U93" s="124" t="s">
        <v>150</v>
      </c>
      <c r="V93" s="39">
        <v>3</v>
      </c>
      <c r="W93" s="124"/>
      <c r="X93" s="124"/>
      <c r="Y93" s="124"/>
      <c r="Z93" s="30"/>
      <c r="AA93" s="40"/>
      <c r="AB93" s="40"/>
      <c r="AC93" s="21" t="s">
        <v>155</v>
      </c>
      <c r="AD93" s="31">
        <v>1.85</v>
      </c>
      <c r="AE93" s="32" t="s">
        <v>147</v>
      </c>
    </row>
    <row r="94" spans="1:31">
      <c r="A94" s="135">
        <v>1</v>
      </c>
      <c r="B94" s="38" t="s">
        <v>196</v>
      </c>
      <c r="C94" s="122">
        <v>43</v>
      </c>
      <c r="D94" s="122">
        <v>906</v>
      </c>
      <c r="E94" s="33">
        <v>724</v>
      </c>
      <c r="F94" s="34">
        <v>147</v>
      </c>
      <c r="G94" s="34">
        <v>906147</v>
      </c>
      <c r="H94" s="119">
        <v>4.53</v>
      </c>
      <c r="I94" s="101"/>
      <c r="J94" s="100">
        <v>4.53</v>
      </c>
      <c r="K94" s="22" t="s">
        <v>137</v>
      </c>
      <c r="L94" s="11" t="s">
        <v>138</v>
      </c>
      <c r="M94" s="23" t="s">
        <v>169</v>
      </c>
      <c r="N94" s="122" t="s">
        <v>140</v>
      </c>
      <c r="O94" s="122">
        <v>4</v>
      </c>
      <c r="P94" s="24" t="s">
        <v>234</v>
      </c>
      <c r="Q94" s="25">
        <v>161000</v>
      </c>
      <c r="R94" s="26" t="s">
        <v>142</v>
      </c>
      <c r="S94" s="27" t="s">
        <v>143</v>
      </c>
      <c r="T94" s="27" t="s">
        <v>164</v>
      </c>
      <c r="U94" s="124" t="s">
        <v>140</v>
      </c>
      <c r="V94" s="39">
        <v>9</v>
      </c>
      <c r="W94" s="29">
        <v>2038.5</v>
      </c>
      <c r="X94" s="29" t="s">
        <v>235</v>
      </c>
      <c r="Y94" s="29"/>
      <c r="Z94" s="30">
        <v>4.53</v>
      </c>
      <c r="AA94" s="136" t="s">
        <v>201</v>
      </c>
      <c r="AB94" s="136"/>
      <c r="AC94" s="26" t="s">
        <v>155</v>
      </c>
      <c r="AD94" s="42">
        <v>1.85</v>
      </c>
      <c r="AE94" s="43" t="s">
        <v>147</v>
      </c>
    </row>
    <row r="95" spans="1:31">
      <c r="A95" s="135">
        <v>1</v>
      </c>
      <c r="B95" s="38" t="s">
        <v>196</v>
      </c>
      <c r="C95" s="122">
        <v>44</v>
      </c>
      <c r="D95" s="122">
        <v>906</v>
      </c>
      <c r="E95" s="33">
        <v>723</v>
      </c>
      <c r="F95" s="34">
        <v>148</v>
      </c>
      <c r="G95" s="34">
        <v>906148</v>
      </c>
      <c r="H95" s="119">
        <v>6.83</v>
      </c>
      <c r="I95" s="101"/>
      <c r="J95" s="100">
        <v>6.83</v>
      </c>
      <c r="K95" s="22" t="s">
        <v>137</v>
      </c>
      <c r="L95" s="11" t="s">
        <v>138</v>
      </c>
      <c r="M95" s="23" t="s">
        <v>203</v>
      </c>
      <c r="N95" s="122" t="s">
        <v>140</v>
      </c>
      <c r="O95" s="122">
        <v>4</v>
      </c>
      <c r="P95" s="24" t="s">
        <v>234</v>
      </c>
      <c r="Q95" s="25">
        <v>161000</v>
      </c>
      <c r="R95" s="26" t="s">
        <v>142</v>
      </c>
      <c r="S95" s="27" t="s">
        <v>143</v>
      </c>
      <c r="T95" s="27" t="s">
        <v>164</v>
      </c>
      <c r="U95" s="124" t="s">
        <v>140</v>
      </c>
      <c r="V95" s="39">
        <v>9</v>
      </c>
      <c r="W95" s="29">
        <v>3073.5</v>
      </c>
      <c r="X95" s="29" t="s">
        <v>235</v>
      </c>
      <c r="Y95" s="29"/>
      <c r="Z95" s="30">
        <v>6.83</v>
      </c>
      <c r="AA95" s="136" t="s">
        <v>201</v>
      </c>
      <c r="AB95" s="136"/>
      <c r="AC95" s="26" t="s">
        <v>146</v>
      </c>
      <c r="AD95" s="42">
        <v>1.75</v>
      </c>
      <c r="AE95" s="43" t="s">
        <v>147</v>
      </c>
    </row>
    <row r="96" spans="1:31">
      <c r="A96" s="135">
        <v>1</v>
      </c>
      <c r="B96" s="38" t="s">
        <v>196</v>
      </c>
      <c r="C96" s="122">
        <v>45</v>
      </c>
      <c r="D96" s="122">
        <v>906</v>
      </c>
      <c r="E96" s="33">
        <v>727</v>
      </c>
      <c r="F96" s="34">
        <v>149</v>
      </c>
      <c r="G96" s="34">
        <v>906149</v>
      </c>
      <c r="H96" s="119">
        <v>9.81</v>
      </c>
      <c r="I96" s="101"/>
      <c r="J96" s="100">
        <v>9.81</v>
      </c>
      <c r="K96" s="22" t="s">
        <v>137</v>
      </c>
      <c r="L96" s="11" t="s">
        <v>138</v>
      </c>
      <c r="M96" s="23" t="s">
        <v>185</v>
      </c>
      <c r="N96" s="122" t="s">
        <v>140</v>
      </c>
      <c r="O96" s="122">
        <v>4</v>
      </c>
      <c r="P96" s="24" t="s">
        <v>234</v>
      </c>
      <c r="Q96" s="25">
        <v>161000</v>
      </c>
      <c r="R96" s="26" t="s">
        <v>142</v>
      </c>
      <c r="S96" s="27" t="s">
        <v>143</v>
      </c>
      <c r="T96" s="27" t="s">
        <v>164</v>
      </c>
      <c r="U96" s="124" t="s">
        <v>140</v>
      </c>
      <c r="V96" s="39">
        <v>9</v>
      </c>
      <c r="W96" s="29">
        <v>4414.5</v>
      </c>
      <c r="X96" s="29" t="s">
        <v>235</v>
      </c>
      <c r="Y96" s="29"/>
      <c r="Z96" s="30">
        <v>9.81</v>
      </c>
      <c r="AA96" s="136" t="s">
        <v>201</v>
      </c>
      <c r="AB96" s="136"/>
      <c r="AC96" s="26" t="s">
        <v>146</v>
      </c>
      <c r="AD96" s="42">
        <v>1.75</v>
      </c>
      <c r="AE96" s="43" t="s">
        <v>147</v>
      </c>
    </row>
    <row r="97" spans="1:31">
      <c r="A97" s="135">
        <v>1</v>
      </c>
      <c r="B97" s="38" t="s">
        <v>196</v>
      </c>
      <c r="C97" s="122">
        <v>46</v>
      </c>
      <c r="D97" s="122">
        <v>906</v>
      </c>
      <c r="E97" s="33">
        <v>728</v>
      </c>
      <c r="F97" s="34">
        <v>150</v>
      </c>
      <c r="G97" s="34">
        <v>906150</v>
      </c>
      <c r="H97" s="119">
        <v>9.56</v>
      </c>
      <c r="I97" s="101"/>
      <c r="J97" s="100">
        <v>9.56</v>
      </c>
      <c r="K97" s="22" t="s">
        <v>137</v>
      </c>
      <c r="L97" s="11" t="s">
        <v>138</v>
      </c>
      <c r="M97" s="23" t="s">
        <v>185</v>
      </c>
      <c r="N97" s="122" t="s">
        <v>140</v>
      </c>
      <c r="O97" s="122">
        <v>4</v>
      </c>
      <c r="P97" s="24" t="s">
        <v>234</v>
      </c>
      <c r="Q97" s="25">
        <v>161000</v>
      </c>
      <c r="R97" s="26" t="s">
        <v>142</v>
      </c>
      <c r="S97" s="27" t="s">
        <v>143</v>
      </c>
      <c r="T97" s="27" t="s">
        <v>164</v>
      </c>
      <c r="U97" s="124" t="s">
        <v>140</v>
      </c>
      <c r="V97" s="39">
        <v>9</v>
      </c>
      <c r="W97" s="29">
        <v>4302</v>
      </c>
      <c r="X97" s="29" t="s">
        <v>235</v>
      </c>
      <c r="Y97" s="29"/>
      <c r="Z97" s="30">
        <v>9.56</v>
      </c>
      <c r="AA97" s="136" t="s">
        <v>201</v>
      </c>
      <c r="AB97" s="136"/>
      <c r="AC97" s="26" t="s">
        <v>146</v>
      </c>
      <c r="AD97" s="42">
        <v>1.75</v>
      </c>
      <c r="AE97" s="43" t="s">
        <v>147</v>
      </c>
    </row>
    <row r="98" spans="1:31">
      <c r="A98" s="135">
        <v>1</v>
      </c>
      <c r="B98" s="38" t="s">
        <v>196</v>
      </c>
      <c r="C98" s="122">
        <v>47</v>
      </c>
      <c r="D98" s="122">
        <v>906</v>
      </c>
      <c r="E98" s="33">
        <v>730</v>
      </c>
      <c r="F98" s="34">
        <v>151</v>
      </c>
      <c r="G98" s="34">
        <v>906151</v>
      </c>
      <c r="H98" s="119">
        <v>29.32</v>
      </c>
      <c r="I98" s="101"/>
      <c r="J98" s="100">
        <v>29.32</v>
      </c>
      <c r="K98" s="22" t="s">
        <v>137</v>
      </c>
      <c r="L98" s="11" t="s">
        <v>138</v>
      </c>
      <c r="M98" s="23" t="s">
        <v>236</v>
      </c>
      <c r="N98" s="122" t="s">
        <v>150</v>
      </c>
      <c r="O98" s="122">
        <v>3</v>
      </c>
      <c r="P98" s="24" t="s">
        <v>234</v>
      </c>
      <c r="Q98" s="25">
        <v>161000</v>
      </c>
      <c r="R98" s="26" t="s">
        <v>142</v>
      </c>
      <c r="S98" s="27" t="s">
        <v>143</v>
      </c>
      <c r="T98" s="27" t="s">
        <v>164</v>
      </c>
      <c r="U98" s="124" t="s">
        <v>140</v>
      </c>
      <c r="V98" s="39">
        <v>9</v>
      </c>
      <c r="W98" s="29">
        <v>13194</v>
      </c>
      <c r="X98" s="29" t="s">
        <v>235</v>
      </c>
      <c r="Y98" s="29"/>
      <c r="Z98" s="30">
        <v>29.32</v>
      </c>
      <c r="AA98" s="136" t="s">
        <v>201</v>
      </c>
      <c r="AB98" s="136"/>
      <c r="AC98" s="26" t="s">
        <v>146</v>
      </c>
      <c r="AD98" s="42">
        <v>1.75</v>
      </c>
      <c r="AE98" s="43" t="s">
        <v>147</v>
      </c>
    </row>
    <row r="99" spans="1:31">
      <c r="A99" s="135">
        <v>1</v>
      </c>
      <c r="B99" s="38" t="s">
        <v>196</v>
      </c>
      <c r="C99" s="122">
        <v>48</v>
      </c>
      <c r="D99" s="122">
        <v>906</v>
      </c>
      <c r="E99" s="33">
        <v>1039</v>
      </c>
      <c r="F99" s="44">
        <v>152</v>
      </c>
      <c r="G99" s="34">
        <v>906152</v>
      </c>
      <c r="H99" s="119">
        <v>8</v>
      </c>
      <c r="I99" s="101"/>
      <c r="J99" s="100">
        <v>8</v>
      </c>
      <c r="K99" s="22" t="s">
        <v>137</v>
      </c>
      <c r="L99" s="11" t="s">
        <v>138</v>
      </c>
      <c r="M99" s="23" t="s">
        <v>203</v>
      </c>
      <c r="N99" s="122" t="s">
        <v>140</v>
      </c>
      <c r="O99" s="122">
        <v>4</v>
      </c>
      <c r="P99" s="24" t="s">
        <v>234</v>
      </c>
      <c r="Q99" s="25">
        <v>161000</v>
      </c>
      <c r="R99" s="26" t="s">
        <v>142</v>
      </c>
      <c r="S99" s="27" t="s">
        <v>143</v>
      </c>
      <c r="T99" s="27" t="s">
        <v>164</v>
      </c>
      <c r="U99" s="124" t="s">
        <v>140</v>
      </c>
      <c r="V99" s="39">
        <v>9</v>
      </c>
      <c r="W99" s="29">
        <v>3600</v>
      </c>
      <c r="X99" s="29" t="s">
        <v>235</v>
      </c>
      <c r="Y99" s="29"/>
      <c r="Z99" s="30">
        <v>8</v>
      </c>
      <c r="AA99" s="136" t="s">
        <v>201</v>
      </c>
      <c r="AB99" s="136"/>
      <c r="AC99" s="26" t="s">
        <v>155</v>
      </c>
      <c r="AD99" s="42">
        <v>1.75</v>
      </c>
      <c r="AE99" s="43" t="s">
        <v>147</v>
      </c>
    </row>
    <row r="100" spans="1:31">
      <c r="A100" s="135">
        <v>1</v>
      </c>
      <c r="B100" s="38" t="s">
        <v>196</v>
      </c>
      <c r="C100" s="122">
        <v>49</v>
      </c>
      <c r="D100" s="122">
        <v>906</v>
      </c>
      <c r="E100" s="33">
        <v>1034</v>
      </c>
      <c r="F100" s="34">
        <v>153</v>
      </c>
      <c r="G100" s="34">
        <v>906153</v>
      </c>
      <c r="H100" s="119">
        <v>42.09</v>
      </c>
      <c r="I100" s="101"/>
      <c r="J100" s="100">
        <v>42.09</v>
      </c>
      <c r="K100" s="22" t="s">
        <v>137</v>
      </c>
      <c r="L100" s="11" t="s">
        <v>138</v>
      </c>
      <c r="M100" s="23" t="s">
        <v>203</v>
      </c>
      <c r="N100" s="122" t="s">
        <v>140</v>
      </c>
      <c r="O100" s="122">
        <v>4</v>
      </c>
      <c r="P100" s="24" t="s">
        <v>234</v>
      </c>
      <c r="Q100" s="25">
        <v>161000</v>
      </c>
      <c r="R100" s="26" t="s">
        <v>142</v>
      </c>
      <c r="S100" s="27" t="s">
        <v>143</v>
      </c>
      <c r="T100" s="27" t="s">
        <v>164</v>
      </c>
      <c r="U100" s="124" t="s">
        <v>140</v>
      </c>
      <c r="V100" s="39">
        <v>9</v>
      </c>
      <c r="W100" s="29">
        <v>18940.5</v>
      </c>
      <c r="X100" s="29" t="s">
        <v>235</v>
      </c>
      <c r="Y100" s="29"/>
      <c r="Z100" s="30">
        <v>42.09</v>
      </c>
      <c r="AA100" s="136" t="s">
        <v>201</v>
      </c>
      <c r="AB100" s="136"/>
      <c r="AC100" s="26" t="s">
        <v>155</v>
      </c>
      <c r="AD100" s="42">
        <v>1.75</v>
      </c>
      <c r="AE100" s="43" t="s">
        <v>147</v>
      </c>
    </row>
    <row r="101" spans="1:31">
      <c r="A101" s="135">
        <v>1</v>
      </c>
      <c r="B101" s="38" t="s">
        <v>196</v>
      </c>
      <c r="C101" s="122">
        <v>50</v>
      </c>
      <c r="D101" s="122">
        <v>906</v>
      </c>
      <c r="E101" s="33">
        <v>741</v>
      </c>
      <c r="F101" s="34">
        <v>154</v>
      </c>
      <c r="G101" s="34">
        <v>906154</v>
      </c>
      <c r="H101" s="119">
        <v>18.670000000000002</v>
      </c>
      <c r="I101" s="100"/>
      <c r="J101" s="100">
        <v>18.670000000000002</v>
      </c>
      <c r="K101" s="22" t="s">
        <v>137</v>
      </c>
      <c r="L101" s="11" t="s">
        <v>138</v>
      </c>
      <c r="M101" s="23" t="s">
        <v>203</v>
      </c>
      <c r="N101" s="122" t="s">
        <v>140</v>
      </c>
      <c r="O101" s="122">
        <v>4</v>
      </c>
      <c r="P101" s="24" t="s">
        <v>234</v>
      </c>
      <c r="Q101" s="25">
        <v>161000</v>
      </c>
      <c r="R101" s="26" t="s">
        <v>142</v>
      </c>
      <c r="S101" s="27" t="s">
        <v>143</v>
      </c>
      <c r="T101" s="27" t="s">
        <v>164</v>
      </c>
      <c r="U101" s="124" t="s">
        <v>140</v>
      </c>
      <c r="V101" s="39">
        <v>9</v>
      </c>
      <c r="W101" s="29">
        <v>8401.5</v>
      </c>
      <c r="X101" s="29" t="s">
        <v>235</v>
      </c>
      <c r="Y101" s="29"/>
      <c r="Z101" s="30">
        <v>18.670000000000002</v>
      </c>
      <c r="AA101" s="136" t="s">
        <v>201</v>
      </c>
      <c r="AB101" s="136"/>
      <c r="AC101" s="26" t="s">
        <v>146</v>
      </c>
      <c r="AD101" s="42">
        <v>1.75</v>
      </c>
      <c r="AE101" s="43" t="s">
        <v>147</v>
      </c>
    </row>
    <row r="102" spans="1:31">
      <c r="A102" s="135">
        <v>1</v>
      </c>
      <c r="B102" s="38" t="s">
        <v>196</v>
      </c>
      <c r="C102" s="122">
        <v>51</v>
      </c>
      <c r="D102" s="122">
        <v>906</v>
      </c>
      <c r="E102" s="33" t="s">
        <v>193</v>
      </c>
      <c r="F102" s="34">
        <v>155</v>
      </c>
      <c r="G102" s="34">
        <v>906155</v>
      </c>
      <c r="H102" s="119">
        <v>45.81</v>
      </c>
      <c r="I102" s="101"/>
      <c r="J102" s="100">
        <v>45.81</v>
      </c>
      <c r="K102" s="125" t="s">
        <v>172</v>
      </c>
      <c r="L102" s="11" t="s">
        <v>86</v>
      </c>
      <c r="M102" s="23"/>
      <c r="N102" s="122" t="s">
        <v>150</v>
      </c>
      <c r="O102" s="122">
        <v>3</v>
      </c>
      <c r="P102" s="24" t="s">
        <v>228</v>
      </c>
      <c r="Q102" s="25"/>
      <c r="R102" s="26" t="s">
        <v>229</v>
      </c>
      <c r="S102" s="27" t="s">
        <v>206</v>
      </c>
      <c r="T102" s="27" t="s">
        <v>222</v>
      </c>
      <c r="U102" s="124" t="s">
        <v>140</v>
      </c>
      <c r="V102" s="39">
        <v>15</v>
      </c>
      <c r="W102" s="29">
        <v>34357.5</v>
      </c>
      <c r="X102" s="29" t="s">
        <v>200</v>
      </c>
      <c r="Y102" s="29"/>
      <c r="Z102" s="30">
        <v>54.18</v>
      </c>
      <c r="AA102" s="136" t="s">
        <v>131</v>
      </c>
      <c r="AB102" s="136"/>
      <c r="AC102" s="21"/>
      <c r="AD102" s="31"/>
      <c r="AE102" s="32" t="s">
        <v>194</v>
      </c>
    </row>
    <row r="103" spans="1:31">
      <c r="A103" s="135">
        <v>1</v>
      </c>
      <c r="B103" s="38" t="s">
        <v>196</v>
      </c>
      <c r="C103" s="122">
        <v>52</v>
      </c>
      <c r="D103" s="122">
        <v>906</v>
      </c>
      <c r="E103" s="33" t="s">
        <v>193</v>
      </c>
      <c r="F103" s="34">
        <v>156</v>
      </c>
      <c r="G103" s="34">
        <v>906156</v>
      </c>
      <c r="H103" s="119">
        <v>81.650000000000006</v>
      </c>
      <c r="I103" s="101"/>
      <c r="J103" s="100">
        <v>81.650000000000006</v>
      </c>
      <c r="K103" s="125" t="s">
        <v>172</v>
      </c>
      <c r="L103" s="11" t="s">
        <v>86</v>
      </c>
      <c r="M103" s="23"/>
      <c r="N103" s="122" t="s">
        <v>150</v>
      </c>
      <c r="O103" s="122">
        <v>3</v>
      </c>
      <c r="P103" s="24" t="s">
        <v>228</v>
      </c>
      <c r="Q103" s="25"/>
      <c r="R103" s="26" t="s">
        <v>229</v>
      </c>
      <c r="S103" s="27" t="s">
        <v>206</v>
      </c>
      <c r="T103" s="27" t="s">
        <v>222</v>
      </c>
      <c r="U103" s="124" t="s">
        <v>140</v>
      </c>
      <c r="V103" s="39">
        <v>15</v>
      </c>
      <c r="W103" s="29">
        <v>61237.500000000007</v>
      </c>
      <c r="X103" s="29" t="s">
        <v>235</v>
      </c>
      <c r="Y103" s="29"/>
      <c r="Z103" s="30">
        <v>81.650000000000006</v>
      </c>
      <c r="AA103" s="136" t="s">
        <v>131</v>
      </c>
      <c r="AB103" s="136"/>
      <c r="AC103" s="21"/>
      <c r="AD103" s="31"/>
      <c r="AE103" s="32" t="s">
        <v>194</v>
      </c>
    </row>
    <row r="104" spans="1:31">
      <c r="A104" s="135">
        <v>1</v>
      </c>
      <c r="B104" s="38" t="s">
        <v>196</v>
      </c>
      <c r="C104" s="122">
        <v>53</v>
      </c>
      <c r="D104" s="122">
        <v>906</v>
      </c>
      <c r="E104" s="33" t="s">
        <v>193</v>
      </c>
      <c r="F104" s="34">
        <v>157</v>
      </c>
      <c r="G104" s="34">
        <v>906157</v>
      </c>
      <c r="H104" s="119">
        <v>42.8</v>
      </c>
      <c r="I104" s="101">
        <v>42.8</v>
      </c>
      <c r="J104" s="100"/>
      <c r="K104" s="125" t="s">
        <v>148</v>
      </c>
      <c r="L104" s="11" t="s">
        <v>148</v>
      </c>
      <c r="M104" s="23"/>
      <c r="N104" s="122" t="s">
        <v>150</v>
      </c>
      <c r="O104" s="122"/>
      <c r="P104" s="11"/>
      <c r="Q104" s="45"/>
      <c r="R104" s="21"/>
      <c r="S104" s="46"/>
      <c r="T104" s="46"/>
      <c r="U104" s="47" t="s">
        <v>150</v>
      </c>
      <c r="V104" s="48"/>
      <c r="W104" s="47"/>
      <c r="X104" s="47"/>
      <c r="Y104" s="47"/>
      <c r="Z104" s="47"/>
      <c r="AA104" s="49"/>
      <c r="AB104" s="49"/>
      <c r="AC104" s="21"/>
      <c r="AD104" s="31"/>
      <c r="AE104" s="32" t="s">
        <v>194</v>
      </c>
    </row>
    <row r="105" spans="1:31">
      <c r="A105" s="135">
        <v>1</v>
      </c>
      <c r="B105" s="38" t="s">
        <v>196</v>
      </c>
      <c r="C105" s="122">
        <v>54</v>
      </c>
      <c r="D105" s="122">
        <v>906</v>
      </c>
      <c r="E105" s="33" t="s">
        <v>193</v>
      </c>
      <c r="F105" s="34">
        <v>158</v>
      </c>
      <c r="G105" s="34">
        <v>906158</v>
      </c>
      <c r="H105" s="119">
        <v>60.88</v>
      </c>
      <c r="I105" s="101">
        <v>60.88</v>
      </c>
      <c r="J105" s="104">
        <v>0</v>
      </c>
      <c r="K105" s="125" t="s">
        <v>148</v>
      </c>
      <c r="L105" s="11" t="s">
        <v>148</v>
      </c>
      <c r="M105" s="23"/>
      <c r="N105" s="122" t="s">
        <v>150</v>
      </c>
      <c r="O105" s="122"/>
      <c r="P105" s="11"/>
      <c r="Q105" s="45"/>
      <c r="R105" s="21"/>
      <c r="S105" s="46"/>
      <c r="T105" s="46"/>
      <c r="U105" s="47" t="s">
        <v>150</v>
      </c>
      <c r="V105" s="48"/>
      <c r="W105" s="47"/>
      <c r="X105" s="47"/>
      <c r="Y105" s="47"/>
      <c r="Z105" s="47"/>
      <c r="AA105" s="49"/>
      <c r="AB105" s="49"/>
      <c r="AC105" s="21"/>
      <c r="AD105" s="31"/>
      <c r="AE105" s="32" t="s">
        <v>194</v>
      </c>
    </row>
    <row r="106" spans="1:31">
      <c r="A106" s="135">
        <v>1</v>
      </c>
      <c r="B106" s="38" t="s">
        <v>196</v>
      </c>
      <c r="C106" s="122">
        <v>55</v>
      </c>
      <c r="D106" s="122">
        <v>906</v>
      </c>
      <c r="E106" s="33" t="s">
        <v>193</v>
      </c>
      <c r="F106" s="34">
        <v>159</v>
      </c>
      <c r="G106" s="34">
        <v>906159</v>
      </c>
      <c r="H106" s="119">
        <v>69.08</v>
      </c>
      <c r="I106" s="101">
        <v>69.08</v>
      </c>
      <c r="J106" s="100"/>
      <c r="K106" s="125" t="s">
        <v>148</v>
      </c>
      <c r="L106" s="11" t="s">
        <v>148</v>
      </c>
      <c r="M106" s="23"/>
      <c r="N106" s="122" t="s">
        <v>150</v>
      </c>
      <c r="O106" s="122"/>
      <c r="P106" s="11"/>
      <c r="Q106" s="45"/>
      <c r="R106" s="21"/>
      <c r="S106" s="46"/>
      <c r="T106" s="46"/>
      <c r="U106" s="47" t="s">
        <v>150</v>
      </c>
      <c r="V106" s="48"/>
      <c r="W106" s="47"/>
      <c r="X106" s="47"/>
      <c r="Y106" s="47"/>
      <c r="Z106" s="47"/>
      <c r="AA106" s="49"/>
      <c r="AB106" s="49"/>
      <c r="AC106" s="21"/>
      <c r="AD106" s="31"/>
      <c r="AE106" s="32" t="s">
        <v>194</v>
      </c>
    </row>
    <row r="107" spans="1:31">
      <c r="A107" s="135">
        <v>1</v>
      </c>
      <c r="B107" s="38" t="s">
        <v>196</v>
      </c>
      <c r="C107" s="122">
        <v>56</v>
      </c>
      <c r="D107" s="122">
        <v>906</v>
      </c>
      <c r="E107" s="33" t="s">
        <v>193</v>
      </c>
      <c r="F107" s="34">
        <v>160</v>
      </c>
      <c r="G107" s="34">
        <v>906160</v>
      </c>
      <c r="H107" s="119">
        <v>16.895</v>
      </c>
      <c r="I107" s="101">
        <v>16.895</v>
      </c>
      <c r="J107" s="100"/>
      <c r="K107" s="22" t="s">
        <v>148</v>
      </c>
      <c r="L107" s="22" t="s">
        <v>148</v>
      </c>
      <c r="M107" s="23"/>
      <c r="N107" s="122" t="s">
        <v>140</v>
      </c>
      <c r="O107" s="122"/>
      <c r="P107" s="24" t="s">
        <v>217</v>
      </c>
      <c r="Q107" s="25">
        <v>52000</v>
      </c>
      <c r="R107" s="26" t="s">
        <v>204</v>
      </c>
      <c r="S107" s="27" t="s">
        <v>159</v>
      </c>
      <c r="T107" s="27" t="s">
        <v>219</v>
      </c>
      <c r="U107" s="124" t="s">
        <v>140</v>
      </c>
      <c r="V107" s="39">
        <v>6</v>
      </c>
      <c r="W107" s="124"/>
      <c r="X107" s="124"/>
      <c r="Y107" s="124"/>
      <c r="Z107" s="30"/>
      <c r="AA107" s="40"/>
      <c r="AB107" s="40"/>
      <c r="AC107" s="21"/>
      <c r="AD107" s="31"/>
      <c r="AE107" s="32" t="s">
        <v>147</v>
      </c>
    </row>
    <row r="108" spans="1:31">
      <c r="A108" s="135">
        <v>1</v>
      </c>
      <c r="B108" s="38" t="s">
        <v>196</v>
      </c>
      <c r="C108" s="122">
        <v>57</v>
      </c>
      <c r="D108" s="122">
        <v>906</v>
      </c>
      <c r="E108" s="33" t="s">
        <v>193</v>
      </c>
      <c r="F108" s="34">
        <v>161</v>
      </c>
      <c r="G108" s="34">
        <v>906161</v>
      </c>
      <c r="H108" s="119">
        <v>30.05</v>
      </c>
      <c r="I108" s="101">
        <v>30.05</v>
      </c>
      <c r="J108" s="100"/>
      <c r="K108" s="22" t="s">
        <v>148</v>
      </c>
      <c r="L108" s="22" t="s">
        <v>148</v>
      </c>
      <c r="M108" s="23"/>
      <c r="N108" s="122" t="s">
        <v>140</v>
      </c>
      <c r="O108" s="122"/>
      <c r="P108" s="24" t="s">
        <v>217</v>
      </c>
      <c r="Q108" s="25">
        <v>52000</v>
      </c>
      <c r="R108" s="26" t="s">
        <v>204</v>
      </c>
      <c r="S108" s="27" t="s">
        <v>159</v>
      </c>
      <c r="T108" s="27" t="s">
        <v>219</v>
      </c>
      <c r="U108" s="124" t="s">
        <v>140</v>
      </c>
      <c r="V108" s="39">
        <v>6</v>
      </c>
      <c r="W108" s="124"/>
      <c r="X108" s="124"/>
      <c r="Y108" s="124"/>
      <c r="Z108" s="30"/>
      <c r="AA108" s="40"/>
      <c r="AB108" s="40"/>
      <c r="AC108" s="21"/>
      <c r="AD108" s="31"/>
      <c r="AE108" s="32" t="s">
        <v>147</v>
      </c>
    </row>
    <row r="109" spans="1:31">
      <c r="A109" s="135">
        <v>1</v>
      </c>
      <c r="B109" s="38" t="s">
        <v>196</v>
      </c>
      <c r="C109" s="122">
        <v>58</v>
      </c>
      <c r="D109" s="122">
        <v>906</v>
      </c>
      <c r="E109" s="33" t="s">
        <v>193</v>
      </c>
      <c r="F109" s="34">
        <v>162</v>
      </c>
      <c r="G109" s="34">
        <v>906162</v>
      </c>
      <c r="H109" s="119">
        <v>21.6175</v>
      </c>
      <c r="I109" s="101">
        <v>21.6175</v>
      </c>
      <c r="J109" s="100"/>
      <c r="K109" s="22" t="s">
        <v>148</v>
      </c>
      <c r="L109" s="22" t="s">
        <v>148</v>
      </c>
      <c r="M109" s="23"/>
      <c r="N109" s="122" t="s">
        <v>150</v>
      </c>
      <c r="O109" s="122"/>
      <c r="P109" s="11"/>
      <c r="Q109" s="45"/>
      <c r="R109" s="21"/>
      <c r="S109" s="46"/>
      <c r="T109" s="46"/>
      <c r="U109" s="47" t="s">
        <v>150</v>
      </c>
      <c r="V109" s="48"/>
      <c r="W109" s="47"/>
      <c r="X109" s="47"/>
      <c r="Y109" s="47"/>
      <c r="Z109" s="47"/>
      <c r="AA109" s="49"/>
      <c r="AB109" s="49"/>
      <c r="AC109" s="21"/>
      <c r="AD109" s="31"/>
      <c r="AE109" s="32" t="s">
        <v>147</v>
      </c>
    </row>
    <row r="110" spans="1:31">
      <c r="A110" s="135">
        <v>1</v>
      </c>
      <c r="B110" s="38" t="s">
        <v>196</v>
      </c>
      <c r="C110" s="122">
        <v>59</v>
      </c>
      <c r="D110" s="122">
        <v>906</v>
      </c>
      <c r="E110" s="33" t="s">
        <v>193</v>
      </c>
      <c r="F110" s="34">
        <v>163</v>
      </c>
      <c r="G110" s="34">
        <v>906163</v>
      </c>
      <c r="H110" s="119">
        <v>11.0825</v>
      </c>
      <c r="I110" s="101">
        <v>11.0825</v>
      </c>
      <c r="J110" s="100"/>
      <c r="K110" s="22" t="s">
        <v>148</v>
      </c>
      <c r="L110" s="22" t="s">
        <v>148</v>
      </c>
      <c r="M110" s="23"/>
      <c r="N110" s="122" t="s">
        <v>150</v>
      </c>
      <c r="O110" s="122"/>
      <c r="P110" s="11"/>
      <c r="Q110" s="45"/>
      <c r="R110" s="21"/>
      <c r="S110" s="46"/>
      <c r="T110" s="46"/>
      <c r="U110" s="47" t="s">
        <v>150</v>
      </c>
      <c r="V110" s="48"/>
      <c r="W110" s="47"/>
      <c r="X110" s="47"/>
      <c r="Y110" s="47"/>
      <c r="Z110" s="47"/>
      <c r="AA110" s="49"/>
      <c r="AB110" s="49"/>
      <c r="AC110" s="21"/>
      <c r="AD110" s="31"/>
      <c r="AE110" s="32" t="s">
        <v>147</v>
      </c>
    </row>
    <row r="111" spans="1:31">
      <c r="A111" s="135">
        <v>1</v>
      </c>
      <c r="B111" s="38" t="s">
        <v>196</v>
      </c>
      <c r="C111" s="122">
        <v>60</v>
      </c>
      <c r="D111" s="122">
        <v>906</v>
      </c>
      <c r="E111" s="33" t="s">
        <v>193</v>
      </c>
      <c r="F111" s="34">
        <v>164</v>
      </c>
      <c r="G111" s="34">
        <v>906164</v>
      </c>
      <c r="H111" s="119">
        <v>28.3</v>
      </c>
      <c r="I111" s="101">
        <v>28.3</v>
      </c>
      <c r="J111" s="100"/>
      <c r="K111" s="22" t="s">
        <v>148</v>
      </c>
      <c r="L111" s="22" t="s">
        <v>148</v>
      </c>
      <c r="M111" s="23"/>
      <c r="N111" s="122" t="s">
        <v>150</v>
      </c>
      <c r="O111" s="122"/>
      <c r="P111" s="11"/>
      <c r="Q111" s="45"/>
      <c r="R111" s="21"/>
      <c r="S111" s="46"/>
      <c r="T111" s="46"/>
      <c r="U111" s="47" t="s">
        <v>150</v>
      </c>
      <c r="V111" s="48"/>
      <c r="W111" s="47"/>
      <c r="X111" s="47"/>
      <c r="Y111" s="47"/>
      <c r="Z111" s="47"/>
      <c r="AA111" s="49"/>
      <c r="AB111" s="49"/>
      <c r="AC111" s="21"/>
      <c r="AD111" s="31"/>
      <c r="AE111" s="32" t="s">
        <v>147</v>
      </c>
    </row>
    <row r="112" spans="1:31">
      <c r="A112" s="135">
        <v>1</v>
      </c>
      <c r="B112" s="38" t="s">
        <v>196</v>
      </c>
      <c r="C112" s="122">
        <v>62</v>
      </c>
      <c r="D112" s="122">
        <v>906</v>
      </c>
      <c r="E112" s="33" t="s">
        <v>193</v>
      </c>
      <c r="F112" s="34">
        <v>166</v>
      </c>
      <c r="G112" s="34">
        <v>906166</v>
      </c>
      <c r="H112" s="119">
        <v>36.924999999999997</v>
      </c>
      <c r="I112" s="101"/>
      <c r="J112" s="100">
        <v>36.924999999999997</v>
      </c>
      <c r="K112" s="22" t="s">
        <v>170</v>
      </c>
      <c r="L112" s="22" t="s">
        <v>86</v>
      </c>
      <c r="M112" s="23"/>
      <c r="N112" s="122" t="s">
        <v>150</v>
      </c>
      <c r="O112" s="122">
        <v>3</v>
      </c>
      <c r="P112" s="24" t="s">
        <v>225</v>
      </c>
      <c r="Q112" s="25">
        <v>183000</v>
      </c>
      <c r="R112" s="26" t="s">
        <v>142</v>
      </c>
      <c r="S112" s="27" t="s">
        <v>177</v>
      </c>
      <c r="T112" s="27" t="s">
        <v>164</v>
      </c>
      <c r="U112" s="124" t="s">
        <v>140</v>
      </c>
      <c r="V112" s="39">
        <v>11</v>
      </c>
      <c r="W112" s="29">
        <v>20308.75</v>
      </c>
      <c r="X112" s="29" t="s">
        <v>226</v>
      </c>
      <c r="Y112" s="29"/>
      <c r="Z112" s="30">
        <v>36.93</v>
      </c>
      <c r="AA112" s="136" t="s">
        <v>201</v>
      </c>
      <c r="AB112" s="136"/>
      <c r="AC112" s="21"/>
      <c r="AD112" s="31"/>
      <c r="AE112" s="32" t="s">
        <v>147</v>
      </c>
    </row>
    <row r="113" spans="1:31">
      <c r="A113" s="135">
        <v>1</v>
      </c>
      <c r="B113" s="38" t="s">
        <v>196</v>
      </c>
      <c r="C113" s="122">
        <v>63</v>
      </c>
      <c r="D113" s="122">
        <v>906</v>
      </c>
      <c r="E113" s="33" t="s">
        <v>193</v>
      </c>
      <c r="F113" s="34">
        <v>167</v>
      </c>
      <c r="G113" s="34">
        <v>906167</v>
      </c>
      <c r="H113" s="119">
        <v>25.26</v>
      </c>
      <c r="I113" s="101">
        <v>25.26</v>
      </c>
      <c r="J113" s="100"/>
      <c r="K113" s="22" t="s">
        <v>148</v>
      </c>
      <c r="L113" s="22" t="s">
        <v>148</v>
      </c>
      <c r="M113" s="23"/>
      <c r="N113" s="122" t="s">
        <v>150</v>
      </c>
      <c r="O113" s="122"/>
      <c r="P113" s="11"/>
      <c r="Q113" s="45"/>
      <c r="R113" s="21"/>
      <c r="S113" s="46"/>
      <c r="T113" s="46"/>
      <c r="U113" s="47" t="s">
        <v>150</v>
      </c>
      <c r="V113" s="48"/>
      <c r="W113" s="47"/>
      <c r="X113" s="47"/>
      <c r="Y113" s="47"/>
      <c r="Z113" s="47"/>
      <c r="AA113" s="49"/>
      <c r="AB113" s="49"/>
      <c r="AC113" s="21"/>
      <c r="AD113" s="31"/>
      <c r="AE113" s="32" t="s">
        <v>147</v>
      </c>
    </row>
    <row r="114" spans="1:31">
      <c r="A114" s="135">
        <v>1</v>
      </c>
      <c r="B114" s="38" t="s">
        <v>196</v>
      </c>
      <c r="C114" s="122">
        <v>64</v>
      </c>
      <c r="D114" s="122">
        <v>906</v>
      </c>
      <c r="E114" s="33" t="s">
        <v>193</v>
      </c>
      <c r="F114" s="34">
        <v>168</v>
      </c>
      <c r="G114" s="34">
        <v>906168</v>
      </c>
      <c r="H114" s="119">
        <v>23.47</v>
      </c>
      <c r="I114" s="101">
        <v>23.47</v>
      </c>
      <c r="J114" s="100"/>
      <c r="K114" s="22" t="s">
        <v>148</v>
      </c>
      <c r="L114" s="22" t="s">
        <v>148</v>
      </c>
      <c r="M114" s="23"/>
      <c r="N114" s="122" t="s">
        <v>150</v>
      </c>
      <c r="O114" s="122"/>
      <c r="P114" s="11"/>
      <c r="Q114" s="45"/>
      <c r="R114" s="21"/>
      <c r="S114" s="46"/>
      <c r="T114" s="46"/>
      <c r="U114" s="47" t="s">
        <v>150</v>
      </c>
      <c r="V114" s="48"/>
      <c r="W114" s="47"/>
      <c r="X114" s="47"/>
      <c r="Y114" s="47"/>
      <c r="Z114" s="47"/>
      <c r="AA114" s="49"/>
      <c r="AB114" s="49"/>
      <c r="AC114" s="21"/>
      <c r="AD114" s="31"/>
      <c r="AE114" s="32" t="s">
        <v>147</v>
      </c>
    </row>
    <row r="115" spans="1:31">
      <c r="A115" s="135">
        <v>1</v>
      </c>
      <c r="B115" s="38" t="s">
        <v>196</v>
      </c>
      <c r="C115" s="122">
        <v>65</v>
      </c>
      <c r="D115" s="122">
        <v>906</v>
      </c>
      <c r="E115" s="33" t="s">
        <v>193</v>
      </c>
      <c r="F115" s="34">
        <v>169</v>
      </c>
      <c r="G115" s="34">
        <v>906169</v>
      </c>
      <c r="H115" s="119">
        <v>10.5</v>
      </c>
      <c r="I115" s="101">
        <v>10.5</v>
      </c>
      <c r="J115" s="100"/>
      <c r="K115" s="22" t="s">
        <v>148</v>
      </c>
      <c r="L115" s="22" t="s">
        <v>148</v>
      </c>
      <c r="M115" s="23"/>
      <c r="N115" s="122" t="s">
        <v>150</v>
      </c>
      <c r="O115" s="122"/>
      <c r="P115" s="11"/>
      <c r="Q115" s="45"/>
      <c r="R115" s="21"/>
      <c r="S115" s="46"/>
      <c r="T115" s="46"/>
      <c r="U115" s="47" t="s">
        <v>150</v>
      </c>
      <c r="V115" s="48"/>
      <c r="W115" s="47"/>
      <c r="X115" s="47"/>
      <c r="Y115" s="47"/>
      <c r="Z115" s="47"/>
      <c r="AA115" s="49"/>
      <c r="AB115" s="49"/>
      <c r="AC115" s="21"/>
      <c r="AD115" s="31"/>
      <c r="AE115" s="32" t="s">
        <v>147</v>
      </c>
    </row>
    <row r="116" spans="1:31">
      <c r="A116" s="135">
        <v>1</v>
      </c>
      <c r="B116" s="38" t="s">
        <v>196</v>
      </c>
      <c r="C116" s="122">
        <v>66</v>
      </c>
      <c r="D116" s="122">
        <v>906</v>
      </c>
      <c r="E116" s="33" t="s">
        <v>193</v>
      </c>
      <c r="F116" s="34">
        <v>170</v>
      </c>
      <c r="G116" s="34">
        <v>906170</v>
      </c>
      <c r="H116" s="119">
        <v>18.147500000000001</v>
      </c>
      <c r="I116" s="101">
        <v>18.147500000000001</v>
      </c>
      <c r="J116" s="100"/>
      <c r="K116" s="22" t="s">
        <v>148</v>
      </c>
      <c r="L116" s="22" t="s">
        <v>148</v>
      </c>
      <c r="M116" s="23"/>
      <c r="N116" s="122" t="s">
        <v>150</v>
      </c>
      <c r="O116" s="122"/>
      <c r="P116" s="11"/>
      <c r="Q116" s="45"/>
      <c r="R116" s="21"/>
      <c r="S116" s="46"/>
      <c r="T116" s="46"/>
      <c r="U116" s="47" t="s">
        <v>150</v>
      </c>
      <c r="V116" s="48"/>
      <c r="W116" s="47"/>
      <c r="X116" s="47"/>
      <c r="Y116" s="47"/>
      <c r="Z116" s="47"/>
      <c r="AA116" s="49"/>
      <c r="AB116" s="49"/>
      <c r="AC116" s="21"/>
      <c r="AD116" s="31"/>
      <c r="AE116" s="32" t="s">
        <v>147</v>
      </c>
    </row>
    <row r="117" spans="1:31">
      <c r="A117" s="135">
        <v>1</v>
      </c>
      <c r="B117" s="38" t="s">
        <v>196</v>
      </c>
      <c r="C117" s="122">
        <v>67</v>
      </c>
      <c r="D117" s="122">
        <v>906</v>
      </c>
      <c r="E117" s="33" t="s">
        <v>193</v>
      </c>
      <c r="F117" s="34">
        <v>171</v>
      </c>
      <c r="G117" s="34">
        <v>906171</v>
      </c>
      <c r="H117" s="119">
        <v>25.772500000000001</v>
      </c>
      <c r="I117" s="101">
        <v>25.772500000000001</v>
      </c>
      <c r="J117" s="100"/>
      <c r="K117" s="22" t="s">
        <v>148</v>
      </c>
      <c r="L117" s="22" t="s">
        <v>148</v>
      </c>
      <c r="M117" s="23"/>
      <c r="N117" s="122" t="s">
        <v>150</v>
      </c>
      <c r="O117" s="122"/>
      <c r="P117" s="24" t="s">
        <v>234</v>
      </c>
      <c r="Q117" s="25">
        <v>161000</v>
      </c>
      <c r="R117" s="26" t="s">
        <v>142</v>
      </c>
      <c r="S117" s="27" t="s">
        <v>237</v>
      </c>
      <c r="T117" s="27" t="s">
        <v>164</v>
      </c>
      <c r="U117" s="124" t="s">
        <v>140</v>
      </c>
      <c r="V117" s="39">
        <v>9</v>
      </c>
      <c r="W117" s="124"/>
      <c r="X117" s="124"/>
      <c r="Y117" s="124"/>
      <c r="Z117" s="124"/>
      <c r="AA117" s="40"/>
      <c r="AB117" s="40"/>
      <c r="AC117" s="26"/>
      <c r="AD117" s="42"/>
      <c r="AE117" s="43" t="s">
        <v>147</v>
      </c>
    </row>
    <row r="118" spans="1:31">
      <c r="A118" s="135">
        <v>1</v>
      </c>
      <c r="B118" s="38" t="s">
        <v>196</v>
      </c>
      <c r="C118" s="122">
        <v>68</v>
      </c>
      <c r="D118" s="122">
        <v>906</v>
      </c>
      <c r="E118" s="33" t="s">
        <v>193</v>
      </c>
      <c r="F118" s="34">
        <v>172</v>
      </c>
      <c r="G118" s="34">
        <v>906172</v>
      </c>
      <c r="H118" s="119">
        <v>5.5</v>
      </c>
      <c r="I118" s="100">
        <v>5.5</v>
      </c>
      <c r="J118" s="100"/>
      <c r="K118" s="22" t="s">
        <v>148</v>
      </c>
      <c r="L118" s="22" t="s">
        <v>148</v>
      </c>
      <c r="M118" s="23"/>
      <c r="N118" s="122" t="s">
        <v>150</v>
      </c>
      <c r="O118" s="122">
        <v>3</v>
      </c>
      <c r="P118" s="24" t="s">
        <v>234</v>
      </c>
      <c r="Q118" s="25">
        <v>161000</v>
      </c>
      <c r="R118" s="26" t="s">
        <v>142</v>
      </c>
      <c r="S118" s="27" t="s">
        <v>143</v>
      </c>
      <c r="T118" s="27" t="s">
        <v>164</v>
      </c>
      <c r="U118" s="124" t="s">
        <v>140</v>
      </c>
      <c r="V118" s="39">
        <v>9</v>
      </c>
      <c r="W118" s="29">
        <v>0</v>
      </c>
      <c r="X118" s="29"/>
      <c r="Y118" s="29"/>
      <c r="Z118" s="29"/>
      <c r="AA118" s="136"/>
      <c r="AB118" s="136"/>
      <c r="AC118" s="26"/>
      <c r="AD118" s="42"/>
      <c r="AE118" s="43" t="s">
        <v>147</v>
      </c>
    </row>
    <row r="119" spans="1:31">
      <c r="A119" s="135">
        <v>1</v>
      </c>
      <c r="B119" s="38" t="s">
        <v>196</v>
      </c>
      <c r="C119" s="122">
        <v>69</v>
      </c>
      <c r="D119" s="122">
        <v>906</v>
      </c>
      <c r="E119" s="33" t="s">
        <v>193</v>
      </c>
      <c r="F119" s="34">
        <v>173</v>
      </c>
      <c r="G119" s="34">
        <v>906173</v>
      </c>
      <c r="H119" s="119">
        <v>5.5</v>
      </c>
      <c r="I119" s="100">
        <v>5.5</v>
      </c>
      <c r="J119" s="100"/>
      <c r="K119" s="22" t="s">
        <v>148</v>
      </c>
      <c r="L119" s="22" t="s">
        <v>148</v>
      </c>
      <c r="M119" s="23"/>
      <c r="N119" s="122" t="s">
        <v>150</v>
      </c>
      <c r="O119" s="122">
        <v>3</v>
      </c>
      <c r="P119" s="24" t="s">
        <v>234</v>
      </c>
      <c r="Q119" s="25">
        <v>161000</v>
      </c>
      <c r="R119" s="26" t="s">
        <v>142</v>
      </c>
      <c r="S119" s="27" t="s">
        <v>143</v>
      </c>
      <c r="T119" s="27" t="s">
        <v>164</v>
      </c>
      <c r="U119" s="124" t="s">
        <v>140</v>
      </c>
      <c r="V119" s="39">
        <v>9</v>
      </c>
      <c r="W119" s="29">
        <v>0</v>
      </c>
      <c r="X119" s="29"/>
      <c r="Y119" s="29"/>
      <c r="Z119" s="29"/>
      <c r="AA119" s="136"/>
      <c r="AB119" s="136"/>
      <c r="AC119" s="26"/>
      <c r="AD119" s="42"/>
      <c r="AE119" s="43" t="s">
        <v>147</v>
      </c>
    </row>
    <row r="120" spans="1:31">
      <c r="A120" s="135">
        <v>1</v>
      </c>
      <c r="B120" s="38" t="s">
        <v>196</v>
      </c>
      <c r="C120" s="122">
        <v>70</v>
      </c>
      <c r="D120" s="122">
        <v>906</v>
      </c>
      <c r="E120" s="33" t="s">
        <v>193</v>
      </c>
      <c r="F120" s="34">
        <v>174</v>
      </c>
      <c r="G120" s="34">
        <v>906174</v>
      </c>
      <c r="H120" s="119">
        <v>10.995999999999999</v>
      </c>
      <c r="I120" s="100">
        <v>10.995999999999999</v>
      </c>
      <c r="J120" s="100"/>
      <c r="K120" s="22" t="s">
        <v>148</v>
      </c>
      <c r="L120" s="22" t="s">
        <v>148</v>
      </c>
      <c r="M120" s="23"/>
      <c r="N120" s="122" t="s">
        <v>150</v>
      </c>
      <c r="O120" s="122">
        <v>3</v>
      </c>
      <c r="P120" s="24" t="s">
        <v>234</v>
      </c>
      <c r="Q120" s="25">
        <v>161000</v>
      </c>
      <c r="R120" s="26" t="s">
        <v>142</v>
      </c>
      <c r="S120" s="27" t="s">
        <v>143</v>
      </c>
      <c r="T120" s="27" t="s">
        <v>164</v>
      </c>
      <c r="U120" s="124" t="s">
        <v>140</v>
      </c>
      <c r="V120" s="39">
        <v>9</v>
      </c>
      <c r="W120" s="29">
        <v>0</v>
      </c>
      <c r="X120" s="29"/>
      <c r="Y120" s="29"/>
      <c r="Z120" s="29"/>
      <c r="AA120" s="136"/>
      <c r="AB120" s="136"/>
      <c r="AC120" s="26"/>
      <c r="AD120" s="42"/>
      <c r="AE120" s="43" t="s">
        <v>147</v>
      </c>
    </row>
    <row r="121" spans="1:31">
      <c r="A121" s="135">
        <v>1</v>
      </c>
      <c r="B121" s="38" t="s">
        <v>196</v>
      </c>
      <c r="C121" s="122">
        <v>71</v>
      </c>
      <c r="D121" s="122">
        <v>906</v>
      </c>
      <c r="E121" s="33" t="s">
        <v>193</v>
      </c>
      <c r="F121" s="34">
        <v>175</v>
      </c>
      <c r="G121" s="34">
        <v>906175</v>
      </c>
      <c r="H121" s="119">
        <v>9.3249999999999993</v>
      </c>
      <c r="I121" s="101">
        <v>9.3249999999999993</v>
      </c>
      <c r="J121" s="100"/>
      <c r="K121" s="22" t="s">
        <v>148</v>
      </c>
      <c r="L121" s="22" t="s">
        <v>148</v>
      </c>
      <c r="M121" s="23"/>
      <c r="N121" s="122" t="s">
        <v>150</v>
      </c>
      <c r="O121" s="122"/>
      <c r="P121" s="11"/>
      <c r="Q121" s="45"/>
      <c r="R121" s="21"/>
      <c r="S121" s="46"/>
      <c r="T121" s="46"/>
      <c r="U121" s="47" t="s">
        <v>150</v>
      </c>
      <c r="V121" s="48"/>
      <c r="W121" s="47"/>
      <c r="X121" s="47"/>
      <c r="Y121" s="47"/>
      <c r="Z121" s="47"/>
      <c r="AA121" s="49"/>
      <c r="AB121" s="49"/>
      <c r="AC121" s="21"/>
      <c r="AD121" s="31"/>
      <c r="AE121" s="32" t="s">
        <v>194</v>
      </c>
    </row>
    <row r="122" spans="1:31">
      <c r="A122" s="135">
        <v>1</v>
      </c>
      <c r="B122" s="38" t="s">
        <v>196</v>
      </c>
      <c r="C122" s="122">
        <v>72</v>
      </c>
      <c r="D122" s="122"/>
      <c r="E122" s="33"/>
      <c r="F122" s="34"/>
      <c r="G122" s="34">
        <v>906176</v>
      </c>
      <c r="H122" s="119">
        <v>9</v>
      </c>
      <c r="I122" s="101">
        <v>9</v>
      </c>
      <c r="J122" s="100"/>
      <c r="K122" s="22" t="s">
        <v>148</v>
      </c>
      <c r="L122" s="22"/>
      <c r="M122" s="23"/>
      <c r="N122" s="122"/>
      <c r="O122" s="122"/>
      <c r="P122" s="11"/>
      <c r="Q122" s="45"/>
      <c r="R122" s="21"/>
      <c r="S122" s="46"/>
      <c r="T122" s="46"/>
      <c r="U122" s="47"/>
      <c r="V122" s="48"/>
      <c r="W122" s="47"/>
      <c r="X122" s="47"/>
      <c r="Y122" s="47"/>
      <c r="Z122" s="47"/>
      <c r="AA122" s="49"/>
      <c r="AB122" s="49"/>
      <c r="AC122" s="21"/>
      <c r="AD122" s="31"/>
      <c r="AE122" s="32"/>
    </row>
    <row r="123" spans="1:31">
      <c r="A123" s="135">
        <v>1</v>
      </c>
      <c r="B123" s="38" t="s">
        <v>238</v>
      </c>
      <c r="C123" s="122">
        <v>1</v>
      </c>
      <c r="D123" s="122">
        <v>901</v>
      </c>
      <c r="E123" s="33">
        <v>8121013</v>
      </c>
      <c r="F123" s="34">
        <v>101</v>
      </c>
      <c r="G123" s="34">
        <v>901101</v>
      </c>
      <c r="H123" s="119">
        <v>41.53</v>
      </c>
      <c r="I123" s="101"/>
      <c r="J123" s="100">
        <v>41.53</v>
      </c>
      <c r="K123" s="125" t="s">
        <v>137</v>
      </c>
      <c r="L123" s="11" t="s">
        <v>138</v>
      </c>
      <c r="M123" s="23" t="s">
        <v>184</v>
      </c>
      <c r="N123" s="122" t="s">
        <v>140</v>
      </c>
      <c r="O123" s="122">
        <v>4</v>
      </c>
      <c r="P123" s="24" t="s">
        <v>239</v>
      </c>
      <c r="Q123" s="25">
        <v>33000</v>
      </c>
      <c r="R123" s="26" t="s">
        <v>240</v>
      </c>
      <c r="S123" s="27" t="s">
        <v>159</v>
      </c>
      <c r="T123" s="27" t="s">
        <v>160</v>
      </c>
      <c r="U123" s="124" t="s">
        <v>140</v>
      </c>
      <c r="V123" s="39">
        <v>6</v>
      </c>
      <c r="W123" s="29">
        <v>12459</v>
      </c>
      <c r="X123" s="50" t="s">
        <v>241</v>
      </c>
      <c r="Y123" s="50">
        <v>1</v>
      </c>
      <c r="Z123" s="30">
        <v>41.53</v>
      </c>
      <c r="AA123" s="51" t="s">
        <v>242</v>
      </c>
      <c r="AB123" s="51">
        <v>1</v>
      </c>
      <c r="AC123" s="21" t="s">
        <v>155</v>
      </c>
      <c r="AD123" s="31">
        <v>1.85</v>
      </c>
      <c r="AE123" s="32" t="s">
        <v>147</v>
      </c>
    </row>
    <row r="124" spans="1:31">
      <c r="A124" s="135">
        <v>1</v>
      </c>
      <c r="B124" s="38" t="s">
        <v>238</v>
      </c>
      <c r="C124" s="122">
        <v>2</v>
      </c>
      <c r="D124" s="122">
        <v>901</v>
      </c>
      <c r="E124" s="33">
        <v>8121015</v>
      </c>
      <c r="F124" s="34">
        <v>102</v>
      </c>
      <c r="G124" s="34">
        <v>901102</v>
      </c>
      <c r="H124" s="119">
        <v>28.21</v>
      </c>
      <c r="I124" s="101"/>
      <c r="J124" s="100">
        <v>28.21</v>
      </c>
      <c r="K124" s="22" t="s">
        <v>137</v>
      </c>
      <c r="L124" s="11" t="s">
        <v>138</v>
      </c>
      <c r="M124" s="23" t="s">
        <v>243</v>
      </c>
      <c r="N124" s="122" t="s">
        <v>140</v>
      </c>
      <c r="O124" s="122">
        <v>4</v>
      </c>
      <c r="P124" s="24" t="s">
        <v>239</v>
      </c>
      <c r="Q124" s="25">
        <v>33000</v>
      </c>
      <c r="R124" s="26" t="s">
        <v>240</v>
      </c>
      <c r="S124" s="27" t="s">
        <v>159</v>
      </c>
      <c r="T124" s="27" t="s">
        <v>160</v>
      </c>
      <c r="U124" s="124" t="s">
        <v>140</v>
      </c>
      <c r="V124" s="39">
        <v>6</v>
      </c>
      <c r="W124" s="29">
        <v>8463</v>
      </c>
      <c r="X124" s="50" t="s">
        <v>241</v>
      </c>
      <c r="Y124" s="50"/>
      <c r="Z124" s="30">
        <v>28.21</v>
      </c>
      <c r="AA124" s="51" t="s">
        <v>242</v>
      </c>
      <c r="AB124" s="51">
        <v>1</v>
      </c>
      <c r="AC124" s="21" t="s">
        <v>155</v>
      </c>
      <c r="AD124" s="31">
        <v>1.85</v>
      </c>
      <c r="AE124" s="32" t="s">
        <v>147</v>
      </c>
    </row>
    <row r="125" spans="1:31">
      <c r="A125" s="135">
        <v>1</v>
      </c>
      <c r="B125" s="38" t="s">
        <v>238</v>
      </c>
      <c r="C125" s="122">
        <v>3</v>
      </c>
      <c r="D125" s="122">
        <v>901</v>
      </c>
      <c r="E125" s="33">
        <v>8121011</v>
      </c>
      <c r="F125" s="34">
        <v>103</v>
      </c>
      <c r="G125" s="34">
        <v>901103</v>
      </c>
      <c r="H125" s="119">
        <v>7.29</v>
      </c>
      <c r="I125" s="101"/>
      <c r="J125" s="100">
        <v>7.29</v>
      </c>
      <c r="K125" s="125" t="s">
        <v>244</v>
      </c>
      <c r="L125" s="11" t="s">
        <v>138</v>
      </c>
      <c r="M125" s="23" t="s">
        <v>149</v>
      </c>
      <c r="N125" s="122" t="s">
        <v>150</v>
      </c>
      <c r="O125" s="122">
        <v>3</v>
      </c>
      <c r="P125" s="24" t="s">
        <v>239</v>
      </c>
      <c r="Q125" s="25">
        <v>33000</v>
      </c>
      <c r="R125" s="26" t="s">
        <v>240</v>
      </c>
      <c r="S125" s="27" t="s">
        <v>159</v>
      </c>
      <c r="T125" s="27" t="s">
        <v>160</v>
      </c>
      <c r="U125" s="124" t="s">
        <v>150</v>
      </c>
      <c r="V125" s="39">
        <v>3</v>
      </c>
      <c r="W125" s="29">
        <v>1093.5</v>
      </c>
      <c r="X125" s="50" t="s">
        <v>241</v>
      </c>
      <c r="Y125" s="50"/>
      <c r="Z125" s="30">
        <v>7.29</v>
      </c>
      <c r="AA125" s="51" t="s">
        <v>242</v>
      </c>
      <c r="AB125" s="51">
        <v>1</v>
      </c>
      <c r="AC125" s="122" t="s">
        <v>155</v>
      </c>
      <c r="AD125" s="31">
        <v>1.85</v>
      </c>
      <c r="AE125" s="32" t="s">
        <v>147</v>
      </c>
    </row>
    <row r="126" spans="1:31">
      <c r="A126" s="135">
        <v>1</v>
      </c>
      <c r="B126" s="38" t="s">
        <v>238</v>
      </c>
      <c r="C126" s="122">
        <v>4</v>
      </c>
      <c r="D126" s="122">
        <v>901</v>
      </c>
      <c r="E126" s="33">
        <v>8121019</v>
      </c>
      <c r="F126" s="34">
        <v>104</v>
      </c>
      <c r="G126" s="34">
        <v>901104</v>
      </c>
      <c r="H126" s="119">
        <v>18.5</v>
      </c>
      <c r="I126" s="101"/>
      <c r="J126" s="100">
        <v>18.5</v>
      </c>
      <c r="K126" s="125" t="s">
        <v>137</v>
      </c>
      <c r="L126" s="11" t="s">
        <v>138</v>
      </c>
      <c r="M126" s="23" t="s">
        <v>245</v>
      </c>
      <c r="N126" s="122" t="s">
        <v>150</v>
      </c>
      <c r="O126" s="122">
        <v>3</v>
      </c>
      <c r="P126" s="24" t="s">
        <v>239</v>
      </c>
      <c r="Q126" s="25">
        <v>33000</v>
      </c>
      <c r="R126" s="26" t="s">
        <v>240</v>
      </c>
      <c r="S126" s="27" t="s">
        <v>159</v>
      </c>
      <c r="T126" s="27" t="s">
        <v>160</v>
      </c>
      <c r="U126" s="124" t="s">
        <v>150</v>
      </c>
      <c r="V126" s="39">
        <v>3</v>
      </c>
      <c r="W126" s="29">
        <v>2775</v>
      </c>
      <c r="X126" s="50" t="s">
        <v>241</v>
      </c>
      <c r="Y126" s="50"/>
      <c r="Z126" s="30">
        <v>18.5</v>
      </c>
      <c r="AA126" s="51" t="s">
        <v>242</v>
      </c>
      <c r="AB126" s="51">
        <v>1</v>
      </c>
      <c r="AC126" s="122" t="s">
        <v>155</v>
      </c>
      <c r="AD126" s="31">
        <v>1.85</v>
      </c>
      <c r="AE126" s="32" t="s">
        <v>147</v>
      </c>
    </row>
    <row r="127" spans="1:31">
      <c r="A127" s="135">
        <v>1</v>
      </c>
      <c r="B127" s="38" t="s">
        <v>238</v>
      </c>
      <c r="C127" s="122">
        <v>5</v>
      </c>
      <c r="D127" s="122">
        <v>901</v>
      </c>
      <c r="E127" s="33">
        <v>8121023</v>
      </c>
      <c r="F127" s="34">
        <v>105</v>
      </c>
      <c r="G127" s="34">
        <v>901105</v>
      </c>
      <c r="H127" s="119">
        <v>8.01</v>
      </c>
      <c r="I127" s="101"/>
      <c r="J127" s="100">
        <v>8.01</v>
      </c>
      <c r="K127" s="125" t="s">
        <v>170</v>
      </c>
      <c r="L127" s="11" t="s">
        <v>86</v>
      </c>
      <c r="M127" s="23" t="s">
        <v>149</v>
      </c>
      <c r="N127" s="122" t="s">
        <v>150</v>
      </c>
      <c r="O127" s="122">
        <v>3</v>
      </c>
      <c r="P127" s="24" t="s">
        <v>239</v>
      </c>
      <c r="Q127" s="25">
        <v>33000</v>
      </c>
      <c r="R127" s="26" t="s">
        <v>240</v>
      </c>
      <c r="S127" s="27" t="s">
        <v>159</v>
      </c>
      <c r="T127" s="27" t="s">
        <v>160</v>
      </c>
      <c r="U127" s="124" t="s">
        <v>150</v>
      </c>
      <c r="V127" s="39">
        <v>3</v>
      </c>
      <c r="W127" s="29">
        <v>1201.5</v>
      </c>
      <c r="X127" s="50" t="s">
        <v>241</v>
      </c>
      <c r="Y127" s="50"/>
      <c r="Z127" s="30">
        <v>8.01</v>
      </c>
      <c r="AA127" s="51" t="s">
        <v>242</v>
      </c>
      <c r="AB127" s="51">
        <v>1</v>
      </c>
      <c r="AC127" s="122" t="s">
        <v>155</v>
      </c>
      <c r="AD127" s="31">
        <v>1.85</v>
      </c>
      <c r="AE127" s="32" t="s">
        <v>147</v>
      </c>
    </row>
    <row r="128" spans="1:31">
      <c r="A128" s="135">
        <v>1</v>
      </c>
      <c r="B128" s="38" t="s">
        <v>238</v>
      </c>
      <c r="C128" s="122">
        <v>6</v>
      </c>
      <c r="D128" s="122">
        <v>901</v>
      </c>
      <c r="E128" s="33">
        <v>8121024</v>
      </c>
      <c r="F128" s="34">
        <v>106</v>
      </c>
      <c r="G128" s="34">
        <v>901106</v>
      </c>
      <c r="H128" s="119">
        <v>18.89</v>
      </c>
      <c r="I128" s="101"/>
      <c r="J128" s="100">
        <v>18.89</v>
      </c>
      <c r="K128" s="22" t="s">
        <v>172</v>
      </c>
      <c r="L128" s="23" t="s">
        <v>86</v>
      </c>
      <c r="M128" s="23" t="s">
        <v>246</v>
      </c>
      <c r="N128" s="122" t="s">
        <v>150</v>
      </c>
      <c r="O128" s="122">
        <v>3</v>
      </c>
      <c r="P128" s="24" t="s">
        <v>239</v>
      </c>
      <c r="Q128" s="25">
        <v>33000</v>
      </c>
      <c r="R128" s="26" t="s">
        <v>240</v>
      </c>
      <c r="S128" s="27" t="s">
        <v>159</v>
      </c>
      <c r="T128" s="27" t="s">
        <v>160</v>
      </c>
      <c r="U128" s="124" t="s">
        <v>150</v>
      </c>
      <c r="V128" s="39">
        <v>3</v>
      </c>
      <c r="W128" s="29">
        <v>2833.5</v>
      </c>
      <c r="X128" s="50" t="s">
        <v>241</v>
      </c>
      <c r="Y128" s="50"/>
      <c r="Z128" s="30">
        <v>18.89</v>
      </c>
      <c r="AA128" s="51" t="s">
        <v>242</v>
      </c>
      <c r="AB128" s="51">
        <v>1</v>
      </c>
      <c r="AC128" s="122" t="s">
        <v>155</v>
      </c>
      <c r="AD128" s="31">
        <v>1.85</v>
      </c>
      <c r="AE128" s="32" t="s">
        <v>147</v>
      </c>
    </row>
    <row r="129" spans="1:31">
      <c r="A129" s="135">
        <v>1</v>
      </c>
      <c r="B129" s="38" t="s">
        <v>238</v>
      </c>
      <c r="C129" s="122">
        <v>7</v>
      </c>
      <c r="D129" s="122">
        <v>901</v>
      </c>
      <c r="E129" s="33">
        <v>8121025</v>
      </c>
      <c r="F129" s="34">
        <v>107</v>
      </c>
      <c r="G129" s="34">
        <v>901107</v>
      </c>
      <c r="H129" s="119">
        <v>32.42</v>
      </c>
      <c r="I129" s="101"/>
      <c r="J129" s="100">
        <v>32.42</v>
      </c>
      <c r="K129" s="22" t="s">
        <v>170</v>
      </c>
      <c r="L129" s="23" t="s">
        <v>86</v>
      </c>
      <c r="M129" s="23" t="s">
        <v>149</v>
      </c>
      <c r="N129" s="122" t="s">
        <v>150</v>
      </c>
      <c r="O129" s="122">
        <v>3</v>
      </c>
      <c r="P129" s="24" t="s">
        <v>239</v>
      </c>
      <c r="Q129" s="25">
        <v>33000</v>
      </c>
      <c r="R129" s="26" t="s">
        <v>240</v>
      </c>
      <c r="S129" s="27" t="s">
        <v>159</v>
      </c>
      <c r="T129" s="27" t="s">
        <v>160</v>
      </c>
      <c r="U129" s="124" t="s">
        <v>150</v>
      </c>
      <c r="V129" s="39">
        <v>3</v>
      </c>
      <c r="W129" s="29">
        <v>4863</v>
      </c>
      <c r="X129" s="50" t="s">
        <v>241</v>
      </c>
      <c r="Y129" s="50"/>
      <c r="Z129" s="30">
        <v>32.42</v>
      </c>
      <c r="AA129" s="51" t="s">
        <v>242</v>
      </c>
      <c r="AB129" s="51">
        <v>1</v>
      </c>
      <c r="AC129" s="122" t="s">
        <v>155</v>
      </c>
      <c r="AD129" s="31">
        <v>1.85</v>
      </c>
      <c r="AE129" s="32" t="s">
        <v>147</v>
      </c>
    </row>
    <row r="130" spans="1:31">
      <c r="A130" s="135">
        <v>1</v>
      </c>
      <c r="B130" s="38" t="s">
        <v>238</v>
      </c>
      <c r="C130" s="122">
        <v>8</v>
      </c>
      <c r="D130" s="122">
        <v>901</v>
      </c>
      <c r="E130" s="33">
        <v>8121020</v>
      </c>
      <c r="F130" s="34">
        <v>108</v>
      </c>
      <c r="G130" s="34">
        <v>901108</v>
      </c>
      <c r="H130" s="119">
        <v>13.63</v>
      </c>
      <c r="I130" s="101"/>
      <c r="J130" s="100">
        <v>13.63</v>
      </c>
      <c r="K130" s="22" t="s">
        <v>170</v>
      </c>
      <c r="L130" s="11" t="s">
        <v>86</v>
      </c>
      <c r="M130" s="23" t="s">
        <v>149</v>
      </c>
      <c r="N130" s="122" t="s">
        <v>150</v>
      </c>
      <c r="O130" s="122">
        <v>3</v>
      </c>
      <c r="P130" s="24" t="s">
        <v>239</v>
      </c>
      <c r="Q130" s="25">
        <v>33000</v>
      </c>
      <c r="R130" s="26" t="s">
        <v>240</v>
      </c>
      <c r="S130" s="27" t="s">
        <v>159</v>
      </c>
      <c r="T130" s="27" t="s">
        <v>160</v>
      </c>
      <c r="U130" s="124" t="s">
        <v>150</v>
      </c>
      <c r="V130" s="39">
        <v>3</v>
      </c>
      <c r="W130" s="29">
        <v>2044.5000000000002</v>
      </c>
      <c r="X130" s="50" t="s">
        <v>241</v>
      </c>
      <c r="Y130" s="50"/>
      <c r="Z130" s="30">
        <v>13.63</v>
      </c>
      <c r="AA130" s="51" t="s">
        <v>242</v>
      </c>
      <c r="AB130" s="51">
        <v>1</v>
      </c>
      <c r="AC130" s="21" t="s">
        <v>155</v>
      </c>
      <c r="AD130" s="31">
        <v>1.85</v>
      </c>
      <c r="AE130" s="32" t="s">
        <v>147</v>
      </c>
    </row>
    <row r="131" spans="1:31">
      <c r="A131" s="135">
        <v>1</v>
      </c>
      <c r="B131" s="38" t="s">
        <v>238</v>
      </c>
      <c r="C131" s="122">
        <v>9</v>
      </c>
      <c r="D131" s="122">
        <v>901</v>
      </c>
      <c r="E131" s="33">
        <v>8121018</v>
      </c>
      <c r="F131" s="34">
        <v>109</v>
      </c>
      <c r="G131" s="34">
        <v>901109</v>
      </c>
      <c r="H131" s="119">
        <v>37.64</v>
      </c>
      <c r="I131" s="101"/>
      <c r="J131" s="100">
        <v>37.64</v>
      </c>
      <c r="K131" s="22" t="s">
        <v>170</v>
      </c>
      <c r="L131" s="11" t="s">
        <v>86</v>
      </c>
      <c r="M131" s="23" t="s">
        <v>149</v>
      </c>
      <c r="N131" s="122" t="s">
        <v>150</v>
      </c>
      <c r="O131" s="122">
        <v>3</v>
      </c>
      <c r="P131" s="24" t="s">
        <v>239</v>
      </c>
      <c r="Q131" s="25">
        <v>33000</v>
      </c>
      <c r="R131" s="26" t="s">
        <v>240</v>
      </c>
      <c r="S131" s="27" t="s">
        <v>159</v>
      </c>
      <c r="T131" s="27" t="s">
        <v>160</v>
      </c>
      <c r="U131" s="124" t="s">
        <v>150</v>
      </c>
      <c r="V131" s="39">
        <v>3</v>
      </c>
      <c r="W131" s="29">
        <v>5646</v>
      </c>
      <c r="X131" s="50" t="s">
        <v>241</v>
      </c>
      <c r="Y131" s="50"/>
      <c r="Z131" s="30">
        <v>37.64</v>
      </c>
      <c r="AA131" s="51" t="s">
        <v>242</v>
      </c>
      <c r="AB131" s="51">
        <v>1</v>
      </c>
      <c r="AC131" s="122" t="s">
        <v>146</v>
      </c>
      <c r="AD131" s="31">
        <v>1.65</v>
      </c>
      <c r="AE131" s="32" t="s">
        <v>147</v>
      </c>
    </row>
    <row r="132" spans="1:31">
      <c r="A132" s="135">
        <v>1</v>
      </c>
      <c r="B132" s="38" t="s">
        <v>238</v>
      </c>
      <c r="C132" s="122">
        <v>10</v>
      </c>
      <c r="D132" s="122">
        <v>901</v>
      </c>
      <c r="E132" s="33">
        <v>8121028</v>
      </c>
      <c r="F132" s="34">
        <v>110</v>
      </c>
      <c r="G132" s="34">
        <v>901110</v>
      </c>
      <c r="H132" s="119">
        <v>3.9</v>
      </c>
      <c r="I132" s="101"/>
      <c r="J132" s="100">
        <v>3.9</v>
      </c>
      <c r="K132" s="125" t="s">
        <v>170</v>
      </c>
      <c r="L132" s="11" t="s">
        <v>86</v>
      </c>
      <c r="M132" s="23" t="e">
        <v>#N/A</v>
      </c>
      <c r="N132" s="122" t="s">
        <v>150</v>
      </c>
      <c r="O132" s="122">
        <v>3</v>
      </c>
      <c r="P132" s="24" t="s">
        <v>247</v>
      </c>
      <c r="Q132" s="25"/>
      <c r="R132" s="26" t="s">
        <v>248</v>
      </c>
      <c r="S132" s="27" t="s">
        <v>159</v>
      </c>
      <c r="T132" s="27" t="s">
        <v>160</v>
      </c>
      <c r="U132" s="124" t="s">
        <v>150</v>
      </c>
      <c r="V132" s="39">
        <v>3</v>
      </c>
      <c r="W132" s="29">
        <v>585</v>
      </c>
      <c r="X132" s="50" t="s">
        <v>241</v>
      </c>
      <c r="Y132" s="50"/>
      <c r="Z132" s="30">
        <v>3.9</v>
      </c>
      <c r="AA132" s="51" t="s">
        <v>242</v>
      </c>
      <c r="AB132" s="51">
        <v>1</v>
      </c>
      <c r="AC132" s="21" t="s">
        <v>146</v>
      </c>
      <c r="AD132" s="31">
        <v>1.65</v>
      </c>
      <c r="AE132" s="32" t="s">
        <v>147</v>
      </c>
    </row>
    <row r="133" spans="1:31">
      <c r="A133" s="135">
        <v>1</v>
      </c>
      <c r="B133" s="38" t="s">
        <v>238</v>
      </c>
      <c r="C133" s="122">
        <v>11</v>
      </c>
      <c r="D133" s="122">
        <v>901</v>
      </c>
      <c r="E133" s="33">
        <v>8121029</v>
      </c>
      <c r="F133" s="34">
        <v>111</v>
      </c>
      <c r="G133" s="34">
        <v>901111</v>
      </c>
      <c r="H133" s="119">
        <v>3.91</v>
      </c>
      <c r="I133" s="101"/>
      <c r="J133" s="100">
        <v>3.91</v>
      </c>
      <c r="K133" s="22" t="s">
        <v>137</v>
      </c>
      <c r="L133" s="11" t="s">
        <v>138</v>
      </c>
      <c r="M133" s="23" t="s">
        <v>149</v>
      </c>
      <c r="N133" s="122" t="s">
        <v>150</v>
      </c>
      <c r="O133" s="122">
        <v>3</v>
      </c>
      <c r="P133" s="24" t="s">
        <v>249</v>
      </c>
      <c r="Q133" s="25">
        <v>3900</v>
      </c>
      <c r="R133" s="26" t="s">
        <v>142</v>
      </c>
      <c r="S133" s="27" t="s">
        <v>159</v>
      </c>
      <c r="T133" s="27" t="s">
        <v>160</v>
      </c>
      <c r="U133" s="124" t="s">
        <v>150</v>
      </c>
      <c r="V133" s="39">
        <v>3</v>
      </c>
      <c r="W133" s="29">
        <v>586.5</v>
      </c>
      <c r="X133" s="50" t="s">
        <v>241</v>
      </c>
      <c r="Y133" s="50"/>
      <c r="Z133" s="30">
        <v>3.91</v>
      </c>
      <c r="AA133" s="51" t="s">
        <v>242</v>
      </c>
      <c r="AB133" s="51">
        <v>1</v>
      </c>
      <c r="AC133" s="21" t="s">
        <v>155</v>
      </c>
      <c r="AD133" s="31">
        <v>1.85</v>
      </c>
      <c r="AE133" s="32" t="s">
        <v>147</v>
      </c>
    </row>
    <row r="134" spans="1:31">
      <c r="A134" s="135">
        <v>1</v>
      </c>
      <c r="B134" s="38" t="s">
        <v>238</v>
      </c>
      <c r="C134" s="122">
        <v>12</v>
      </c>
      <c r="D134" s="122">
        <v>901</v>
      </c>
      <c r="E134" s="33">
        <v>8121030</v>
      </c>
      <c r="F134" s="34">
        <v>112</v>
      </c>
      <c r="G134" s="34">
        <v>901112</v>
      </c>
      <c r="H134" s="119">
        <v>19.989999999999998</v>
      </c>
      <c r="I134" s="101"/>
      <c r="J134" s="100">
        <v>19.989999999999998</v>
      </c>
      <c r="K134" s="125" t="s">
        <v>137</v>
      </c>
      <c r="L134" s="11" t="s">
        <v>138</v>
      </c>
      <c r="M134" s="23" t="s">
        <v>250</v>
      </c>
      <c r="N134" s="122" t="s">
        <v>150</v>
      </c>
      <c r="O134" s="122">
        <v>3</v>
      </c>
      <c r="P134" s="24" t="s">
        <v>249</v>
      </c>
      <c r="Q134" s="25">
        <v>3900</v>
      </c>
      <c r="R134" s="26" t="s">
        <v>142</v>
      </c>
      <c r="S134" s="27" t="s">
        <v>159</v>
      </c>
      <c r="T134" s="27" t="s">
        <v>160</v>
      </c>
      <c r="U134" s="124" t="s">
        <v>150</v>
      </c>
      <c r="V134" s="39">
        <v>3</v>
      </c>
      <c r="W134" s="29">
        <v>2998.4999999999995</v>
      </c>
      <c r="X134" s="50" t="s">
        <v>241</v>
      </c>
      <c r="Y134" s="50"/>
      <c r="Z134" s="30">
        <v>19.989999999999998</v>
      </c>
      <c r="AA134" s="51" t="s">
        <v>242</v>
      </c>
      <c r="AB134" s="51">
        <v>1</v>
      </c>
      <c r="AC134" s="122" t="s">
        <v>155</v>
      </c>
      <c r="AD134" s="31">
        <v>1.85</v>
      </c>
      <c r="AE134" s="32" t="s">
        <v>147</v>
      </c>
    </row>
    <row r="135" spans="1:31">
      <c r="A135" s="135">
        <v>1</v>
      </c>
      <c r="B135" s="38" t="s">
        <v>238</v>
      </c>
      <c r="C135" s="122">
        <v>13</v>
      </c>
      <c r="D135" s="122">
        <v>901</v>
      </c>
      <c r="E135" s="33">
        <v>802478</v>
      </c>
      <c r="F135" s="34">
        <v>113</v>
      </c>
      <c r="G135" s="34">
        <v>901113</v>
      </c>
      <c r="H135" s="119">
        <v>16.3</v>
      </c>
      <c r="I135" s="101"/>
      <c r="J135" s="100">
        <v>16.3</v>
      </c>
      <c r="K135" s="125" t="s">
        <v>161</v>
      </c>
      <c r="L135" s="11" t="s">
        <v>138</v>
      </c>
      <c r="M135" s="23" t="s">
        <v>149</v>
      </c>
      <c r="N135" s="122" t="s">
        <v>140</v>
      </c>
      <c r="O135" s="122">
        <v>4</v>
      </c>
      <c r="P135" s="24" t="s">
        <v>251</v>
      </c>
      <c r="Q135" s="25">
        <v>41000</v>
      </c>
      <c r="R135" s="26" t="s">
        <v>252</v>
      </c>
      <c r="S135" s="27" t="s">
        <v>206</v>
      </c>
      <c r="T135" s="27" t="s">
        <v>160</v>
      </c>
      <c r="U135" s="124" t="s">
        <v>140</v>
      </c>
      <c r="V135" s="39">
        <v>6</v>
      </c>
      <c r="W135" s="29">
        <v>4890</v>
      </c>
      <c r="X135" s="50" t="s">
        <v>253</v>
      </c>
      <c r="Y135" s="50">
        <v>1</v>
      </c>
      <c r="Z135" s="30">
        <v>16.3</v>
      </c>
      <c r="AA135" s="51" t="s">
        <v>254</v>
      </c>
      <c r="AB135" s="51">
        <v>4</v>
      </c>
      <c r="AC135" s="21" t="s">
        <v>155</v>
      </c>
      <c r="AD135" s="31">
        <v>1.85</v>
      </c>
      <c r="AE135" s="32" t="s">
        <v>147</v>
      </c>
    </row>
    <row r="136" spans="1:31">
      <c r="A136" s="135">
        <v>1</v>
      </c>
      <c r="B136" s="38" t="s">
        <v>238</v>
      </c>
      <c r="C136" s="122">
        <v>14</v>
      </c>
      <c r="D136" s="122">
        <v>901</v>
      </c>
      <c r="E136" s="33">
        <v>802419</v>
      </c>
      <c r="F136" s="34">
        <v>114</v>
      </c>
      <c r="G136" s="34">
        <v>901114</v>
      </c>
      <c r="H136" s="119">
        <v>15.91</v>
      </c>
      <c r="I136" s="101"/>
      <c r="J136" s="100">
        <v>15.91</v>
      </c>
      <c r="K136" s="125" t="s">
        <v>137</v>
      </c>
      <c r="L136" s="11" t="s">
        <v>138</v>
      </c>
      <c r="M136" s="23" t="s">
        <v>149</v>
      </c>
      <c r="N136" s="122" t="s">
        <v>255</v>
      </c>
      <c r="O136" s="122">
        <v>3</v>
      </c>
      <c r="P136" s="24" t="s">
        <v>251</v>
      </c>
      <c r="Q136" s="25">
        <v>41000</v>
      </c>
      <c r="R136" s="26" t="s">
        <v>252</v>
      </c>
      <c r="S136" s="27" t="s">
        <v>206</v>
      </c>
      <c r="T136" s="27" t="s">
        <v>160</v>
      </c>
      <c r="U136" s="124" t="s">
        <v>140</v>
      </c>
      <c r="V136" s="39">
        <v>6</v>
      </c>
      <c r="W136" s="29">
        <v>4773</v>
      </c>
      <c r="X136" s="50" t="s">
        <v>253</v>
      </c>
      <c r="Y136" s="50"/>
      <c r="Z136" s="30">
        <v>15.91</v>
      </c>
      <c r="AA136" s="51" t="s">
        <v>254</v>
      </c>
      <c r="AB136" s="51">
        <v>4</v>
      </c>
      <c r="AC136" s="122" t="s">
        <v>155</v>
      </c>
      <c r="AD136" s="31">
        <v>1.75</v>
      </c>
      <c r="AE136" s="32" t="s">
        <v>147</v>
      </c>
    </row>
    <row r="137" spans="1:31">
      <c r="A137" s="135">
        <v>1</v>
      </c>
      <c r="B137" s="38" t="s">
        <v>238</v>
      </c>
      <c r="C137" s="122">
        <v>15</v>
      </c>
      <c r="D137" s="122">
        <v>901</v>
      </c>
      <c r="E137" s="33">
        <v>802479</v>
      </c>
      <c r="F137" s="34">
        <v>115</v>
      </c>
      <c r="G137" s="34">
        <v>901115</v>
      </c>
      <c r="H137" s="119">
        <v>18.98</v>
      </c>
      <c r="I137" s="101"/>
      <c r="J137" s="100">
        <v>18.98</v>
      </c>
      <c r="K137" s="125" t="s">
        <v>137</v>
      </c>
      <c r="L137" s="11" t="s">
        <v>138</v>
      </c>
      <c r="M137" s="23" t="s">
        <v>256</v>
      </c>
      <c r="N137" s="122" t="s">
        <v>140</v>
      </c>
      <c r="O137" s="122">
        <v>4</v>
      </c>
      <c r="P137" s="24" t="s">
        <v>251</v>
      </c>
      <c r="Q137" s="25">
        <v>41000</v>
      </c>
      <c r="R137" s="26" t="s">
        <v>252</v>
      </c>
      <c r="S137" s="27" t="s">
        <v>206</v>
      </c>
      <c r="T137" s="27" t="s">
        <v>160</v>
      </c>
      <c r="U137" s="124" t="s">
        <v>140</v>
      </c>
      <c r="V137" s="39">
        <v>6</v>
      </c>
      <c r="W137" s="29">
        <v>5694</v>
      </c>
      <c r="X137" s="50" t="s">
        <v>253</v>
      </c>
      <c r="Y137" s="50"/>
      <c r="Z137" s="30">
        <v>18.98</v>
      </c>
      <c r="AA137" s="51" t="s">
        <v>254</v>
      </c>
      <c r="AB137" s="51">
        <v>4</v>
      </c>
      <c r="AC137" s="122" t="s">
        <v>155</v>
      </c>
      <c r="AD137" s="32">
        <v>1.75</v>
      </c>
      <c r="AE137" s="32" t="s">
        <v>147</v>
      </c>
    </row>
    <row r="138" spans="1:31">
      <c r="A138" s="135">
        <v>1</v>
      </c>
      <c r="B138" s="38" t="s">
        <v>238</v>
      </c>
      <c r="C138" s="122">
        <v>16</v>
      </c>
      <c r="D138" s="122">
        <v>901</v>
      </c>
      <c r="E138" s="33">
        <v>802422</v>
      </c>
      <c r="F138" s="34">
        <v>116</v>
      </c>
      <c r="G138" s="34">
        <v>901116</v>
      </c>
      <c r="H138" s="119">
        <v>17.62</v>
      </c>
      <c r="I138" s="101"/>
      <c r="J138" s="100">
        <v>17.62</v>
      </c>
      <c r="K138" s="125" t="s">
        <v>137</v>
      </c>
      <c r="L138" s="11" t="s">
        <v>138</v>
      </c>
      <c r="M138" s="23" t="s">
        <v>257</v>
      </c>
      <c r="N138" s="122" t="s">
        <v>140</v>
      </c>
      <c r="O138" s="122">
        <v>4</v>
      </c>
      <c r="P138" s="24" t="s">
        <v>251</v>
      </c>
      <c r="Q138" s="25">
        <v>41000</v>
      </c>
      <c r="R138" s="26" t="s">
        <v>252</v>
      </c>
      <c r="S138" s="27" t="s">
        <v>206</v>
      </c>
      <c r="T138" s="27" t="s">
        <v>160</v>
      </c>
      <c r="U138" s="124" t="s">
        <v>140</v>
      </c>
      <c r="V138" s="39">
        <v>6</v>
      </c>
      <c r="W138" s="29">
        <v>5286</v>
      </c>
      <c r="X138" s="50" t="s">
        <v>253</v>
      </c>
      <c r="Y138" s="50"/>
      <c r="Z138" s="30">
        <v>17.62</v>
      </c>
      <c r="AA138" s="51" t="s">
        <v>254</v>
      </c>
      <c r="AB138" s="51">
        <v>4</v>
      </c>
      <c r="AC138" s="122" t="s">
        <v>155</v>
      </c>
      <c r="AD138" s="31">
        <v>1.75</v>
      </c>
      <c r="AE138" s="32" t="s">
        <v>147</v>
      </c>
    </row>
    <row r="139" spans="1:31">
      <c r="A139" s="135">
        <v>1</v>
      </c>
      <c r="B139" s="38" t="s">
        <v>238</v>
      </c>
      <c r="C139" s="122">
        <v>17</v>
      </c>
      <c r="D139" s="122">
        <v>901</v>
      </c>
      <c r="E139" s="33">
        <v>802421</v>
      </c>
      <c r="F139" s="34">
        <v>117</v>
      </c>
      <c r="G139" s="34">
        <v>901117</v>
      </c>
      <c r="H139" s="119">
        <v>29.04</v>
      </c>
      <c r="I139" s="101"/>
      <c r="J139" s="100">
        <v>29.04</v>
      </c>
      <c r="K139" s="125" t="s">
        <v>170</v>
      </c>
      <c r="L139" s="11" t="s">
        <v>86</v>
      </c>
      <c r="M139" s="23" t="s">
        <v>149</v>
      </c>
      <c r="N139" s="122" t="s">
        <v>140</v>
      </c>
      <c r="O139" s="122">
        <v>4</v>
      </c>
      <c r="P139" s="24" t="s">
        <v>251</v>
      </c>
      <c r="Q139" s="25">
        <v>41000</v>
      </c>
      <c r="R139" s="26" t="s">
        <v>252</v>
      </c>
      <c r="S139" s="27" t="s">
        <v>206</v>
      </c>
      <c r="T139" s="27" t="s">
        <v>160</v>
      </c>
      <c r="U139" s="124" t="s">
        <v>140</v>
      </c>
      <c r="V139" s="39">
        <v>6</v>
      </c>
      <c r="W139" s="29">
        <v>8712</v>
      </c>
      <c r="X139" s="50" t="s">
        <v>253</v>
      </c>
      <c r="Y139" s="50"/>
      <c r="Z139" s="30">
        <v>29.04</v>
      </c>
      <c r="AA139" s="51" t="s">
        <v>254</v>
      </c>
      <c r="AB139" s="51">
        <v>4</v>
      </c>
      <c r="AC139" s="122" t="s">
        <v>155</v>
      </c>
      <c r="AD139" s="31">
        <v>1.85</v>
      </c>
      <c r="AE139" s="32" t="s">
        <v>147</v>
      </c>
    </row>
    <row r="140" spans="1:31">
      <c r="A140" s="135">
        <v>1</v>
      </c>
      <c r="B140" s="38" t="s">
        <v>238</v>
      </c>
      <c r="C140" s="122">
        <v>18</v>
      </c>
      <c r="D140" s="122">
        <v>901</v>
      </c>
      <c r="E140" s="33">
        <v>802425</v>
      </c>
      <c r="F140" s="34">
        <v>118</v>
      </c>
      <c r="G140" s="34">
        <v>901118</v>
      </c>
      <c r="H140" s="119">
        <v>29.15</v>
      </c>
      <c r="I140" s="105">
        <v>29.15</v>
      </c>
      <c r="J140" s="100"/>
      <c r="K140" s="125" t="s">
        <v>148</v>
      </c>
      <c r="L140" s="11" t="s">
        <v>148</v>
      </c>
      <c r="M140" s="23" t="s">
        <v>258</v>
      </c>
      <c r="N140" s="122" t="s">
        <v>140</v>
      </c>
      <c r="O140" s="122">
        <v>4</v>
      </c>
      <c r="P140" s="24" t="s">
        <v>251</v>
      </c>
      <c r="Q140" s="25">
        <v>41000</v>
      </c>
      <c r="R140" s="26" t="s">
        <v>252</v>
      </c>
      <c r="S140" s="27" t="s">
        <v>206</v>
      </c>
      <c r="T140" s="27" t="s">
        <v>160</v>
      </c>
      <c r="U140" s="124" t="s">
        <v>140</v>
      </c>
      <c r="V140" s="39">
        <v>6</v>
      </c>
      <c r="W140" s="29">
        <v>0</v>
      </c>
      <c r="X140" s="50" t="s">
        <v>253</v>
      </c>
      <c r="Y140" s="50"/>
      <c r="Z140" s="30">
        <v>0</v>
      </c>
      <c r="AA140" s="51" t="s">
        <v>254</v>
      </c>
      <c r="AB140" s="51">
        <v>4</v>
      </c>
      <c r="AC140" s="122" t="s">
        <v>155</v>
      </c>
      <c r="AD140" s="31">
        <v>1.85</v>
      </c>
      <c r="AE140" s="32" t="s">
        <v>147</v>
      </c>
    </row>
    <row r="141" spans="1:31">
      <c r="A141" s="135">
        <v>1</v>
      </c>
      <c r="B141" s="38" t="s">
        <v>238</v>
      </c>
      <c r="C141" s="122">
        <v>19</v>
      </c>
      <c r="D141" s="122">
        <v>901</v>
      </c>
      <c r="E141" s="33">
        <v>802426</v>
      </c>
      <c r="F141" s="34">
        <v>119</v>
      </c>
      <c r="G141" s="34">
        <v>901119</v>
      </c>
      <c r="H141" s="119">
        <v>4.3499999999999996</v>
      </c>
      <c r="I141" s="105">
        <v>4.3499999999999996</v>
      </c>
      <c r="J141" s="100"/>
      <c r="K141" s="125" t="s">
        <v>148</v>
      </c>
      <c r="L141" s="11" t="s">
        <v>148</v>
      </c>
      <c r="M141" s="23" t="s">
        <v>149</v>
      </c>
      <c r="N141" s="122" t="s">
        <v>140</v>
      </c>
      <c r="O141" s="122">
        <v>4</v>
      </c>
      <c r="P141" s="24" t="s">
        <v>251</v>
      </c>
      <c r="Q141" s="25">
        <v>41000</v>
      </c>
      <c r="R141" s="26" t="s">
        <v>252</v>
      </c>
      <c r="S141" s="27" t="s">
        <v>206</v>
      </c>
      <c r="T141" s="27" t="s">
        <v>160</v>
      </c>
      <c r="U141" s="124" t="s">
        <v>140</v>
      </c>
      <c r="V141" s="39">
        <v>6</v>
      </c>
      <c r="W141" s="29">
        <v>0</v>
      </c>
      <c r="X141" s="50" t="s">
        <v>253</v>
      </c>
      <c r="Y141" s="50"/>
      <c r="Z141" s="30">
        <v>0</v>
      </c>
      <c r="AA141" s="51" t="s">
        <v>254</v>
      </c>
      <c r="AB141" s="51">
        <v>4</v>
      </c>
      <c r="AC141" s="122" t="s">
        <v>155</v>
      </c>
      <c r="AD141" s="31">
        <v>1.85</v>
      </c>
      <c r="AE141" s="32" t="s">
        <v>147</v>
      </c>
    </row>
    <row r="142" spans="1:31">
      <c r="A142" s="135">
        <v>1</v>
      </c>
      <c r="B142" s="38" t="s">
        <v>238</v>
      </c>
      <c r="C142" s="122">
        <v>20</v>
      </c>
      <c r="D142" s="122">
        <v>901</v>
      </c>
      <c r="E142" s="33">
        <v>802467</v>
      </c>
      <c r="F142" s="34">
        <v>120</v>
      </c>
      <c r="G142" s="34">
        <v>901120</v>
      </c>
      <c r="H142" s="119">
        <v>13.79</v>
      </c>
      <c r="I142" s="105">
        <v>13.79</v>
      </c>
      <c r="J142" s="100"/>
      <c r="K142" s="125" t="s">
        <v>148</v>
      </c>
      <c r="L142" s="11" t="s">
        <v>148</v>
      </c>
      <c r="M142" s="23" t="s">
        <v>259</v>
      </c>
      <c r="N142" s="122" t="s">
        <v>140</v>
      </c>
      <c r="O142" s="122">
        <v>4</v>
      </c>
      <c r="P142" s="24" t="s">
        <v>251</v>
      </c>
      <c r="Q142" s="25">
        <v>41000</v>
      </c>
      <c r="R142" s="26" t="s">
        <v>252</v>
      </c>
      <c r="S142" s="27" t="s">
        <v>206</v>
      </c>
      <c r="T142" s="27" t="s">
        <v>160</v>
      </c>
      <c r="U142" s="124" t="s">
        <v>140</v>
      </c>
      <c r="V142" s="39">
        <v>6</v>
      </c>
      <c r="W142" s="29">
        <v>0</v>
      </c>
      <c r="X142" s="50" t="s">
        <v>253</v>
      </c>
      <c r="Y142" s="50"/>
      <c r="Z142" s="30">
        <v>0</v>
      </c>
      <c r="AA142" s="51" t="s">
        <v>254</v>
      </c>
      <c r="AB142" s="51">
        <v>4</v>
      </c>
      <c r="AC142" s="122" t="s">
        <v>155</v>
      </c>
      <c r="AD142" s="31">
        <v>1.85</v>
      </c>
      <c r="AE142" s="32" t="s">
        <v>147</v>
      </c>
    </row>
    <row r="143" spans="1:31">
      <c r="A143" s="135">
        <v>1</v>
      </c>
      <c r="B143" s="38" t="s">
        <v>238</v>
      </c>
      <c r="C143" s="122">
        <v>21</v>
      </c>
      <c r="D143" s="122">
        <v>901</v>
      </c>
      <c r="E143" s="33">
        <v>802430</v>
      </c>
      <c r="F143" s="34">
        <v>121</v>
      </c>
      <c r="G143" s="34">
        <v>901121</v>
      </c>
      <c r="H143" s="119">
        <v>25.02</v>
      </c>
      <c r="I143" s="105">
        <v>25.02</v>
      </c>
      <c r="J143" s="100"/>
      <c r="K143" s="125" t="s">
        <v>148</v>
      </c>
      <c r="L143" s="11" t="s">
        <v>148</v>
      </c>
      <c r="M143" s="23" t="s">
        <v>260</v>
      </c>
      <c r="N143" s="122" t="s">
        <v>255</v>
      </c>
      <c r="O143" s="122">
        <v>3</v>
      </c>
      <c r="P143" s="24" t="s">
        <v>251</v>
      </c>
      <c r="Q143" s="25">
        <v>41000</v>
      </c>
      <c r="R143" s="26" t="s">
        <v>252</v>
      </c>
      <c r="S143" s="27" t="s">
        <v>206</v>
      </c>
      <c r="T143" s="27" t="s">
        <v>160</v>
      </c>
      <c r="U143" s="124" t="s">
        <v>140</v>
      </c>
      <c r="V143" s="39">
        <v>6</v>
      </c>
      <c r="W143" s="29">
        <v>0</v>
      </c>
      <c r="X143" s="50" t="s">
        <v>253</v>
      </c>
      <c r="Y143" s="50"/>
      <c r="Z143" s="30">
        <v>0</v>
      </c>
      <c r="AA143" s="51" t="s">
        <v>254</v>
      </c>
      <c r="AB143" s="51">
        <v>4</v>
      </c>
      <c r="AC143" s="122" t="s">
        <v>155</v>
      </c>
      <c r="AD143" s="31">
        <v>1.75</v>
      </c>
      <c r="AE143" s="32" t="s">
        <v>147</v>
      </c>
    </row>
    <row r="144" spans="1:31">
      <c r="A144" s="135">
        <v>1</v>
      </c>
      <c r="B144" s="38" t="s">
        <v>238</v>
      </c>
      <c r="C144" s="122">
        <v>22</v>
      </c>
      <c r="D144" s="122">
        <v>901</v>
      </c>
      <c r="E144" s="33" t="s">
        <v>261</v>
      </c>
      <c r="F144" s="34">
        <v>122</v>
      </c>
      <c r="G144" s="34">
        <v>901122</v>
      </c>
      <c r="H144" s="119">
        <v>19.73</v>
      </c>
      <c r="I144" s="105">
        <v>19.73</v>
      </c>
      <c r="J144" s="100"/>
      <c r="K144" s="125" t="s">
        <v>148</v>
      </c>
      <c r="L144" s="11" t="s">
        <v>148</v>
      </c>
      <c r="M144" s="23" t="s">
        <v>149</v>
      </c>
      <c r="N144" s="122" t="s">
        <v>140</v>
      </c>
      <c r="O144" s="122">
        <v>4</v>
      </c>
      <c r="P144" s="24" t="s">
        <v>251</v>
      </c>
      <c r="Q144" s="25">
        <v>41000</v>
      </c>
      <c r="R144" s="26" t="s">
        <v>252</v>
      </c>
      <c r="S144" s="27" t="s">
        <v>206</v>
      </c>
      <c r="T144" s="27" t="s">
        <v>160</v>
      </c>
      <c r="U144" s="124" t="s">
        <v>140</v>
      </c>
      <c r="V144" s="39">
        <v>6</v>
      </c>
      <c r="W144" s="29">
        <v>0</v>
      </c>
      <c r="X144" s="50" t="s">
        <v>253</v>
      </c>
      <c r="Y144" s="50"/>
      <c r="Z144" s="30">
        <v>0</v>
      </c>
      <c r="AA144" s="51" t="s">
        <v>254</v>
      </c>
      <c r="AB144" s="51">
        <v>4</v>
      </c>
      <c r="AC144" s="122" t="s">
        <v>155</v>
      </c>
      <c r="AD144" s="31">
        <v>1.85</v>
      </c>
      <c r="AE144" s="32" t="s">
        <v>147</v>
      </c>
    </row>
    <row r="145" spans="1:31">
      <c r="A145" s="135">
        <v>1</v>
      </c>
      <c r="B145" s="38" t="s">
        <v>238</v>
      </c>
      <c r="C145" s="122">
        <v>23</v>
      </c>
      <c r="D145" s="122">
        <v>901</v>
      </c>
      <c r="E145" s="33">
        <v>802428</v>
      </c>
      <c r="F145" s="34">
        <v>123</v>
      </c>
      <c r="G145" s="34">
        <v>901123</v>
      </c>
      <c r="H145" s="119">
        <v>29.93</v>
      </c>
      <c r="I145" s="105">
        <v>29.93</v>
      </c>
      <c r="J145" s="100"/>
      <c r="K145" s="125" t="s">
        <v>148</v>
      </c>
      <c r="L145" s="11" t="s">
        <v>148</v>
      </c>
      <c r="M145" s="23" t="s">
        <v>149</v>
      </c>
      <c r="N145" s="122" t="s">
        <v>140</v>
      </c>
      <c r="O145" s="122">
        <v>4</v>
      </c>
      <c r="P145" s="24" t="s">
        <v>251</v>
      </c>
      <c r="Q145" s="25">
        <v>41000</v>
      </c>
      <c r="R145" s="26" t="s">
        <v>252</v>
      </c>
      <c r="S145" s="27" t="s">
        <v>206</v>
      </c>
      <c r="T145" s="27" t="s">
        <v>160</v>
      </c>
      <c r="U145" s="124" t="s">
        <v>140</v>
      </c>
      <c r="V145" s="39">
        <v>6</v>
      </c>
      <c r="W145" s="29">
        <v>0</v>
      </c>
      <c r="X145" s="50" t="s">
        <v>253</v>
      </c>
      <c r="Y145" s="50"/>
      <c r="Z145" s="30">
        <v>0</v>
      </c>
      <c r="AA145" s="51" t="s">
        <v>254</v>
      </c>
      <c r="AB145" s="51">
        <v>4</v>
      </c>
      <c r="AC145" s="122" t="s">
        <v>155</v>
      </c>
      <c r="AD145" s="31">
        <v>1.85</v>
      </c>
      <c r="AE145" s="32" t="s">
        <v>147</v>
      </c>
    </row>
    <row r="146" spans="1:31">
      <c r="A146" s="135">
        <v>1</v>
      </c>
      <c r="B146" s="38" t="s">
        <v>238</v>
      </c>
      <c r="C146" s="122">
        <v>24</v>
      </c>
      <c r="D146" s="122">
        <v>901</v>
      </c>
      <c r="E146" s="33">
        <v>802441</v>
      </c>
      <c r="F146" s="34">
        <v>124</v>
      </c>
      <c r="G146" s="34">
        <v>901124</v>
      </c>
      <c r="H146" s="119">
        <v>10.91</v>
      </c>
      <c r="I146" s="101"/>
      <c r="J146" s="100">
        <v>10.91</v>
      </c>
      <c r="K146" s="22" t="s">
        <v>137</v>
      </c>
      <c r="L146" s="11" t="s">
        <v>138</v>
      </c>
      <c r="M146" s="23" t="s">
        <v>260</v>
      </c>
      <c r="N146" s="122" t="s">
        <v>140</v>
      </c>
      <c r="O146" s="122">
        <v>5</v>
      </c>
      <c r="P146" s="24" t="s">
        <v>251</v>
      </c>
      <c r="Q146" s="25">
        <v>41000</v>
      </c>
      <c r="R146" s="26" t="s">
        <v>252</v>
      </c>
      <c r="S146" s="27" t="s">
        <v>206</v>
      </c>
      <c r="T146" s="27" t="s">
        <v>160</v>
      </c>
      <c r="U146" s="124" t="s">
        <v>140</v>
      </c>
      <c r="V146" s="39">
        <v>6</v>
      </c>
      <c r="W146" s="29">
        <v>3273</v>
      </c>
      <c r="X146" s="50" t="s">
        <v>253</v>
      </c>
      <c r="Y146" s="50"/>
      <c r="Z146" s="30">
        <v>10.91</v>
      </c>
      <c r="AA146" s="51" t="s">
        <v>254</v>
      </c>
      <c r="AB146" s="51">
        <v>4</v>
      </c>
      <c r="AC146" s="21" t="s">
        <v>155</v>
      </c>
      <c r="AD146" s="31">
        <v>1.75</v>
      </c>
      <c r="AE146" s="32" t="s">
        <v>147</v>
      </c>
    </row>
    <row r="147" spans="1:31">
      <c r="A147" s="135">
        <v>1</v>
      </c>
      <c r="B147" s="38" t="s">
        <v>238</v>
      </c>
      <c r="C147" s="122">
        <v>25</v>
      </c>
      <c r="D147" s="122">
        <v>901</v>
      </c>
      <c r="E147" s="33" t="s">
        <v>262</v>
      </c>
      <c r="F147" s="34">
        <v>125</v>
      </c>
      <c r="G147" s="34">
        <v>901125</v>
      </c>
      <c r="H147" s="119">
        <v>22.17</v>
      </c>
      <c r="I147" s="101"/>
      <c r="J147" s="100">
        <v>22.17</v>
      </c>
      <c r="K147" s="22" t="s">
        <v>137</v>
      </c>
      <c r="L147" s="11" t="s">
        <v>138</v>
      </c>
      <c r="M147" s="23" t="s">
        <v>260</v>
      </c>
      <c r="N147" s="122" t="s">
        <v>140</v>
      </c>
      <c r="O147" s="122">
        <v>4</v>
      </c>
      <c r="P147" s="24" t="s">
        <v>251</v>
      </c>
      <c r="Q147" s="25">
        <v>41000</v>
      </c>
      <c r="R147" s="26" t="s">
        <v>252</v>
      </c>
      <c r="S147" s="27" t="s">
        <v>206</v>
      </c>
      <c r="T147" s="27" t="s">
        <v>160</v>
      </c>
      <c r="U147" s="124" t="s">
        <v>140</v>
      </c>
      <c r="V147" s="39">
        <v>6</v>
      </c>
      <c r="W147" s="29">
        <v>6651.0000000000009</v>
      </c>
      <c r="X147" s="50" t="s">
        <v>253</v>
      </c>
      <c r="Y147" s="50"/>
      <c r="Z147" s="30">
        <v>22.17</v>
      </c>
      <c r="AA147" s="51" t="s">
        <v>254</v>
      </c>
      <c r="AB147" s="51">
        <v>4</v>
      </c>
      <c r="AC147" s="21" t="s">
        <v>155</v>
      </c>
      <c r="AD147" s="31">
        <v>1.75</v>
      </c>
      <c r="AE147" s="32" t="s">
        <v>147</v>
      </c>
    </row>
    <row r="148" spans="1:31">
      <c r="A148" s="135">
        <v>1</v>
      </c>
      <c r="B148" s="38" t="s">
        <v>238</v>
      </c>
      <c r="C148" s="122">
        <v>26</v>
      </c>
      <c r="D148" s="122">
        <v>901</v>
      </c>
      <c r="E148" s="33">
        <v>802434</v>
      </c>
      <c r="F148" s="34">
        <v>126</v>
      </c>
      <c r="G148" s="34">
        <v>901126</v>
      </c>
      <c r="H148" s="119">
        <v>6.75</v>
      </c>
      <c r="I148" s="101"/>
      <c r="J148" s="100">
        <v>6.75</v>
      </c>
      <c r="K148" s="22" t="s">
        <v>161</v>
      </c>
      <c r="L148" s="11" t="s">
        <v>138</v>
      </c>
      <c r="M148" s="23" t="s">
        <v>156</v>
      </c>
      <c r="N148" s="122" t="s">
        <v>140</v>
      </c>
      <c r="O148" s="122">
        <v>5</v>
      </c>
      <c r="P148" s="24" t="s">
        <v>251</v>
      </c>
      <c r="Q148" s="25">
        <v>41000</v>
      </c>
      <c r="R148" s="26" t="s">
        <v>252</v>
      </c>
      <c r="S148" s="27" t="s">
        <v>206</v>
      </c>
      <c r="T148" s="27" t="s">
        <v>160</v>
      </c>
      <c r="U148" s="124" t="s">
        <v>140</v>
      </c>
      <c r="V148" s="39">
        <v>6</v>
      </c>
      <c r="W148" s="29">
        <v>2025</v>
      </c>
      <c r="X148" s="50" t="s">
        <v>253</v>
      </c>
      <c r="Y148" s="50"/>
      <c r="Z148" s="30">
        <v>6.75</v>
      </c>
      <c r="AA148" s="51" t="s">
        <v>254</v>
      </c>
      <c r="AB148" s="51">
        <v>4</v>
      </c>
      <c r="AC148" s="21" t="s">
        <v>155</v>
      </c>
      <c r="AD148" s="31">
        <v>1.85</v>
      </c>
      <c r="AE148" s="32" t="s">
        <v>147</v>
      </c>
    </row>
    <row r="149" spans="1:31">
      <c r="A149" s="135">
        <v>1</v>
      </c>
      <c r="B149" s="38" t="s">
        <v>238</v>
      </c>
      <c r="C149" s="122">
        <v>27</v>
      </c>
      <c r="D149" s="122">
        <v>901</v>
      </c>
      <c r="E149" s="33">
        <v>802435</v>
      </c>
      <c r="F149" s="34">
        <v>127</v>
      </c>
      <c r="G149" s="34">
        <v>901127</v>
      </c>
      <c r="H149" s="119">
        <v>25.43</v>
      </c>
      <c r="I149" s="101"/>
      <c r="J149" s="100">
        <v>25.43</v>
      </c>
      <c r="K149" s="22" t="s">
        <v>161</v>
      </c>
      <c r="L149" s="11" t="s">
        <v>138</v>
      </c>
      <c r="M149" s="23" t="s">
        <v>149</v>
      </c>
      <c r="N149" s="122" t="s">
        <v>140</v>
      </c>
      <c r="O149" s="122">
        <v>5</v>
      </c>
      <c r="P149" s="24" t="s">
        <v>251</v>
      </c>
      <c r="Q149" s="25">
        <v>41000</v>
      </c>
      <c r="R149" s="26" t="s">
        <v>252</v>
      </c>
      <c r="S149" s="27" t="s">
        <v>206</v>
      </c>
      <c r="T149" s="27" t="s">
        <v>160</v>
      </c>
      <c r="U149" s="124" t="s">
        <v>140</v>
      </c>
      <c r="V149" s="39">
        <v>6</v>
      </c>
      <c r="W149" s="29">
        <v>7629</v>
      </c>
      <c r="X149" s="50" t="s">
        <v>253</v>
      </c>
      <c r="Y149" s="50"/>
      <c r="Z149" s="30">
        <v>25.43</v>
      </c>
      <c r="AA149" s="51" t="s">
        <v>254</v>
      </c>
      <c r="AB149" s="51">
        <v>4</v>
      </c>
      <c r="AC149" s="21" t="s">
        <v>155</v>
      </c>
      <c r="AD149" s="31">
        <v>1.85</v>
      </c>
      <c r="AE149" s="32" t="s">
        <v>147</v>
      </c>
    </row>
    <row r="150" spans="1:31">
      <c r="A150" s="135">
        <v>1</v>
      </c>
      <c r="B150" s="38" t="s">
        <v>238</v>
      </c>
      <c r="C150" s="122">
        <v>28</v>
      </c>
      <c r="D150" s="122">
        <v>901</v>
      </c>
      <c r="E150" s="33">
        <v>802444</v>
      </c>
      <c r="F150" s="34">
        <v>128</v>
      </c>
      <c r="G150" s="34">
        <v>901128</v>
      </c>
      <c r="H150" s="119">
        <v>24.31</v>
      </c>
      <c r="I150" s="101"/>
      <c r="J150" s="100">
        <v>24.31</v>
      </c>
      <c r="K150" s="22" t="s">
        <v>161</v>
      </c>
      <c r="L150" s="11" t="s">
        <v>138</v>
      </c>
      <c r="M150" s="23" t="s">
        <v>149</v>
      </c>
      <c r="N150" s="122" t="s">
        <v>140</v>
      </c>
      <c r="O150" s="122">
        <v>5</v>
      </c>
      <c r="P150" s="24" t="s">
        <v>251</v>
      </c>
      <c r="Q150" s="25">
        <v>41000</v>
      </c>
      <c r="R150" s="26" t="s">
        <v>252</v>
      </c>
      <c r="S150" s="27" t="s">
        <v>206</v>
      </c>
      <c r="T150" s="27" t="s">
        <v>160</v>
      </c>
      <c r="U150" s="124" t="s">
        <v>140</v>
      </c>
      <c r="V150" s="39">
        <v>6</v>
      </c>
      <c r="W150" s="29">
        <v>7293</v>
      </c>
      <c r="X150" s="50" t="s">
        <v>253</v>
      </c>
      <c r="Y150" s="50"/>
      <c r="Z150" s="30">
        <v>24.31</v>
      </c>
      <c r="AA150" s="51" t="s">
        <v>254</v>
      </c>
      <c r="AB150" s="51">
        <v>4</v>
      </c>
      <c r="AC150" s="21" t="s">
        <v>155</v>
      </c>
      <c r="AD150" s="31">
        <v>1.85</v>
      </c>
      <c r="AE150" s="32" t="s">
        <v>147</v>
      </c>
    </row>
    <row r="151" spans="1:31">
      <c r="A151" s="135">
        <v>1</v>
      </c>
      <c r="B151" s="38" t="s">
        <v>238</v>
      </c>
      <c r="C151" s="122">
        <v>34</v>
      </c>
      <c r="D151" s="122">
        <v>901</v>
      </c>
      <c r="E151" s="33">
        <v>802447</v>
      </c>
      <c r="F151" s="34">
        <v>134</v>
      </c>
      <c r="G151" s="34">
        <v>901134</v>
      </c>
      <c r="H151" s="119">
        <v>8.92</v>
      </c>
      <c r="I151" s="101"/>
      <c r="J151" s="100">
        <v>8.92</v>
      </c>
      <c r="K151" s="125" t="s">
        <v>137</v>
      </c>
      <c r="L151" s="11" t="s">
        <v>138</v>
      </c>
      <c r="M151" s="23" t="s">
        <v>203</v>
      </c>
      <c r="N151" s="122" t="s">
        <v>140</v>
      </c>
      <c r="O151" s="122">
        <v>4</v>
      </c>
      <c r="P151" s="24" t="s">
        <v>251</v>
      </c>
      <c r="Q151" s="25">
        <v>41000</v>
      </c>
      <c r="R151" s="26" t="s">
        <v>252</v>
      </c>
      <c r="S151" s="27" t="s">
        <v>206</v>
      </c>
      <c r="T151" s="27" t="s">
        <v>160</v>
      </c>
      <c r="U151" s="124" t="s">
        <v>140</v>
      </c>
      <c r="V151" s="39">
        <v>6</v>
      </c>
      <c r="W151" s="29">
        <v>2676</v>
      </c>
      <c r="X151" s="50" t="s">
        <v>253</v>
      </c>
      <c r="Y151" s="50"/>
      <c r="Z151" s="30">
        <v>8.92</v>
      </c>
      <c r="AA151" s="51" t="s">
        <v>254</v>
      </c>
      <c r="AB151" s="51">
        <v>4</v>
      </c>
      <c r="AC151" s="122" t="s">
        <v>155</v>
      </c>
      <c r="AD151" s="32">
        <v>1.85</v>
      </c>
      <c r="AE151" s="32" t="s">
        <v>147</v>
      </c>
    </row>
    <row r="152" spans="1:31">
      <c r="A152" s="135">
        <v>1</v>
      </c>
      <c r="B152" s="38" t="s">
        <v>238</v>
      </c>
      <c r="C152" s="122">
        <v>35</v>
      </c>
      <c r="D152" s="122">
        <v>901</v>
      </c>
      <c r="E152" s="33">
        <v>2005</v>
      </c>
      <c r="F152" s="34">
        <v>135</v>
      </c>
      <c r="G152" s="34">
        <v>901135</v>
      </c>
      <c r="H152" s="119">
        <v>35.51</v>
      </c>
      <c r="I152" s="101"/>
      <c r="J152" s="100">
        <v>35.51</v>
      </c>
      <c r="K152" s="22" t="s">
        <v>137</v>
      </c>
      <c r="L152" s="11" t="s">
        <v>138</v>
      </c>
      <c r="M152" s="23" t="s">
        <v>181</v>
      </c>
      <c r="N152" s="122" t="s">
        <v>150</v>
      </c>
      <c r="O152" s="122">
        <v>2</v>
      </c>
      <c r="P152" s="24" t="s">
        <v>263</v>
      </c>
      <c r="Q152" s="25">
        <v>10000</v>
      </c>
      <c r="R152" s="26" t="s">
        <v>142</v>
      </c>
      <c r="S152" s="27" t="s">
        <v>159</v>
      </c>
      <c r="T152" s="27" t="s">
        <v>160</v>
      </c>
      <c r="U152" s="124" t="s">
        <v>150</v>
      </c>
      <c r="V152" s="39">
        <v>3</v>
      </c>
      <c r="W152" s="29">
        <v>5326.5</v>
      </c>
      <c r="X152" s="50" t="s">
        <v>241</v>
      </c>
      <c r="Y152" s="50"/>
      <c r="Z152" s="30">
        <v>35.51</v>
      </c>
      <c r="AA152" s="51" t="s">
        <v>242</v>
      </c>
      <c r="AB152" s="51">
        <v>1</v>
      </c>
      <c r="AC152" s="21" t="s">
        <v>155</v>
      </c>
      <c r="AD152" s="31">
        <v>1.85</v>
      </c>
      <c r="AE152" s="32" t="s">
        <v>147</v>
      </c>
    </row>
    <row r="153" spans="1:31">
      <c r="A153" s="135">
        <v>1</v>
      </c>
      <c r="B153" s="38" t="s">
        <v>238</v>
      </c>
      <c r="C153" s="122">
        <v>36</v>
      </c>
      <c r="D153" s="122">
        <v>901</v>
      </c>
      <c r="E153" s="33">
        <v>2006</v>
      </c>
      <c r="F153" s="34">
        <v>136</v>
      </c>
      <c r="G153" s="34">
        <v>901136</v>
      </c>
      <c r="H153" s="119">
        <v>7.26</v>
      </c>
      <c r="I153" s="101"/>
      <c r="J153" s="100">
        <v>7.26</v>
      </c>
      <c r="K153" s="125" t="s">
        <v>172</v>
      </c>
      <c r="L153" s="11" t="s">
        <v>86</v>
      </c>
      <c r="M153" s="23" t="s">
        <v>203</v>
      </c>
      <c r="N153" s="122" t="s">
        <v>150</v>
      </c>
      <c r="O153" s="122">
        <v>2</v>
      </c>
      <c r="P153" s="24" t="s">
        <v>263</v>
      </c>
      <c r="Q153" s="25">
        <v>10000</v>
      </c>
      <c r="R153" s="26" t="s">
        <v>142</v>
      </c>
      <c r="S153" s="27" t="s">
        <v>159</v>
      </c>
      <c r="T153" s="27" t="s">
        <v>160</v>
      </c>
      <c r="U153" s="124" t="s">
        <v>150</v>
      </c>
      <c r="V153" s="39">
        <v>3</v>
      </c>
      <c r="W153" s="29">
        <v>1089</v>
      </c>
      <c r="X153" s="50" t="s">
        <v>241</v>
      </c>
      <c r="Y153" s="50"/>
      <c r="Z153" s="30">
        <v>7.26</v>
      </c>
      <c r="AA153" s="51" t="s">
        <v>242</v>
      </c>
      <c r="AB153" s="51">
        <v>1</v>
      </c>
      <c r="AC153" s="21" t="s">
        <v>155</v>
      </c>
      <c r="AD153" s="31">
        <v>1.85</v>
      </c>
      <c r="AE153" s="32" t="s">
        <v>147</v>
      </c>
    </row>
    <row r="154" spans="1:31">
      <c r="A154" s="135">
        <v>1</v>
      </c>
      <c r="B154" s="38" t="s">
        <v>238</v>
      </c>
      <c r="C154" s="122">
        <v>37</v>
      </c>
      <c r="D154" s="122">
        <v>901</v>
      </c>
      <c r="E154" s="33">
        <v>2009</v>
      </c>
      <c r="F154" s="34">
        <v>137</v>
      </c>
      <c r="G154" s="34">
        <v>901137</v>
      </c>
      <c r="H154" s="119">
        <v>11.6</v>
      </c>
      <c r="I154" s="101"/>
      <c r="J154" s="100">
        <v>11.6</v>
      </c>
      <c r="K154" s="22" t="s">
        <v>137</v>
      </c>
      <c r="L154" s="11" t="s">
        <v>138</v>
      </c>
      <c r="M154" s="23" t="s">
        <v>184</v>
      </c>
      <c r="N154" s="122" t="s">
        <v>150</v>
      </c>
      <c r="O154" s="122">
        <v>2</v>
      </c>
      <c r="P154" s="24" t="s">
        <v>264</v>
      </c>
      <c r="Q154" s="25">
        <v>4800</v>
      </c>
      <c r="R154" s="26" t="s">
        <v>142</v>
      </c>
      <c r="S154" s="27" t="s">
        <v>159</v>
      </c>
      <c r="T154" s="27" t="s">
        <v>160</v>
      </c>
      <c r="U154" s="124" t="s">
        <v>150</v>
      </c>
      <c r="V154" s="39">
        <v>2</v>
      </c>
      <c r="W154" s="29">
        <v>1160</v>
      </c>
      <c r="X154" s="50" t="s">
        <v>241</v>
      </c>
      <c r="Y154" s="50"/>
      <c r="Z154" s="30">
        <v>11.6</v>
      </c>
      <c r="AA154" s="51" t="s">
        <v>242</v>
      </c>
      <c r="AB154" s="51">
        <v>1</v>
      </c>
      <c r="AC154" s="21" t="s">
        <v>155</v>
      </c>
      <c r="AD154" s="31">
        <v>1.85</v>
      </c>
      <c r="AE154" s="32" t="s">
        <v>147</v>
      </c>
    </row>
    <row r="155" spans="1:31">
      <c r="A155" s="135">
        <v>1</v>
      </c>
      <c r="B155" s="38" t="s">
        <v>238</v>
      </c>
      <c r="C155" s="122">
        <v>38</v>
      </c>
      <c r="D155" s="122">
        <v>901</v>
      </c>
      <c r="E155" s="33">
        <v>2010</v>
      </c>
      <c r="F155" s="34">
        <v>138</v>
      </c>
      <c r="G155" s="34">
        <v>901138</v>
      </c>
      <c r="H155" s="119">
        <v>6.27</v>
      </c>
      <c r="I155" s="101"/>
      <c r="J155" s="100">
        <v>6.27</v>
      </c>
      <c r="K155" s="22" t="s">
        <v>170</v>
      </c>
      <c r="L155" s="11" t="s">
        <v>86</v>
      </c>
      <c r="M155" s="23" t="s">
        <v>203</v>
      </c>
      <c r="N155" s="122" t="s">
        <v>150</v>
      </c>
      <c r="O155" s="122">
        <v>2</v>
      </c>
      <c r="P155" s="24" t="s">
        <v>264</v>
      </c>
      <c r="Q155" s="25">
        <v>4800</v>
      </c>
      <c r="R155" s="26" t="s">
        <v>142</v>
      </c>
      <c r="S155" s="27" t="s">
        <v>159</v>
      </c>
      <c r="T155" s="27" t="s">
        <v>160</v>
      </c>
      <c r="U155" s="124" t="s">
        <v>150</v>
      </c>
      <c r="V155" s="39">
        <v>2</v>
      </c>
      <c r="W155" s="29">
        <v>627</v>
      </c>
      <c r="X155" s="50" t="s">
        <v>241</v>
      </c>
      <c r="Y155" s="50"/>
      <c r="Z155" s="30">
        <v>6.27</v>
      </c>
      <c r="AA155" s="51" t="s">
        <v>242</v>
      </c>
      <c r="AB155" s="51">
        <v>1</v>
      </c>
      <c r="AC155" s="21" t="s">
        <v>155</v>
      </c>
      <c r="AD155" s="31">
        <v>1.85</v>
      </c>
      <c r="AE155" s="32" t="s">
        <v>147</v>
      </c>
    </row>
    <row r="156" spans="1:31">
      <c r="A156" s="135">
        <v>1</v>
      </c>
      <c r="B156" s="38" t="s">
        <v>238</v>
      </c>
      <c r="C156" s="122">
        <v>39</v>
      </c>
      <c r="D156" s="122">
        <v>901</v>
      </c>
      <c r="E156" s="33">
        <v>2004</v>
      </c>
      <c r="F156" s="34">
        <v>139</v>
      </c>
      <c r="G156" s="34">
        <v>901139</v>
      </c>
      <c r="H156" s="119">
        <v>14.82</v>
      </c>
      <c r="I156" s="101"/>
      <c r="J156" s="101">
        <v>14.82</v>
      </c>
      <c r="K156" s="22" t="s">
        <v>172</v>
      </c>
      <c r="L156" s="23" t="s">
        <v>86</v>
      </c>
      <c r="M156" s="23" t="s">
        <v>149</v>
      </c>
      <c r="N156" s="122" t="s">
        <v>150</v>
      </c>
      <c r="O156" s="122">
        <v>2</v>
      </c>
      <c r="P156" s="24" t="s">
        <v>264</v>
      </c>
      <c r="Q156" s="25">
        <v>4800</v>
      </c>
      <c r="R156" s="26" t="s">
        <v>142</v>
      </c>
      <c r="S156" s="27" t="s">
        <v>159</v>
      </c>
      <c r="T156" s="27" t="s">
        <v>160</v>
      </c>
      <c r="U156" s="124" t="s">
        <v>150</v>
      </c>
      <c r="V156" s="39">
        <v>2</v>
      </c>
      <c r="W156" s="29">
        <v>1482</v>
      </c>
      <c r="X156" s="50" t="s">
        <v>241</v>
      </c>
      <c r="Y156" s="50"/>
      <c r="Z156" s="30">
        <v>14.82</v>
      </c>
      <c r="AA156" s="51" t="s">
        <v>242</v>
      </c>
      <c r="AB156" s="51">
        <v>1</v>
      </c>
      <c r="AC156" s="122" t="s">
        <v>155</v>
      </c>
      <c r="AD156" s="31">
        <v>1.85</v>
      </c>
      <c r="AE156" s="32" t="s">
        <v>147</v>
      </c>
    </row>
    <row r="157" spans="1:31">
      <c r="A157" s="135">
        <v>1</v>
      </c>
      <c r="B157" s="38" t="s">
        <v>238</v>
      </c>
      <c r="C157" s="122">
        <v>40</v>
      </c>
      <c r="D157" s="122">
        <v>901</v>
      </c>
      <c r="E157" s="33">
        <v>2003</v>
      </c>
      <c r="F157" s="34">
        <v>140</v>
      </c>
      <c r="G157" s="34">
        <v>901140</v>
      </c>
      <c r="H157" s="119">
        <v>15.2</v>
      </c>
      <c r="I157" s="101"/>
      <c r="J157" s="100">
        <v>15.2</v>
      </c>
      <c r="K157" s="22" t="s">
        <v>172</v>
      </c>
      <c r="L157" s="11" t="s">
        <v>86</v>
      </c>
      <c r="M157" s="23" t="s">
        <v>149</v>
      </c>
      <c r="N157" s="122" t="s">
        <v>150</v>
      </c>
      <c r="O157" s="122">
        <v>2</v>
      </c>
      <c r="P157" s="24" t="s">
        <v>264</v>
      </c>
      <c r="Q157" s="25">
        <v>4800</v>
      </c>
      <c r="R157" s="26" t="s">
        <v>142</v>
      </c>
      <c r="S157" s="27" t="s">
        <v>159</v>
      </c>
      <c r="T157" s="27" t="s">
        <v>160</v>
      </c>
      <c r="U157" s="124" t="s">
        <v>150</v>
      </c>
      <c r="V157" s="39">
        <v>2</v>
      </c>
      <c r="W157" s="29">
        <v>1520</v>
      </c>
      <c r="X157" s="50" t="s">
        <v>241</v>
      </c>
      <c r="Y157" s="50"/>
      <c r="Z157" s="30">
        <v>15.2</v>
      </c>
      <c r="AA157" s="51" t="s">
        <v>242</v>
      </c>
      <c r="AB157" s="51">
        <v>1</v>
      </c>
      <c r="AC157" s="122" t="s">
        <v>155</v>
      </c>
      <c r="AD157" s="32">
        <v>1.85</v>
      </c>
      <c r="AE157" s="32" t="s">
        <v>147</v>
      </c>
    </row>
    <row r="158" spans="1:31">
      <c r="A158" s="135">
        <v>1</v>
      </c>
      <c r="B158" s="38" t="s">
        <v>238</v>
      </c>
      <c r="C158" s="122">
        <v>41</v>
      </c>
      <c r="D158" s="122">
        <v>901</v>
      </c>
      <c r="E158" s="33">
        <v>2002</v>
      </c>
      <c r="F158" s="34">
        <v>141</v>
      </c>
      <c r="G158" s="34">
        <v>901141</v>
      </c>
      <c r="H158" s="119">
        <v>15.95</v>
      </c>
      <c r="I158" s="101"/>
      <c r="J158" s="100">
        <v>15.95</v>
      </c>
      <c r="K158" s="125" t="s">
        <v>172</v>
      </c>
      <c r="L158" s="11" t="s">
        <v>86</v>
      </c>
      <c r="M158" s="23" t="s">
        <v>265</v>
      </c>
      <c r="N158" s="122" t="s">
        <v>150</v>
      </c>
      <c r="O158" s="122">
        <v>3</v>
      </c>
      <c r="P158" s="24" t="s">
        <v>264</v>
      </c>
      <c r="Q158" s="25">
        <v>4800</v>
      </c>
      <c r="R158" s="26" t="s">
        <v>142</v>
      </c>
      <c r="S158" s="27" t="s">
        <v>159</v>
      </c>
      <c r="T158" s="27" t="s">
        <v>160</v>
      </c>
      <c r="U158" s="124" t="s">
        <v>150</v>
      </c>
      <c r="V158" s="39">
        <v>2</v>
      </c>
      <c r="W158" s="29">
        <v>1595</v>
      </c>
      <c r="X158" s="50" t="s">
        <v>241</v>
      </c>
      <c r="Y158" s="50"/>
      <c r="Z158" s="30">
        <v>15.95</v>
      </c>
      <c r="AA158" s="51" t="s">
        <v>242</v>
      </c>
      <c r="AB158" s="51">
        <v>1</v>
      </c>
      <c r="AC158" s="122" t="s">
        <v>155</v>
      </c>
      <c r="AD158" s="32">
        <v>1.85</v>
      </c>
      <c r="AE158" s="32" t="s">
        <v>147</v>
      </c>
    </row>
    <row r="159" spans="1:31">
      <c r="A159" s="135">
        <v>1</v>
      </c>
      <c r="B159" s="38" t="s">
        <v>238</v>
      </c>
      <c r="C159" s="122">
        <v>42</v>
      </c>
      <c r="D159" s="122">
        <v>901</v>
      </c>
      <c r="E159" s="33">
        <v>2001</v>
      </c>
      <c r="F159" s="34">
        <v>142</v>
      </c>
      <c r="G159" s="34">
        <v>901142</v>
      </c>
      <c r="H159" s="119">
        <v>15.61</v>
      </c>
      <c r="I159" s="101"/>
      <c r="J159" s="100">
        <v>15.61</v>
      </c>
      <c r="K159" s="125" t="s">
        <v>172</v>
      </c>
      <c r="L159" s="11" t="s">
        <v>86</v>
      </c>
      <c r="M159" s="23" t="s">
        <v>266</v>
      </c>
      <c r="N159" s="122" t="s">
        <v>150</v>
      </c>
      <c r="O159" s="122">
        <v>3</v>
      </c>
      <c r="P159" s="24" t="s">
        <v>264</v>
      </c>
      <c r="Q159" s="25">
        <v>4800</v>
      </c>
      <c r="R159" s="26" t="s">
        <v>142</v>
      </c>
      <c r="S159" s="27" t="s">
        <v>159</v>
      </c>
      <c r="T159" s="27" t="s">
        <v>160</v>
      </c>
      <c r="U159" s="124" t="s">
        <v>150</v>
      </c>
      <c r="V159" s="39">
        <v>2</v>
      </c>
      <c r="W159" s="29">
        <v>1561</v>
      </c>
      <c r="X159" s="50" t="s">
        <v>241</v>
      </c>
      <c r="Y159" s="50"/>
      <c r="Z159" s="30">
        <v>15.61</v>
      </c>
      <c r="AA159" s="51" t="s">
        <v>242</v>
      </c>
      <c r="AB159" s="51">
        <v>1</v>
      </c>
      <c r="AC159" s="122" t="s">
        <v>155</v>
      </c>
      <c r="AD159" s="31">
        <v>1.85</v>
      </c>
      <c r="AE159" s="32" t="s">
        <v>147</v>
      </c>
    </row>
    <row r="160" spans="1:31">
      <c r="A160" s="135">
        <v>1</v>
      </c>
      <c r="B160" s="38" t="s">
        <v>97</v>
      </c>
      <c r="C160" s="122">
        <v>1</v>
      </c>
      <c r="D160" s="122">
        <v>903</v>
      </c>
      <c r="E160" s="33">
        <v>801</v>
      </c>
      <c r="F160" s="34">
        <v>101</v>
      </c>
      <c r="G160" s="34">
        <v>903101</v>
      </c>
      <c r="H160" s="119">
        <v>11.48</v>
      </c>
      <c r="I160" s="101"/>
      <c r="J160" s="100">
        <v>11.48</v>
      </c>
      <c r="K160" s="22" t="s">
        <v>170</v>
      </c>
      <c r="L160" s="11" t="s">
        <v>86</v>
      </c>
      <c r="M160" s="23" t="s">
        <v>149</v>
      </c>
      <c r="N160" s="122" t="s">
        <v>140</v>
      </c>
      <c r="O160" s="122">
        <v>4</v>
      </c>
      <c r="P160" s="24" t="s">
        <v>268</v>
      </c>
      <c r="Q160" s="25"/>
      <c r="R160" s="26" t="s">
        <v>205</v>
      </c>
      <c r="S160" s="27" t="s">
        <v>143</v>
      </c>
      <c r="T160" s="27" t="s">
        <v>160</v>
      </c>
      <c r="U160" s="47" t="s">
        <v>140</v>
      </c>
      <c r="V160" s="39">
        <v>6</v>
      </c>
      <c r="W160" s="29">
        <v>3444</v>
      </c>
      <c r="X160" s="29" t="s">
        <v>269</v>
      </c>
      <c r="Y160" s="29">
        <v>2</v>
      </c>
      <c r="Z160" s="30">
        <v>11.48</v>
      </c>
      <c r="AA160" s="136" t="s">
        <v>270</v>
      </c>
      <c r="AB160" s="136">
        <v>2</v>
      </c>
      <c r="AC160" s="122" t="s">
        <v>155</v>
      </c>
      <c r="AD160" s="31">
        <v>1.85</v>
      </c>
      <c r="AE160" s="32" t="s">
        <v>147</v>
      </c>
    </row>
    <row r="161" spans="1:31">
      <c r="A161" s="135">
        <v>1</v>
      </c>
      <c r="B161" s="38" t="s">
        <v>97</v>
      </c>
      <c r="C161" s="122">
        <v>2</v>
      </c>
      <c r="D161" s="122">
        <v>903</v>
      </c>
      <c r="E161" s="33">
        <v>802</v>
      </c>
      <c r="F161" s="34">
        <v>102</v>
      </c>
      <c r="G161" s="34">
        <v>903102</v>
      </c>
      <c r="H161" s="119">
        <v>12.78</v>
      </c>
      <c r="I161" s="101"/>
      <c r="J161" s="100">
        <v>12.78</v>
      </c>
      <c r="K161" s="22" t="s">
        <v>137</v>
      </c>
      <c r="L161" s="11" t="s">
        <v>138</v>
      </c>
      <c r="M161" s="23" t="s">
        <v>245</v>
      </c>
      <c r="N161" s="122" t="s">
        <v>150</v>
      </c>
      <c r="O161" s="122">
        <v>3</v>
      </c>
      <c r="P161" s="24" t="s">
        <v>268</v>
      </c>
      <c r="Q161" s="25"/>
      <c r="R161" s="26" t="s">
        <v>205</v>
      </c>
      <c r="S161" s="27" t="s">
        <v>143</v>
      </c>
      <c r="T161" s="27" t="s">
        <v>160</v>
      </c>
      <c r="U161" s="47" t="s">
        <v>140</v>
      </c>
      <c r="V161" s="39">
        <v>6</v>
      </c>
      <c r="W161" s="29">
        <v>3834</v>
      </c>
      <c r="X161" s="29" t="s">
        <v>269</v>
      </c>
      <c r="Y161" s="29"/>
      <c r="Z161" s="30">
        <v>12.78</v>
      </c>
      <c r="AA161" s="136" t="s">
        <v>270</v>
      </c>
      <c r="AB161" s="136">
        <v>2</v>
      </c>
      <c r="AC161" s="122" t="s">
        <v>155</v>
      </c>
      <c r="AD161" s="31">
        <v>1.85</v>
      </c>
      <c r="AE161" s="32" t="s">
        <v>147</v>
      </c>
    </row>
    <row r="162" spans="1:31">
      <c r="A162" s="135">
        <v>1</v>
      </c>
      <c r="B162" s="38" t="s">
        <v>97</v>
      </c>
      <c r="C162" s="122">
        <v>3</v>
      </c>
      <c r="D162" s="122">
        <v>903</v>
      </c>
      <c r="E162" s="33">
        <v>803</v>
      </c>
      <c r="F162" s="34">
        <v>103</v>
      </c>
      <c r="G162" s="34">
        <v>903103</v>
      </c>
      <c r="H162" s="119">
        <v>4.54</v>
      </c>
      <c r="I162" s="101"/>
      <c r="J162" s="100">
        <v>4.54</v>
      </c>
      <c r="K162" s="22" t="s">
        <v>170</v>
      </c>
      <c r="L162" s="11" t="s">
        <v>86</v>
      </c>
      <c r="M162" s="23" t="s">
        <v>271</v>
      </c>
      <c r="N162" s="122" t="s">
        <v>150</v>
      </c>
      <c r="O162" s="122">
        <v>3</v>
      </c>
      <c r="P162" s="24" t="s">
        <v>268</v>
      </c>
      <c r="Q162" s="25"/>
      <c r="R162" s="26" t="s">
        <v>205</v>
      </c>
      <c r="S162" s="27" t="s">
        <v>143</v>
      </c>
      <c r="T162" s="27" t="s">
        <v>160</v>
      </c>
      <c r="U162" s="47" t="s">
        <v>140</v>
      </c>
      <c r="V162" s="39">
        <v>6</v>
      </c>
      <c r="W162" s="29">
        <v>1362</v>
      </c>
      <c r="X162" s="29" t="s">
        <v>269</v>
      </c>
      <c r="Y162" s="29"/>
      <c r="Z162" s="30">
        <v>4.54</v>
      </c>
      <c r="AA162" s="136" t="s">
        <v>270</v>
      </c>
      <c r="AB162" s="136">
        <v>2</v>
      </c>
      <c r="AC162" s="122" t="s">
        <v>155</v>
      </c>
      <c r="AD162" s="31">
        <v>1.85</v>
      </c>
      <c r="AE162" s="32" t="s">
        <v>147</v>
      </c>
    </row>
    <row r="163" spans="1:31">
      <c r="A163" s="135">
        <v>1</v>
      </c>
      <c r="B163" s="38" t="s">
        <v>97</v>
      </c>
      <c r="C163" s="122">
        <v>4</v>
      </c>
      <c r="D163" s="122">
        <v>903</v>
      </c>
      <c r="E163" s="33">
        <v>804</v>
      </c>
      <c r="F163" s="34">
        <v>104</v>
      </c>
      <c r="G163" s="34">
        <v>903104</v>
      </c>
      <c r="H163" s="119">
        <v>13.62</v>
      </c>
      <c r="I163" s="101"/>
      <c r="J163" s="100">
        <v>13.62</v>
      </c>
      <c r="K163" s="22" t="s">
        <v>170</v>
      </c>
      <c r="L163" s="11" t="s">
        <v>86</v>
      </c>
      <c r="M163" s="23" t="s">
        <v>272</v>
      </c>
      <c r="N163" s="122" t="s">
        <v>150</v>
      </c>
      <c r="O163" s="122">
        <v>3</v>
      </c>
      <c r="P163" s="24" t="s">
        <v>205</v>
      </c>
      <c r="Q163" s="25"/>
      <c r="R163" s="26"/>
      <c r="S163" s="27" t="s">
        <v>143</v>
      </c>
      <c r="T163" s="27" t="s">
        <v>160</v>
      </c>
      <c r="U163" s="47" t="s">
        <v>140</v>
      </c>
      <c r="V163" s="39">
        <v>6</v>
      </c>
      <c r="W163" s="29">
        <v>4085.9999999999995</v>
      </c>
      <c r="X163" s="29" t="s">
        <v>269</v>
      </c>
      <c r="Y163" s="29"/>
      <c r="Z163" s="30">
        <v>13.62</v>
      </c>
      <c r="AA163" s="136" t="s">
        <v>270</v>
      </c>
      <c r="AB163" s="136">
        <v>2</v>
      </c>
      <c r="AC163" s="122" t="s">
        <v>155</v>
      </c>
      <c r="AD163" s="31">
        <v>1.85</v>
      </c>
      <c r="AE163" s="32" t="s">
        <v>147</v>
      </c>
    </row>
    <row r="164" spans="1:31">
      <c r="A164" s="135">
        <v>1</v>
      </c>
      <c r="B164" s="38" t="s">
        <v>97</v>
      </c>
      <c r="C164" s="122">
        <v>5</v>
      </c>
      <c r="D164" s="122">
        <v>903</v>
      </c>
      <c r="E164" s="33">
        <v>805</v>
      </c>
      <c r="F164" s="34">
        <v>105</v>
      </c>
      <c r="G164" s="34">
        <v>903105</v>
      </c>
      <c r="H164" s="119">
        <v>31.13</v>
      </c>
      <c r="I164" s="101"/>
      <c r="J164" s="100">
        <v>31.13</v>
      </c>
      <c r="K164" s="22" t="s">
        <v>161</v>
      </c>
      <c r="L164" s="11" t="s">
        <v>138</v>
      </c>
      <c r="M164" s="23" t="s">
        <v>271</v>
      </c>
      <c r="N164" s="122" t="s">
        <v>150</v>
      </c>
      <c r="O164" s="122">
        <v>3</v>
      </c>
      <c r="P164" s="24" t="s">
        <v>205</v>
      </c>
      <c r="Q164" s="25"/>
      <c r="R164" s="26"/>
      <c r="S164" s="27" t="s">
        <v>143</v>
      </c>
      <c r="T164" s="27" t="s">
        <v>160</v>
      </c>
      <c r="U164" s="47" t="s">
        <v>140</v>
      </c>
      <c r="V164" s="39">
        <v>6</v>
      </c>
      <c r="W164" s="29">
        <v>9339</v>
      </c>
      <c r="X164" s="29" t="s">
        <v>269</v>
      </c>
      <c r="Y164" s="29"/>
      <c r="Z164" s="30">
        <v>31.13</v>
      </c>
      <c r="AA164" s="136" t="s">
        <v>270</v>
      </c>
      <c r="AB164" s="136">
        <v>2</v>
      </c>
      <c r="AC164" s="122" t="s">
        <v>155</v>
      </c>
      <c r="AD164" s="31">
        <v>1.85</v>
      </c>
      <c r="AE164" s="32" t="s">
        <v>147</v>
      </c>
    </row>
    <row r="165" spans="1:31">
      <c r="A165" s="135">
        <v>1</v>
      </c>
      <c r="B165" s="38" t="s">
        <v>97</v>
      </c>
      <c r="C165" s="122">
        <v>7</v>
      </c>
      <c r="D165" s="122">
        <v>903</v>
      </c>
      <c r="E165" s="33">
        <v>812</v>
      </c>
      <c r="F165" s="34">
        <v>107</v>
      </c>
      <c r="G165" s="34">
        <v>903107</v>
      </c>
      <c r="H165" s="119">
        <v>29.76</v>
      </c>
      <c r="I165" s="101"/>
      <c r="J165" s="100">
        <v>29.76</v>
      </c>
      <c r="K165" s="22" t="s">
        <v>161</v>
      </c>
      <c r="L165" s="11" t="s">
        <v>138</v>
      </c>
      <c r="M165" s="23" t="s">
        <v>149</v>
      </c>
      <c r="N165" s="122" t="s">
        <v>140</v>
      </c>
      <c r="O165" s="122">
        <v>4</v>
      </c>
      <c r="P165" s="24" t="s">
        <v>205</v>
      </c>
      <c r="Q165" s="25"/>
      <c r="R165" s="26"/>
      <c r="S165" s="27" t="s">
        <v>159</v>
      </c>
      <c r="T165" s="27" t="s">
        <v>160</v>
      </c>
      <c r="U165" s="47" t="s">
        <v>140</v>
      </c>
      <c r="V165" s="39">
        <v>6</v>
      </c>
      <c r="W165" s="29">
        <v>8928</v>
      </c>
      <c r="X165" s="29" t="s">
        <v>269</v>
      </c>
      <c r="Y165" s="29"/>
      <c r="Z165" s="30">
        <v>29.76</v>
      </c>
      <c r="AA165" s="136" t="s">
        <v>270</v>
      </c>
      <c r="AB165" s="136">
        <v>2</v>
      </c>
      <c r="AC165" s="122" t="s">
        <v>155</v>
      </c>
      <c r="AD165" s="31">
        <v>1.85</v>
      </c>
      <c r="AE165" s="32" t="s">
        <v>147</v>
      </c>
    </row>
    <row r="166" spans="1:31">
      <c r="A166" s="135">
        <v>1</v>
      </c>
      <c r="B166" s="38" t="s">
        <v>97</v>
      </c>
      <c r="C166" s="122">
        <v>8</v>
      </c>
      <c r="D166" s="122">
        <v>903</v>
      </c>
      <c r="E166" s="33">
        <v>822</v>
      </c>
      <c r="F166" s="34">
        <v>108</v>
      </c>
      <c r="G166" s="34">
        <v>903108</v>
      </c>
      <c r="H166" s="119">
        <v>13.8</v>
      </c>
      <c r="I166" s="101"/>
      <c r="J166" s="100">
        <v>13.8</v>
      </c>
      <c r="K166" s="22" t="s">
        <v>137</v>
      </c>
      <c r="L166" s="11" t="s">
        <v>138</v>
      </c>
      <c r="M166" s="23" t="s">
        <v>203</v>
      </c>
      <c r="N166" s="122" t="s">
        <v>140</v>
      </c>
      <c r="O166" s="122">
        <v>4</v>
      </c>
      <c r="P166" s="24" t="s">
        <v>205</v>
      </c>
      <c r="Q166" s="25"/>
      <c r="R166" s="26"/>
      <c r="S166" s="27" t="s">
        <v>159</v>
      </c>
      <c r="T166" s="27" t="s">
        <v>160</v>
      </c>
      <c r="U166" s="47" t="s">
        <v>140</v>
      </c>
      <c r="V166" s="39">
        <v>6</v>
      </c>
      <c r="W166" s="29">
        <v>4140</v>
      </c>
      <c r="X166" s="29" t="s">
        <v>269</v>
      </c>
      <c r="Y166" s="29"/>
      <c r="Z166" s="30">
        <v>13.8</v>
      </c>
      <c r="AA166" s="136" t="s">
        <v>270</v>
      </c>
      <c r="AB166" s="136">
        <v>2</v>
      </c>
      <c r="AC166" s="122" t="s">
        <v>155</v>
      </c>
      <c r="AD166" s="31">
        <v>1.85</v>
      </c>
      <c r="AE166" s="32" t="s">
        <v>147</v>
      </c>
    </row>
    <row r="167" spans="1:31">
      <c r="A167" s="135">
        <v>1</v>
      </c>
      <c r="B167" s="38" t="s">
        <v>97</v>
      </c>
      <c r="C167" s="122">
        <v>9</v>
      </c>
      <c r="D167" s="122">
        <v>903</v>
      </c>
      <c r="E167" s="33">
        <v>825</v>
      </c>
      <c r="F167" s="34">
        <v>109</v>
      </c>
      <c r="G167" s="34">
        <v>903109</v>
      </c>
      <c r="H167" s="119">
        <v>11.9</v>
      </c>
      <c r="I167" s="101"/>
      <c r="J167" s="100">
        <v>11.9</v>
      </c>
      <c r="K167" s="22" t="s">
        <v>161</v>
      </c>
      <c r="L167" s="22" t="s">
        <v>138</v>
      </c>
      <c r="M167" s="23" t="s">
        <v>165</v>
      </c>
      <c r="N167" s="122" t="s">
        <v>140</v>
      </c>
      <c r="O167" s="122">
        <v>4</v>
      </c>
      <c r="P167" s="24" t="s">
        <v>273</v>
      </c>
      <c r="Q167" s="25"/>
      <c r="R167" s="52" t="s">
        <v>274</v>
      </c>
      <c r="S167" s="27" t="s">
        <v>159</v>
      </c>
      <c r="T167" s="27" t="s">
        <v>160</v>
      </c>
      <c r="U167" s="47" t="s">
        <v>150</v>
      </c>
      <c r="V167" s="39">
        <v>4</v>
      </c>
      <c r="W167" s="29">
        <v>2380</v>
      </c>
      <c r="X167" s="29" t="s">
        <v>269</v>
      </c>
      <c r="Y167" s="29"/>
      <c r="Z167" s="30">
        <v>11.9</v>
      </c>
      <c r="AA167" s="136" t="s">
        <v>270</v>
      </c>
      <c r="AB167" s="136">
        <v>2</v>
      </c>
      <c r="AC167" s="122" t="s">
        <v>155</v>
      </c>
      <c r="AD167" s="31">
        <v>1.85</v>
      </c>
      <c r="AE167" s="32" t="s">
        <v>147</v>
      </c>
    </row>
    <row r="168" spans="1:31">
      <c r="A168" s="135">
        <v>1</v>
      </c>
      <c r="B168" s="38" t="s">
        <v>97</v>
      </c>
      <c r="C168" s="122">
        <v>10</v>
      </c>
      <c r="D168" s="122">
        <v>903</v>
      </c>
      <c r="E168" s="33">
        <v>853</v>
      </c>
      <c r="F168" s="34">
        <v>110</v>
      </c>
      <c r="G168" s="34">
        <v>903110</v>
      </c>
      <c r="H168" s="119">
        <v>23.46</v>
      </c>
      <c r="I168" s="101"/>
      <c r="J168" s="101">
        <v>23.46</v>
      </c>
      <c r="K168" s="22" t="s">
        <v>170</v>
      </c>
      <c r="L168" s="11" t="s">
        <v>86</v>
      </c>
      <c r="M168" s="23" t="s">
        <v>275</v>
      </c>
      <c r="N168" s="122" t="s">
        <v>150</v>
      </c>
      <c r="O168" s="122">
        <v>3</v>
      </c>
      <c r="P168" s="24" t="s">
        <v>276</v>
      </c>
      <c r="Q168" s="25">
        <v>9800</v>
      </c>
      <c r="R168" s="26" t="s">
        <v>142</v>
      </c>
      <c r="S168" s="27" t="s">
        <v>159</v>
      </c>
      <c r="T168" s="27" t="s">
        <v>160</v>
      </c>
      <c r="U168" s="47" t="s">
        <v>150</v>
      </c>
      <c r="V168" s="39">
        <v>4</v>
      </c>
      <c r="W168" s="29">
        <v>4692</v>
      </c>
      <c r="X168" s="29" t="s">
        <v>269</v>
      </c>
      <c r="Y168" s="29"/>
      <c r="Z168" s="30">
        <v>23.46</v>
      </c>
      <c r="AA168" s="136" t="s">
        <v>270</v>
      </c>
      <c r="AB168" s="136">
        <v>2</v>
      </c>
      <c r="AC168" s="122" t="s">
        <v>155</v>
      </c>
      <c r="AD168" s="31">
        <v>1.85</v>
      </c>
      <c r="AE168" s="32" t="s">
        <v>147</v>
      </c>
    </row>
    <row r="169" spans="1:31">
      <c r="A169" s="135">
        <v>1</v>
      </c>
      <c r="B169" s="38" t="s">
        <v>97</v>
      </c>
      <c r="C169" s="122">
        <v>11</v>
      </c>
      <c r="D169" s="122">
        <v>903</v>
      </c>
      <c r="E169" s="33">
        <v>854</v>
      </c>
      <c r="F169" s="34">
        <v>111</v>
      </c>
      <c r="G169" s="34">
        <v>903111</v>
      </c>
      <c r="H169" s="119">
        <v>20.59</v>
      </c>
      <c r="I169" s="101"/>
      <c r="J169" s="101">
        <v>20.59</v>
      </c>
      <c r="K169" s="22" t="s">
        <v>137</v>
      </c>
      <c r="L169" s="11" t="s">
        <v>138</v>
      </c>
      <c r="M169" s="23" t="s">
        <v>149</v>
      </c>
      <c r="N169" s="122" t="s">
        <v>140</v>
      </c>
      <c r="O169" s="122">
        <v>4</v>
      </c>
      <c r="P169" s="24" t="s">
        <v>276</v>
      </c>
      <c r="Q169" s="25">
        <v>9800</v>
      </c>
      <c r="R169" s="26" t="s">
        <v>142</v>
      </c>
      <c r="S169" s="27" t="s">
        <v>159</v>
      </c>
      <c r="T169" s="27" t="s">
        <v>160</v>
      </c>
      <c r="U169" s="47" t="s">
        <v>150</v>
      </c>
      <c r="V169" s="39">
        <v>4</v>
      </c>
      <c r="W169" s="29">
        <v>4118</v>
      </c>
      <c r="X169" s="29" t="s">
        <v>269</v>
      </c>
      <c r="Y169" s="29"/>
      <c r="Z169" s="30">
        <v>20.59</v>
      </c>
      <c r="AA169" s="136" t="s">
        <v>270</v>
      </c>
      <c r="AB169" s="136">
        <v>2</v>
      </c>
      <c r="AC169" s="21" t="s">
        <v>155</v>
      </c>
      <c r="AD169" s="31">
        <v>1.85</v>
      </c>
      <c r="AE169" s="32" t="s">
        <v>147</v>
      </c>
    </row>
    <row r="170" spans="1:31">
      <c r="A170" s="135">
        <v>1</v>
      </c>
      <c r="B170" s="38" t="s">
        <v>97</v>
      </c>
      <c r="C170" s="122">
        <v>12</v>
      </c>
      <c r="D170" s="122">
        <v>903</v>
      </c>
      <c r="E170" s="33">
        <v>869</v>
      </c>
      <c r="F170" s="34">
        <v>112</v>
      </c>
      <c r="G170" s="34">
        <v>903112</v>
      </c>
      <c r="H170" s="119">
        <v>8.14</v>
      </c>
      <c r="I170" s="101">
        <v>8.14</v>
      </c>
      <c r="J170" s="101"/>
      <c r="K170" s="22" t="s">
        <v>148</v>
      </c>
      <c r="L170" s="11" t="s">
        <v>148</v>
      </c>
      <c r="M170" s="53" t="s">
        <v>174</v>
      </c>
      <c r="N170" s="122" t="s">
        <v>150</v>
      </c>
      <c r="O170" s="122">
        <v>3</v>
      </c>
      <c r="P170" s="11"/>
      <c r="Q170" s="54"/>
      <c r="R170" s="21" t="s">
        <v>277</v>
      </c>
      <c r="S170" s="46"/>
      <c r="T170" s="46"/>
      <c r="U170" s="47" t="s">
        <v>278</v>
      </c>
      <c r="V170" s="48"/>
      <c r="W170" s="47"/>
      <c r="X170" s="47"/>
      <c r="Y170" s="47"/>
      <c r="Z170" s="47"/>
      <c r="AA170" s="49"/>
      <c r="AB170" s="49"/>
      <c r="AC170" s="21"/>
      <c r="AD170" s="31"/>
      <c r="AE170" s="32" t="s">
        <v>147</v>
      </c>
    </row>
    <row r="171" spans="1:31">
      <c r="A171" s="135">
        <v>1</v>
      </c>
      <c r="B171" s="38" t="s">
        <v>97</v>
      </c>
      <c r="C171" s="122">
        <v>13</v>
      </c>
      <c r="D171" s="122">
        <v>903</v>
      </c>
      <c r="E171" s="33">
        <v>868</v>
      </c>
      <c r="F171" s="34">
        <v>113</v>
      </c>
      <c r="G171" s="34">
        <v>903113</v>
      </c>
      <c r="H171" s="119">
        <v>10.93</v>
      </c>
      <c r="I171" s="101">
        <v>10.93</v>
      </c>
      <c r="J171" s="101"/>
      <c r="K171" s="22" t="s">
        <v>148</v>
      </c>
      <c r="L171" s="11" t="s">
        <v>148</v>
      </c>
      <c r="M171" s="53" t="s">
        <v>174</v>
      </c>
      <c r="N171" s="122" t="s">
        <v>150</v>
      </c>
      <c r="O171" s="122">
        <v>3</v>
      </c>
      <c r="P171" s="11"/>
      <c r="Q171" s="54"/>
      <c r="R171" s="21" t="s">
        <v>277</v>
      </c>
      <c r="S171" s="46"/>
      <c r="T171" s="46"/>
      <c r="U171" s="47" t="s">
        <v>278</v>
      </c>
      <c r="V171" s="48"/>
      <c r="W171" s="47"/>
      <c r="X171" s="47"/>
      <c r="Y171" s="47"/>
      <c r="Z171" s="47"/>
      <c r="AA171" s="49"/>
      <c r="AB171" s="49"/>
      <c r="AC171" s="122"/>
      <c r="AD171" s="32"/>
      <c r="AE171" s="32" t="s">
        <v>147</v>
      </c>
    </row>
    <row r="172" spans="1:31">
      <c r="A172" s="135">
        <v>1</v>
      </c>
      <c r="B172" s="38" t="s">
        <v>97</v>
      </c>
      <c r="C172" s="122">
        <v>14</v>
      </c>
      <c r="D172" s="122">
        <v>903</v>
      </c>
      <c r="E172" s="33">
        <v>870</v>
      </c>
      <c r="F172" s="34">
        <v>114</v>
      </c>
      <c r="G172" s="34">
        <v>903114</v>
      </c>
      <c r="H172" s="119">
        <v>18.600000000000001</v>
      </c>
      <c r="I172" s="101">
        <v>18.600000000000001</v>
      </c>
      <c r="J172" s="101"/>
      <c r="K172" s="22" t="s">
        <v>148</v>
      </c>
      <c r="L172" s="11" t="s">
        <v>148</v>
      </c>
      <c r="M172" s="53" t="s">
        <v>174</v>
      </c>
      <c r="N172" s="122" t="s">
        <v>150</v>
      </c>
      <c r="O172" s="122">
        <v>3</v>
      </c>
      <c r="P172" s="11"/>
      <c r="Q172" s="11"/>
      <c r="R172" s="21" t="s">
        <v>277</v>
      </c>
      <c r="S172" s="46"/>
      <c r="T172" s="46"/>
      <c r="U172" s="47" t="s">
        <v>278</v>
      </c>
      <c r="V172" s="48"/>
      <c r="W172" s="47"/>
      <c r="X172" s="47"/>
      <c r="Y172" s="47"/>
      <c r="Z172" s="47"/>
      <c r="AA172" s="49"/>
      <c r="AB172" s="49"/>
      <c r="AC172" s="21"/>
      <c r="AD172" s="31"/>
      <c r="AE172" s="32" t="s">
        <v>147</v>
      </c>
    </row>
    <row r="173" spans="1:31">
      <c r="A173" s="135">
        <v>1</v>
      </c>
      <c r="B173" s="38" t="s">
        <v>97</v>
      </c>
      <c r="C173" s="122">
        <v>15</v>
      </c>
      <c r="D173" s="122">
        <v>903</v>
      </c>
      <c r="E173" s="33">
        <v>871</v>
      </c>
      <c r="F173" s="34">
        <v>115</v>
      </c>
      <c r="G173" s="34">
        <v>903115</v>
      </c>
      <c r="H173" s="119">
        <v>4.45</v>
      </c>
      <c r="I173" s="101"/>
      <c r="J173" s="101">
        <v>4.45</v>
      </c>
      <c r="K173" s="125" t="s">
        <v>170</v>
      </c>
      <c r="L173" s="11" t="s">
        <v>86</v>
      </c>
      <c r="M173" s="53" t="s">
        <v>174</v>
      </c>
      <c r="N173" s="122" t="s">
        <v>150</v>
      </c>
      <c r="O173" s="122">
        <v>3</v>
      </c>
      <c r="P173" s="24" t="s">
        <v>279</v>
      </c>
      <c r="Q173" s="25"/>
      <c r="R173" s="26" t="s">
        <v>280</v>
      </c>
      <c r="S173" s="27" t="s">
        <v>159</v>
      </c>
      <c r="T173" s="27" t="s">
        <v>160</v>
      </c>
      <c r="U173" s="47" t="s">
        <v>255</v>
      </c>
      <c r="V173" s="39">
        <v>4</v>
      </c>
      <c r="W173" s="29">
        <v>890</v>
      </c>
      <c r="X173" s="29" t="s">
        <v>269</v>
      </c>
      <c r="Y173" s="29"/>
      <c r="Z173" s="30">
        <v>4.45</v>
      </c>
      <c r="AA173" s="136" t="s">
        <v>270</v>
      </c>
      <c r="AB173" s="136">
        <v>2</v>
      </c>
      <c r="AC173" s="21"/>
      <c r="AD173" s="31"/>
      <c r="AE173" s="32" t="s">
        <v>147</v>
      </c>
    </row>
    <row r="174" spans="1:31">
      <c r="A174" s="135">
        <v>1</v>
      </c>
      <c r="B174" s="38" t="s">
        <v>97</v>
      </c>
      <c r="C174" s="122">
        <v>16</v>
      </c>
      <c r="D174" s="122">
        <v>903</v>
      </c>
      <c r="E174" s="33">
        <v>872</v>
      </c>
      <c r="F174" s="34">
        <v>116</v>
      </c>
      <c r="G174" s="34">
        <v>903116</v>
      </c>
      <c r="H174" s="119">
        <v>14.56</v>
      </c>
      <c r="I174" s="101"/>
      <c r="J174" s="101">
        <v>14.56</v>
      </c>
      <c r="K174" s="125" t="s">
        <v>170</v>
      </c>
      <c r="L174" s="11" t="s">
        <v>86</v>
      </c>
      <c r="M174" s="53" t="s">
        <v>174</v>
      </c>
      <c r="N174" s="122" t="s">
        <v>278</v>
      </c>
      <c r="O174" s="122"/>
      <c r="P174" s="24" t="s">
        <v>279</v>
      </c>
      <c r="Q174" s="25"/>
      <c r="R174" s="26" t="s">
        <v>280</v>
      </c>
      <c r="S174" s="27" t="s">
        <v>159</v>
      </c>
      <c r="T174" s="27" t="s">
        <v>160</v>
      </c>
      <c r="U174" s="47" t="s">
        <v>255</v>
      </c>
      <c r="V174" s="39">
        <v>4</v>
      </c>
      <c r="W174" s="29">
        <v>2912</v>
      </c>
      <c r="X174" s="29" t="s">
        <v>269</v>
      </c>
      <c r="Y174" s="29"/>
      <c r="Z174" s="30">
        <v>14.56</v>
      </c>
      <c r="AA174" s="136" t="s">
        <v>270</v>
      </c>
      <c r="AB174" s="136">
        <v>2</v>
      </c>
      <c r="AC174" s="21"/>
      <c r="AD174" s="31"/>
      <c r="AE174" s="32" t="s">
        <v>147</v>
      </c>
    </row>
    <row r="175" spans="1:31">
      <c r="A175" s="135">
        <v>1</v>
      </c>
      <c r="B175" s="38" t="s">
        <v>97</v>
      </c>
      <c r="C175" s="122">
        <v>17</v>
      </c>
      <c r="D175" s="122">
        <v>903</v>
      </c>
      <c r="E175" s="33">
        <v>873</v>
      </c>
      <c r="F175" s="34">
        <v>117</v>
      </c>
      <c r="G175" s="34">
        <v>903117</v>
      </c>
      <c r="H175" s="119">
        <v>6.12</v>
      </c>
      <c r="I175" s="101"/>
      <c r="J175" s="101">
        <v>6.12</v>
      </c>
      <c r="K175" s="125" t="s">
        <v>170</v>
      </c>
      <c r="L175" s="11" t="s">
        <v>86</v>
      </c>
      <c r="M175" s="53" t="s">
        <v>174</v>
      </c>
      <c r="N175" s="122" t="s">
        <v>278</v>
      </c>
      <c r="O175" s="122"/>
      <c r="P175" s="24" t="s">
        <v>279</v>
      </c>
      <c r="Q175" s="25"/>
      <c r="R175" s="26" t="s">
        <v>280</v>
      </c>
      <c r="S175" s="27" t="s">
        <v>159</v>
      </c>
      <c r="T175" s="27" t="s">
        <v>160</v>
      </c>
      <c r="U175" s="47" t="s">
        <v>255</v>
      </c>
      <c r="V175" s="39">
        <v>4</v>
      </c>
      <c r="W175" s="29">
        <v>1224</v>
      </c>
      <c r="X175" s="29" t="s">
        <v>269</v>
      </c>
      <c r="Y175" s="29"/>
      <c r="Z175" s="30">
        <v>6.12</v>
      </c>
      <c r="AA175" s="136" t="s">
        <v>270</v>
      </c>
      <c r="AB175" s="136">
        <v>2</v>
      </c>
      <c r="AC175" s="122"/>
      <c r="AD175" s="32"/>
      <c r="AE175" s="32" t="s">
        <v>147</v>
      </c>
    </row>
    <row r="176" spans="1:31">
      <c r="A176" s="135">
        <v>1</v>
      </c>
      <c r="B176" s="38" t="s">
        <v>97</v>
      </c>
      <c r="C176" s="122">
        <v>18</v>
      </c>
      <c r="D176" s="122">
        <v>903</v>
      </c>
      <c r="E176" s="33">
        <v>874</v>
      </c>
      <c r="F176" s="34">
        <v>118</v>
      </c>
      <c r="G176" s="34">
        <v>903118</v>
      </c>
      <c r="H176" s="119">
        <v>17.260000000000002</v>
      </c>
      <c r="I176" s="101">
        <v>17.260000000000002</v>
      </c>
      <c r="J176" s="101"/>
      <c r="K176" s="125" t="s">
        <v>148</v>
      </c>
      <c r="L176" s="11" t="s">
        <v>148</v>
      </c>
      <c r="M176" s="53" t="s">
        <v>174</v>
      </c>
      <c r="N176" s="122" t="s">
        <v>278</v>
      </c>
      <c r="O176" s="122"/>
      <c r="P176" s="11" t="s">
        <v>281</v>
      </c>
      <c r="Q176" s="45"/>
      <c r="R176" s="21" t="s">
        <v>277</v>
      </c>
      <c r="S176" s="46"/>
      <c r="T176" s="46"/>
      <c r="U176" s="47" t="s">
        <v>278</v>
      </c>
      <c r="V176" s="48"/>
      <c r="W176" s="47"/>
      <c r="X176" s="47"/>
      <c r="Y176" s="47"/>
      <c r="Z176" s="47"/>
      <c r="AA176" s="49"/>
      <c r="AB176" s="49"/>
      <c r="AC176" s="122"/>
      <c r="AD176" s="31"/>
      <c r="AE176" s="32" t="s">
        <v>147</v>
      </c>
    </row>
    <row r="177" spans="1:31">
      <c r="A177" s="135">
        <v>1</v>
      </c>
      <c r="B177" s="38" t="s">
        <v>97</v>
      </c>
      <c r="C177" s="122">
        <v>19</v>
      </c>
      <c r="D177" s="122">
        <v>903</v>
      </c>
      <c r="E177" s="33">
        <v>875</v>
      </c>
      <c r="F177" s="34">
        <v>119</v>
      </c>
      <c r="G177" s="34">
        <v>903119</v>
      </c>
      <c r="H177" s="119">
        <v>5.89</v>
      </c>
      <c r="I177" s="101">
        <v>5.89</v>
      </c>
      <c r="J177" s="101"/>
      <c r="K177" s="125" t="s">
        <v>148</v>
      </c>
      <c r="L177" s="11" t="s">
        <v>148</v>
      </c>
      <c r="M177" s="53" t="s">
        <v>174</v>
      </c>
      <c r="N177" s="122" t="s">
        <v>278</v>
      </c>
      <c r="O177" s="122"/>
      <c r="P177" s="11" t="s">
        <v>281</v>
      </c>
      <c r="Q177" s="45"/>
      <c r="R177" s="21" t="s">
        <v>277</v>
      </c>
      <c r="S177" s="46"/>
      <c r="T177" s="46"/>
      <c r="U177" s="47" t="s">
        <v>278</v>
      </c>
      <c r="V177" s="48"/>
      <c r="W177" s="47"/>
      <c r="X177" s="47"/>
      <c r="Y177" s="47"/>
      <c r="Z177" s="47"/>
      <c r="AA177" s="49"/>
      <c r="AB177" s="49"/>
      <c r="AC177" s="122"/>
      <c r="AD177" s="31"/>
      <c r="AE177" s="32" t="s">
        <v>147</v>
      </c>
    </row>
    <row r="178" spans="1:31">
      <c r="A178" s="135">
        <v>1</v>
      </c>
      <c r="B178" s="38" t="s">
        <v>97</v>
      </c>
      <c r="C178" s="122">
        <v>20</v>
      </c>
      <c r="D178" s="122">
        <v>903</v>
      </c>
      <c r="E178" s="33">
        <v>876</v>
      </c>
      <c r="F178" s="34">
        <v>120</v>
      </c>
      <c r="G178" s="34">
        <v>903120</v>
      </c>
      <c r="H178" s="119">
        <v>27.32</v>
      </c>
      <c r="I178" s="101">
        <v>27.32</v>
      </c>
      <c r="J178" s="101"/>
      <c r="K178" s="125" t="s">
        <v>148</v>
      </c>
      <c r="L178" s="11" t="s">
        <v>148</v>
      </c>
      <c r="M178" s="53" t="s">
        <v>174</v>
      </c>
      <c r="N178" s="122" t="s">
        <v>278</v>
      </c>
      <c r="O178" s="122"/>
      <c r="P178" s="11" t="s">
        <v>281</v>
      </c>
      <c r="Q178" s="45"/>
      <c r="R178" s="21" t="s">
        <v>277</v>
      </c>
      <c r="S178" s="46"/>
      <c r="T178" s="46"/>
      <c r="U178" s="47" t="s">
        <v>278</v>
      </c>
      <c r="V178" s="48"/>
      <c r="W178" s="47"/>
      <c r="X178" s="47"/>
      <c r="Y178" s="47"/>
      <c r="Z178" s="47"/>
      <c r="AA178" s="49"/>
      <c r="AB178" s="49"/>
      <c r="AC178" s="122"/>
      <c r="AD178" s="31"/>
      <c r="AE178" s="32" t="s">
        <v>147</v>
      </c>
    </row>
    <row r="179" spans="1:31">
      <c r="A179" s="135">
        <v>1</v>
      </c>
      <c r="B179" s="38" t="s">
        <v>97</v>
      </c>
      <c r="C179" s="122">
        <v>21</v>
      </c>
      <c r="D179" s="122">
        <v>903</v>
      </c>
      <c r="E179" s="33">
        <v>880</v>
      </c>
      <c r="F179" s="34">
        <v>121</v>
      </c>
      <c r="G179" s="34">
        <v>903121</v>
      </c>
      <c r="H179" s="119">
        <v>6.23</v>
      </c>
      <c r="I179" s="101">
        <v>6.23</v>
      </c>
      <c r="J179" s="101"/>
      <c r="K179" s="125" t="s">
        <v>148</v>
      </c>
      <c r="L179" s="11" t="s">
        <v>148</v>
      </c>
      <c r="M179" s="53" t="s">
        <v>174</v>
      </c>
      <c r="N179" s="122" t="s">
        <v>278</v>
      </c>
      <c r="O179" s="122"/>
      <c r="P179" s="11" t="s">
        <v>281</v>
      </c>
      <c r="Q179" s="45"/>
      <c r="R179" s="21" t="s">
        <v>277</v>
      </c>
      <c r="S179" s="46"/>
      <c r="T179" s="46"/>
      <c r="U179" s="47" t="s">
        <v>278</v>
      </c>
      <c r="V179" s="48"/>
      <c r="W179" s="47"/>
      <c r="X179" s="47"/>
      <c r="Y179" s="47"/>
      <c r="Z179" s="47"/>
      <c r="AA179" s="49"/>
      <c r="AB179" s="49"/>
      <c r="AC179" s="122"/>
      <c r="AD179" s="31"/>
      <c r="AE179" s="32" t="s">
        <v>147</v>
      </c>
    </row>
    <row r="180" spans="1:31">
      <c r="A180" s="135">
        <v>1</v>
      </c>
      <c r="B180" s="38" t="s">
        <v>97</v>
      </c>
      <c r="C180" s="122">
        <v>22</v>
      </c>
      <c r="D180" s="122">
        <v>903</v>
      </c>
      <c r="E180" s="33">
        <v>878</v>
      </c>
      <c r="F180" s="34">
        <v>122</v>
      </c>
      <c r="G180" s="34">
        <v>903122</v>
      </c>
      <c r="H180" s="119">
        <v>3.13</v>
      </c>
      <c r="I180" s="101">
        <v>3.13</v>
      </c>
      <c r="J180" s="101"/>
      <c r="K180" s="125" t="s">
        <v>148</v>
      </c>
      <c r="L180" s="11" t="s">
        <v>148</v>
      </c>
      <c r="M180" s="53" t="s">
        <v>174</v>
      </c>
      <c r="N180" s="122" t="s">
        <v>278</v>
      </c>
      <c r="O180" s="122"/>
      <c r="P180" s="11" t="s">
        <v>281</v>
      </c>
      <c r="Q180" s="45"/>
      <c r="R180" s="21" t="s">
        <v>277</v>
      </c>
      <c r="S180" s="46"/>
      <c r="T180" s="46"/>
      <c r="U180" s="47" t="s">
        <v>278</v>
      </c>
      <c r="V180" s="48"/>
      <c r="W180" s="47"/>
      <c r="X180" s="47"/>
      <c r="Y180" s="47"/>
      <c r="Z180" s="47"/>
      <c r="AA180" s="49"/>
      <c r="AB180" s="49"/>
      <c r="AC180" s="122"/>
      <c r="AD180" s="31"/>
      <c r="AE180" s="32" t="s">
        <v>147</v>
      </c>
    </row>
    <row r="181" spans="1:31">
      <c r="A181" s="135">
        <v>1</v>
      </c>
      <c r="B181" s="38" t="s">
        <v>97</v>
      </c>
      <c r="C181" s="122">
        <v>23</v>
      </c>
      <c r="D181" s="122">
        <v>903</v>
      </c>
      <c r="E181" s="33">
        <v>877</v>
      </c>
      <c r="F181" s="34">
        <v>123</v>
      </c>
      <c r="G181" s="34">
        <v>903123</v>
      </c>
      <c r="H181" s="119">
        <v>12.52</v>
      </c>
      <c r="I181" s="101">
        <v>12.52</v>
      </c>
      <c r="J181" s="101"/>
      <c r="K181" s="125" t="s">
        <v>148</v>
      </c>
      <c r="L181" s="11" t="s">
        <v>148</v>
      </c>
      <c r="M181" s="53" t="s">
        <v>174</v>
      </c>
      <c r="N181" s="122" t="s">
        <v>278</v>
      </c>
      <c r="O181" s="122"/>
      <c r="P181" s="11" t="s">
        <v>281</v>
      </c>
      <c r="Q181" s="45"/>
      <c r="R181" s="21" t="s">
        <v>277</v>
      </c>
      <c r="S181" s="46"/>
      <c r="T181" s="46"/>
      <c r="U181" s="47" t="s">
        <v>278</v>
      </c>
      <c r="V181" s="48"/>
      <c r="W181" s="47"/>
      <c r="X181" s="47"/>
      <c r="Y181" s="47"/>
      <c r="Z181" s="47"/>
      <c r="AA181" s="49"/>
      <c r="AB181" s="49"/>
      <c r="AC181" s="122"/>
      <c r="AD181" s="31"/>
      <c r="AE181" s="32" t="s">
        <v>147</v>
      </c>
    </row>
    <row r="182" spans="1:31">
      <c r="A182" s="135">
        <v>1</v>
      </c>
      <c r="B182" s="38" t="s">
        <v>97</v>
      </c>
      <c r="C182" s="122">
        <v>24</v>
      </c>
      <c r="D182" s="122">
        <v>903</v>
      </c>
      <c r="E182" s="33">
        <v>8121038</v>
      </c>
      <c r="F182" s="34">
        <v>124</v>
      </c>
      <c r="G182" s="34">
        <v>903124</v>
      </c>
      <c r="H182" s="119">
        <v>32.85</v>
      </c>
      <c r="I182" s="101"/>
      <c r="J182" s="101">
        <v>32.85</v>
      </c>
      <c r="K182" s="22" t="s">
        <v>137</v>
      </c>
      <c r="L182" s="11" t="s">
        <v>138</v>
      </c>
      <c r="M182" s="23" t="s">
        <v>185</v>
      </c>
      <c r="N182" s="122" t="s">
        <v>140</v>
      </c>
      <c r="O182" s="122">
        <v>4</v>
      </c>
      <c r="P182" s="24" t="s">
        <v>282</v>
      </c>
      <c r="Q182" s="25">
        <v>117000</v>
      </c>
      <c r="R182" s="26" t="s">
        <v>283</v>
      </c>
      <c r="S182" s="27" t="s">
        <v>159</v>
      </c>
      <c r="T182" s="27" t="s">
        <v>160</v>
      </c>
      <c r="U182" s="47" t="s">
        <v>150</v>
      </c>
      <c r="V182" s="39">
        <v>3</v>
      </c>
      <c r="W182" s="29">
        <v>4927.5</v>
      </c>
      <c r="X182" s="29" t="s">
        <v>284</v>
      </c>
      <c r="Y182" s="29">
        <v>1</v>
      </c>
      <c r="Z182" s="30">
        <v>32.85</v>
      </c>
      <c r="AA182" s="136" t="s">
        <v>285</v>
      </c>
      <c r="AB182" s="136">
        <v>2</v>
      </c>
      <c r="AC182" s="122" t="s">
        <v>155</v>
      </c>
      <c r="AD182" s="31">
        <v>1.85</v>
      </c>
      <c r="AE182" s="32" t="s">
        <v>147</v>
      </c>
    </row>
    <row r="183" spans="1:31">
      <c r="A183" s="135">
        <v>1</v>
      </c>
      <c r="B183" s="38" t="s">
        <v>97</v>
      </c>
      <c r="C183" s="122">
        <v>25</v>
      </c>
      <c r="D183" s="122">
        <v>903</v>
      </c>
      <c r="E183" s="33">
        <v>8121039</v>
      </c>
      <c r="F183" s="34">
        <v>125</v>
      </c>
      <c r="G183" s="34">
        <v>903125</v>
      </c>
      <c r="H183" s="119">
        <v>18.84</v>
      </c>
      <c r="I183" s="101"/>
      <c r="J183" s="101">
        <v>18.84</v>
      </c>
      <c r="K183" s="22" t="s">
        <v>137</v>
      </c>
      <c r="L183" s="11" t="s">
        <v>138</v>
      </c>
      <c r="M183" s="23" t="s">
        <v>149</v>
      </c>
      <c r="N183" s="122" t="s">
        <v>140</v>
      </c>
      <c r="O183" s="122">
        <v>4</v>
      </c>
      <c r="P183" s="24" t="s">
        <v>282</v>
      </c>
      <c r="Q183" s="25">
        <v>117000</v>
      </c>
      <c r="R183" s="26" t="s">
        <v>283</v>
      </c>
      <c r="S183" s="27" t="s">
        <v>159</v>
      </c>
      <c r="T183" s="27" t="s">
        <v>160</v>
      </c>
      <c r="U183" s="47" t="s">
        <v>150</v>
      </c>
      <c r="V183" s="39">
        <v>3</v>
      </c>
      <c r="W183" s="29">
        <v>2826</v>
      </c>
      <c r="X183" s="29" t="s">
        <v>284</v>
      </c>
      <c r="Y183" s="29"/>
      <c r="Z183" s="30">
        <v>18.84</v>
      </c>
      <c r="AA183" s="136" t="s">
        <v>285</v>
      </c>
      <c r="AB183" s="136">
        <v>2</v>
      </c>
      <c r="AC183" s="122" t="s">
        <v>155</v>
      </c>
      <c r="AD183" s="31">
        <v>1.85</v>
      </c>
      <c r="AE183" s="32" t="s">
        <v>147</v>
      </c>
    </row>
    <row r="184" spans="1:31">
      <c r="A184" s="135">
        <v>1</v>
      </c>
      <c r="B184" s="38" t="s">
        <v>97</v>
      </c>
      <c r="C184" s="122">
        <v>26</v>
      </c>
      <c r="D184" s="122">
        <v>903</v>
      </c>
      <c r="E184" s="33">
        <v>812543</v>
      </c>
      <c r="F184" s="55">
        <v>126</v>
      </c>
      <c r="G184" s="34">
        <v>903126</v>
      </c>
      <c r="H184" s="119">
        <v>14.96</v>
      </c>
      <c r="I184" s="101"/>
      <c r="J184" s="101">
        <v>14.96</v>
      </c>
      <c r="K184" s="22" t="s">
        <v>137</v>
      </c>
      <c r="L184" s="11" t="s">
        <v>138</v>
      </c>
      <c r="M184" s="23" t="s">
        <v>286</v>
      </c>
      <c r="N184" s="122" t="s">
        <v>140</v>
      </c>
      <c r="O184" s="122">
        <v>4</v>
      </c>
      <c r="P184" s="24" t="s">
        <v>287</v>
      </c>
      <c r="Q184" s="25">
        <v>100000</v>
      </c>
      <c r="R184" s="26" t="s">
        <v>288</v>
      </c>
      <c r="S184" s="27" t="s">
        <v>159</v>
      </c>
      <c r="T184" s="27" t="s">
        <v>160</v>
      </c>
      <c r="U184" s="47" t="s">
        <v>150</v>
      </c>
      <c r="V184" s="39">
        <v>3</v>
      </c>
      <c r="W184" s="29">
        <v>2244</v>
      </c>
      <c r="X184" s="29" t="s">
        <v>284</v>
      </c>
      <c r="Y184" s="29"/>
      <c r="Z184" s="30">
        <v>14.96</v>
      </c>
      <c r="AA184" s="136" t="s">
        <v>285</v>
      </c>
      <c r="AB184" s="136">
        <v>2</v>
      </c>
      <c r="AC184" s="122" t="s">
        <v>155</v>
      </c>
      <c r="AD184" s="31">
        <v>1.85</v>
      </c>
      <c r="AE184" s="32" t="s">
        <v>147</v>
      </c>
    </row>
    <row r="185" spans="1:31">
      <c r="A185" s="135">
        <v>1</v>
      </c>
      <c r="B185" s="38" t="s">
        <v>97</v>
      </c>
      <c r="C185" s="122">
        <v>27</v>
      </c>
      <c r="D185" s="122">
        <v>903</v>
      </c>
      <c r="E185" s="33">
        <v>812544</v>
      </c>
      <c r="F185" s="55">
        <v>127</v>
      </c>
      <c r="G185" s="34">
        <v>903127</v>
      </c>
      <c r="H185" s="119">
        <v>20.079999999999998</v>
      </c>
      <c r="I185" s="101"/>
      <c r="J185" s="101">
        <v>20.079999999999998</v>
      </c>
      <c r="K185" s="22" t="s">
        <v>137</v>
      </c>
      <c r="L185" s="11" t="s">
        <v>138</v>
      </c>
      <c r="M185" s="23" t="s">
        <v>245</v>
      </c>
      <c r="N185" s="122" t="s">
        <v>140</v>
      </c>
      <c r="O185" s="122">
        <v>4</v>
      </c>
      <c r="P185" s="24" t="s">
        <v>287</v>
      </c>
      <c r="Q185" s="25">
        <v>100000</v>
      </c>
      <c r="R185" s="26" t="s">
        <v>288</v>
      </c>
      <c r="S185" s="27" t="s">
        <v>159</v>
      </c>
      <c r="T185" s="27" t="s">
        <v>160</v>
      </c>
      <c r="U185" s="47" t="s">
        <v>150</v>
      </c>
      <c r="V185" s="39">
        <v>3</v>
      </c>
      <c r="W185" s="29">
        <v>3011.9999999999995</v>
      </c>
      <c r="X185" s="29" t="s">
        <v>284</v>
      </c>
      <c r="Y185" s="29"/>
      <c r="Z185" s="30">
        <v>20.079999999999998</v>
      </c>
      <c r="AA185" s="136" t="s">
        <v>285</v>
      </c>
      <c r="AB185" s="136">
        <v>2</v>
      </c>
      <c r="AC185" s="122" t="s">
        <v>155</v>
      </c>
      <c r="AD185" s="31">
        <v>1.85</v>
      </c>
      <c r="AE185" s="32" t="s">
        <v>147</v>
      </c>
    </row>
    <row r="186" spans="1:31">
      <c r="A186" s="135">
        <v>1</v>
      </c>
      <c r="B186" s="38" t="s">
        <v>97</v>
      </c>
      <c r="C186" s="122">
        <v>28</v>
      </c>
      <c r="D186" s="122">
        <v>903</v>
      </c>
      <c r="E186" s="33">
        <v>812545</v>
      </c>
      <c r="F186" s="55">
        <v>128</v>
      </c>
      <c r="G186" s="34">
        <v>903128</v>
      </c>
      <c r="H186" s="119">
        <v>15.75</v>
      </c>
      <c r="I186" s="101"/>
      <c r="J186" s="101">
        <v>15.75</v>
      </c>
      <c r="K186" s="22" t="s">
        <v>137</v>
      </c>
      <c r="L186" s="11" t="s">
        <v>138</v>
      </c>
      <c r="M186" s="23" t="s">
        <v>245</v>
      </c>
      <c r="N186" s="122" t="s">
        <v>140</v>
      </c>
      <c r="O186" s="122">
        <v>4</v>
      </c>
      <c r="P186" s="24" t="s">
        <v>287</v>
      </c>
      <c r="Q186" s="25">
        <v>100000</v>
      </c>
      <c r="R186" s="26" t="s">
        <v>288</v>
      </c>
      <c r="S186" s="27" t="s">
        <v>159</v>
      </c>
      <c r="T186" s="27" t="s">
        <v>160</v>
      </c>
      <c r="U186" s="47" t="s">
        <v>150</v>
      </c>
      <c r="V186" s="39">
        <v>3</v>
      </c>
      <c r="W186" s="29">
        <v>2362.5</v>
      </c>
      <c r="X186" s="29" t="s">
        <v>284</v>
      </c>
      <c r="Y186" s="29"/>
      <c r="Z186" s="30">
        <v>15.75</v>
      </c>
      <c r="AA186" s="136" t="s">
        <v>285</v>
      </c>
      <c r="AB186" s="136">
        <v>2</v>
      </c>
      <c r="AC186" s="122" t="s">
        <v>155</v>
      </c>
      <c r="AD186" s="31">
        <v>1.85</v>
      </c>
      <c r="AE186" s="32" t="s">
        <v>147</v>
      </c>
    </row>
    <row r="187" spans="1:31">
      <c r="A187" s="135">
        <v>1</v>
      </c>
      <c r="B187" s="38" t="s">
        <v>97</v>
      </c>
      <c r="C187" s="122">
        <v>29</v>
      </c>
      <c r="D187" s="122">
        <v>903</v>
      </c>
      <c r="E187" s="33">
        <v>812548</v>
      </c>
      <c r="F187" s="34">
        <v>129</v>
      </c>
      <c r="G187" s="34">
        <v>903129</v>
      </c>
      <c r="H187" s="119">
        <v>28.52</v>
      </c>
      <c r="I187" s="105">
        <v>28.52</v>
      </c>
      <c r="J187" s="101"/>
      <c r="K187" s="125" t="s">
        <v>148</v>
      </c>
      <c r="L187" s="22" t="s">
        <v>148</v>
      </c>
      <c r="M187" s="23" t="s">
        <v>149</v>
      </c>
      <c r="N187" s="122" t="s">
        <v>140</v>
      </c>
      <c r="O187" s="122">
        <v>4</v>
      </c>
      <c r="P187" s="24" t="s">
        <v>289</v>
      </c>
      <c r="Q187" s="25">
        <v>156000</v>
      </c>
      <c r="R187" s="26" t="s">
        <v>288</v>
      </c>
      <c r="S187" s="27" t="s">
        <v>159</v>
      </c>
      <c r="T187" s="27" t="s">
        <v>160</v>
      </c>
      <c r="U187" s="47" t="s">
        <v>150</v>
      </c>
      <c r="V187" s="39">
        <v>3</v>
      </c>
      <c r="W187" s="29">
        <v>0</v>
      </c>
      <c r="X187" s="29" t="s">
        <v>284</v>
      </c>
      <c r="Y187" s="29"/>
      <c r="Z187" s="30">
        <v>0</v>
      </c>
      <c r="AA187" s="136" t="s">
        <v>285</v>
      </c>
      <c r="AB187" s="136">
        <v>2</v>
      </c>
      <c r="AC187" s="122" t="s">
        <v>155</v>
      </c>
      <c r="AD187" s="31">
        <v>1.85</v>
      </c>
      <c r="AE187" s="32" t="s">
        <v>147</v>
      </c>
    </row>
    <row r="188" spans="1:31">
      <c r="A188" s="135">
        <v>1</v>
      </c>
      <c r="B188" s="38" t="s">
        <v>97</v>
      </c>
      <c r="C188" s="122">
        <v>30</v>
      </c>
      <c r="D188" s="122">
        <v>903</v>
      </c>
      <c r="E188" s="33">
        <v>812549</v>
      </c>
      <c r="F188" s="34">
        <v>130</v>
      </c>
      <c r="G188" s="34">
        <v>903130</v>
      </c>
      <c r="H188" s="119">
        <v>8.17</v>
      </c>
      <c r="I188" s="105">
        <v>8.17</v>
      </c>
      <c r="J188" s="101"/>
      <c r="K188" s="125" t="s">
        <v>148</v>
      </c>
      <c r="L188" s="22" t="s">
        <v>148</v>
      </c>
      <c r="M188" s="23" t="s">
        <v>149</v>
      </c>
      <c r="N188" s="122" t="s">
        <v>140</v>
      </c>
      <c r="O188" s="122">
        <v>4</v>
      </c>
      <c r="P188" s="24" t="s">
        <v>289</v>
      </c>
      <c r="Q188" s="25">
        <v>156000</v>
      </c>
      <c r="R188" s="26" t="s">
        <v>288</v>
      </c>
      <c r="S188" s="27" t="s">
        <v>159</v>
      </c>
      <c r="T188" s="27" t="s">
        <v>160</v>
      </c>
      <c r="U188" s="47" t="s">
        <v>150</v>
      </c>
      <c r="V188" s="39">
        <v>3</v>
      </c>
      <c r="W188" s="29">
        <v>0</v>
      </c>
      <c r="X188" s="29" t="s">
        <v>284</v>
      </c>
      <c r="Y188" s="29"/>
      <c r="Z188" s="30">
        <v>0</v>
      </c>
      <c r="AA188" s="136" t="s">
        <v>285</v>
      </c>
      <c r="AB188" s="136">
        <v>2</v>
      </c>
      <c r="AC188" s="122" t="s">
        <v>155</v>
      </c>
      <c r="AD188" s="31">
        <v>1.85</v>
      </c>
      <c r="AE188" s="32" t="s">
        <v>147</v>
      </c>
    </row>
    <row r="189" spans="1:31">
      <c r="A189" s="135">
        <v>1</v>
      </c>
      <c r="B189" s="38" t="s">
        <v>97</v>
      </c>
      <c r="C189" s="122">
        <v>31</v>
      </c>
      <c r="D189" s="122">
        <v>903</v>
      </c>
      <c r="E189" s="33">
        <v>812550</v>
      </c>
      <c r="F189" s="34">
        <v>131</v>
      </c>
      <c r="G189" s="34">
        <v>903131</v>
      </c>
      <c r="H189" s="119">
        <v>15.7</v>
      </c>
      <c r="I189" s="105">
        <v>15.7</v>
      </c>
      <c r="J189" s="100"/>
      <c r="K189" s="125" t="s">
        <v>148</v>
      </c>
      <c r="L189" s="22" t="s">
        <v>148</v>
      </c>
      <c r="M189" s="23" t="s">
        <v>149</v>
      </c>
      <c r="N189" s="122" t="s">
        <v>140</v>
      </c>
      <c r="O189" s="122">
        <v>4</v>
      </c>
      <c r="P189" s="24" t="s">
        <v>289</v>
      </c>
      <c r="Q189" s="25">
        <v>156000</v>
      </c>
      <c r="R189" s="26" t="s">
        <v>288</v>
      </c>
      <c r="S189" s="27" t="s">
        <v>159</v>
      </c>
      <c r="T189" s="27" t="s">
        <v>160</v>
      </c>
      <c r="U189" s="47" t="s">
        <v>150</v>
      </c>
      <c r="V189" s="39">
        <v>3</v>
      </c>
      <c r="W189" s="29">
        <v>0</v>
      </c>
      <c r="X189" s="29" t="s">
        <v>284</v>
      </c>
      <c r="Y189" s="29"/>
      <c r="Z189" s="30">
        <v>0</v>
      </c>
      <c r="AA189" s="136" t="s">
        <v>285</v>
      </c>
      <c r="AB189" s="136">
        <v>2</v>
      </c>
      <c r="AC189" s="21" t="s">
        <v>155</v>
      </c>
      <c r="AD189" s="31">
        <v>1.85</v>
      </c>
      <c r="AE189" s="32" t="s">
        <v>147</v>
      </c>
    </row>
    <row r="190" spans="1:31">
      <c r="A190" s="135">
        <v>1</v>
      </c>
      <c r="B190" s="38" t="s">
        <v>97</v>
      </c>
      <c r="C190" s="122">
        <v>32</v>
      </c>
      <c r="D190" s="122">
        <v>903</v>
      </c>
      <c r="E190" s="33">
        <v>858</v>
      </c>
      <c r="F190" s="34">
        <v>132</v>
      </c>
      <c r="G190" s="34">
        <v>903132</v>
      </c>
      <c r="H190" s="119">
        <v>8.91</v>
      </c>
      <c r="I190" s="101"/>
      <c r="J190" s="100">
        <v>8.91</v>
      </c>
      <c r="K190" s="22" t="s">
        <v>172</v>
      </c>
      <c r="L190" s="11" t="s">
        <v>86</v>
      </c>
      <c r="M190" s="23" t="s">
        <v>290</v>
      </c>
      <c r="N190" s="122" t="s">
        <v>140</v>
      </c>
      <c r="O190" s="122">
        <v>4</v>
      </c>
      <c r="P190" s="24" t="s">
        <v>291</v>
      </c>
      <c r="Q190" s="25">
        <v>57000</v>
      </c>
      <c r="R190" s="26" t="s">
        <v>205</v>
      </c>
      <c r="S190" s="27" t="s">
        <v>159</v>
      </c>
      <c r="T190" s="27" t="s">
        <v>160</v>
      </c>
      <c r="U190" s="47" t="s">
        <v>140</v>
      </c>
      <c r="V190" s="39">
        <v>6</v>
      </c>
      <c r="W190" s="29">
        <v>2673</v>
      </c>
      <c r="X190" s="29" t="s">
        <v>269</v>
      </c>
      <c r="Y190" s="29"/>
      <c r="Z190" s="30">
        <v>8.91</v>
      </c>
      <c r="AA190" s="136" t="s">
        <v>270</v>
      </c>
      <c r="AB190" s="136">
        <v>2</v>
      </c>
      <c r="AC190" s="21" t="s">
        <v>155</v>
      </c>
      <c r="AD190" s="31">
        <v>1.85</v>
      </c>
      <c r="AE190" s="32" t="s">
        <v>147</v>
      </c>
    </row>
    <row r="191" spans="1:31">
      <c r="A191" s="135">
        <v>1</v>
      </c>
      <c r="B191" s="38" t="s">
        <v>97</v>
      </c>
      <c r="C191" s="122">
        <v>33</v>
      </c>
      <c r="D191" s="122">
        <v>903</v>
      </c>
      <c r="E191" s="33">
        <v>857</v>
      </c>
      <c r="F191" s="34">
        <v>133</v>
      </c>
      <c r="G191" s="34">
        <v>903133</v>
      </c>
      <c r="H191" s="119">
        <v>30.7</v>
      </c>
      <c r="I191" s="101"/>
      <c r="J191" s="101">
        <v>30.7</v>
      </c>
      <c r="K191" s="125" t="s">
        <v>172</v>
      </c>
      <c r="L191" s="11" t="s">
        <v>86</v>
      </c>
      <c r="M191" s="23" t="s">
        <v>290</v>
      </c>
      <c r="N191" s="122" t="s">
        <v>140</v>
      </c>
      <c r="O191" s="122">
        <v>4</v>
      </c>
      <c r="P191" s="24" t="s">
        <v>291</v>
      </c>
      <c r="Q191" s="25">
        <v>57000</v>
      </c>
      <c r="R191" s="26" t="s">
        <v>205</v>
      </c>
      <c r="S191" s="27" t="s">
        <v>159</v>
      </c>
      <c r="T191" s="27" t="s">
        <v>160</v>
      </c>
      <c r="U191" s="47" t="s">
        <v>140</v>
      </c>
      <c r="V191" s="39">
        <v>6</v>
      </c>
      <c r="W191" s="29">
        <v>9210</v>
      </c>
      <c r="X191" s="29" t="s">
        <v>269</v>
      </c>
      <c r="Y191" s="29"/>
      <c r="Z191" s="30">
        <v>30.7</v>
      </c>
      <c r="AA191" s="136" t="s">
        <v>270</v>
      </c>
      <c r="AB191" s="136">
        <v>2</v>
      </c>
      <c r="AC191" s="122" t="s">
        <v>155</v>
      </c>
      <c r="AD191" s="31">
        <v>1.85</v>
      </c>
      <c r="AE191" s="32" t="s">
        <v>147</v>
      </c>
    </row>
    <row r="192" spans="1:31">
      <c r="A192" s="135">
        <v>1</v>
      </c>
      <c r="B192" s="38" t="s">
        <v>97</v>
      </c>
      <c r="C192" s="122">
        <v>34</v>
      </c>
      <c r="D192" s="122">
        <v>903</v>
      </c>
      <c r="E192" s="33">
        <v>859</v>
      </c>
      <c r="F192" s="34">
        <v>134</v>
      </c>
      <c r="G192" s="34">
        <v>903134</v>
      </c>
      <c r="H192" s="119">
        <v>19.600000000000001</v>
      </c>
      <c r="I192" s="105">
        <v>19.600000000000001</v>
      </c>
      <c r="J192" s="100"/>
      <c r="K192" s="125" t="s">
        <v>148</v>
      </c>
      <c r="L192" s="11" t="s">
        <v>148</v>
      </c>
      <c r="M192" s="23" t="s">
        <v>184</v>
      </c>
      <c r="N192" s="122" t="s">
        <v>150</v>
      </c>
      <c r="O192" s="122">
        <v>3</v>
      </c>
      <c r="P192" s="24" t="s">
        <v>291</v>
      </c>
      <c r="Q192" s="25">
        <v>57000</v>
      </c>
      <c r="R192" s="26" t="s">
        <v>205</v>
      </c>
      <c r="S192" s="27" t="s">
        <v>159</v>
      </c>
      <c r="T192" s="27" t="s">
        <v>160</v>
      </c>
      <c r="U192" s="47" t="s">
        <v>140</v>
      </c>
      <c r="V192" s="39">
        <v>6</v>
      </c>
      <c r="W192" s="29">
        <v>0</v>
      </c>
      <c r="X192" s="29" t="s">
        <v>269</v>
      </c>
      <c r="Y192" s="29"/>
      <c r="Z192" s="30">
        <v>0</v>
      </c>
      <c r="AA192" s="136" t="s">
        <v>270</v>
      </c>
      <c r="AB192" s="136">
        <v>2</v>
      </c>
      <c r="AC192" s="21" t="s">
        <v>155</v>
      </c>
      <c r="AD192" s="31">
        <v>1.85</v>
      </c>
      <c r="AE192" s="32" t="s">
        <v>147</v>
      </c>
    </row>
    <row r="193" spans="1:31">
      <c r="A193" s="135">
        <v>1</v>
      </c>
      <c r="B193" s="38" t="s">
        <v>97</v>
      </c>
      <c r="C193" s="122">
        <v>35</v>
      </c>
      <c r="D193" s="122">
        <v>903</v>
      </c>
      <c r="E193" s="33">
        <v>860</v>
      </c>
      <c r="F193" s="34">
        <v>135</v>
      </c>
      <c r="G193" s="34">
        <v>903135</v>
      </c>
      <c r="H193" s="119">
        <v>22.8</v>
      </c>
      <c r="I193" s="105">
        <v>22.8</v>
      </c>
      <c r="J193" s="101"/>
      <c r="K193" s="125" t="s">
        <v>148</v>
      </c>
      <c r="L193" s="11" t="s">
        <v>148</v>
      </c>
      <c r="M193" s="23" t="s">
        <v>149</v>
      </c>
      <c r="N193" s="122" t="s">
        <v>150</v>
      </c>
      <c r="O193" s="122">
        <v>3</v>
      </c>
      <c r="P193" s="24" t="s">
        <v>291</v>
      </c>
      <c r="Q193" s="25">
        <v>57000</v>
      </c>
      <c r="R193" s="26" t="s">
        <v>205</v>
      </c>
      <c r="S193" s="27" t="s">
        <v>159</v>
      </c>
      <c r="T193" s="27" t="s">
        <v>160</v>
      </c>
      <c r="U193" s="47" t="s">
        <v>140</v>
      </c>
      <c r="V193" s="39">
        <v>6</v>
      </c>
      <c r="W193" s="29">
        <v>0</v>
      </c>
      <c r="X193" s="29" t="s">
        <v>269</v>
      </c>
      <c r="Y193" s="29"/>
      <c r="Z193" s="30">
        <v>0</v>
      </c>
      <c r="AA193" s="136" t="s">
        <v>270</v>
      </c>
      <c r="AB193" s="136">
        <v>2</v>
      </c>
      <c r="AC193" s="122" t="s">
        <v>146</v>
      </c>
      <c r="AD193" s="31">
        <v>1.75</v>
      </c>
      <c r="AE193" s="32" t="s">
        <v>147</v>
      </c>
    </row>
    <row r="194" spans="1:31">
      <c r="A194" s="135">
        <v>1</v>
      </c>
      <c r="B194" s="38" t="s">
        <v>97</v>
      </c>
      <c r="C194" s="122">
        <v>36</v>
      </c>
      <c r="D194" s="122">
        <v>903</v>
      </c>
      <c r="E194" s="33">
        <v>861</v>
      </c>
      <c r="F194" s="34">
        <v>136</v>
      </c>
      <c r="G194" s="34">
        <v>903136</v>
      </c>
      <c r="H194" s="119">
        <v>14.63</v>
      </c>
      <c r="I194" s="105">
        <v>14.63</v>
      </c>
      <c r="J194" s="101"/>
      <c r="K194" s="125" t="s">
        <v>148</v>
      </c>
      <c r="L194" s="11" t="s">
        <v>148</v>
      </c>
      <c r="M194" s="23" t="s">
        <v>203</v>
      </c>
      <c r="N194" s="122" t="s">
        <v>150</v>
      </c>
      <c r="O194" s="122">
        <v>3</v>
      </c>
      <c r="P194" s="24" t="s">
        <v>291</v>
      </c>
      <c r="Q194" s="25">
        <v>57000</v>
      </c>
      <c r="R194" s="26" t="s">
        <v>205</v>
      </c>
      <c r="S194" s="27" t="s">
        <v>159</v>
      </c>
      <c r="T194" s="27" t="s">
        <v>160</v>
      </c>
      <c r="U194" s="47" t="s">
        <v>140</v>
      </c>
      <c r="V194" s="39">
        <v>6</v>
      </c>
      <c r="W194" s="29">
        <v>0</v>
      </c>
      <c r="X194" s="29" t="s">
        <v>269</v>
      </c>
      <c r="Y194" s="29"/>
      <c r="Z194" s="30">
        <v>0</v>
      </c>
      <c r="AA194" s="136" t="s">
        <v>270</v>
      </c>
      <c r="AB194" s="136">
        <v>2</v>
      </c>
      <c r="AC194" s="122" t="s">
        <v>155</v>
      </c>
      <c r="AD194" s="31">
        <v>1.85</v>
      </c>
      <c r="AE194" s="32" t="s">
        <v>147</v>
      </c>
    </row>
    <row r="195" spans="1:31">
      <c r="A195" s="135">
        <v>1</v>
      </c>
      <c r="B195" s="38" t="s">
        <v>97</v>
      </c>
      <c r="C195" s="122">
        <v>37</v>
      </c>
      <c r="D195" s="122">
        <v>903</v>
      </c>
      <c r="E195" s="33">
        <v>863</v>
      </c>
      <c r="F195" s="34">
        <v>137</v>
      </c>
      <c r="G195" s="34">
        <v>903137</v>
      </c>
      <c r="H195" s="119">
        <v>7.11</v>
      </c>
      <c r="I195" s="101"/>
      <c r="J195" s="101">
        <v>7.11</v>
      </c>
      <c r="K195" s="125" t="s">
        <v>170</v>
      </c>
      <c r="L195" s="11" t="s">
        <v>86</v>
      </c>
      <c r="M195" s="23" t="s">
        <v>292</v>
      </c>
      <c r="N195" s="122" t="s">
        <v>150</v>
      </c>
      <c r="O195" s="122">
        <v>3</v>
      </c>
      <c r="P195" s="24" t="s">
        <v>293</v>
      </c>
      <c r="Q195" s="25">
        <v>31000</v>
      </c>
      <c r="R195" s="26" t="s">
        <v>205</v>
      </c>
      <c r="S195" s="27" t="s">
        <v>159</v>
      </c>
      <c r="T195" s="27" t="s">
        <v>160</v>
      </c>
      <c r="U195" s="47" t="s">
        <v>140</v>
      </c>
      <c r="V195" s="39">
        <v>6</v>
      </c>
      <c r="W195" s="29">
        <v>2133</v>
      </c>
      <c r="X195" s="29" t="s">
        <v>269</v>
      </c>
      <c r="Y195" s="29"/>
      <c r="Z195" s="30">
        <v>7.11</v>
      </c>
      <c r="AA195" s="136" t="s">
        <v>270</v>
      </c>
      <c r="AB195" s="136">
        <v>2</v>
      </c>
      <c r="AC195" s="122" t="s">
        <v>155</v>
      </c>
      <c r="AD195" s="31">
        <v>1.85</v>
      </c>
      <c r="AE195" s="32" t="s">
        <v>147</v>
      </c>
    </row>
    <row r="196" spans="1:31">
      <c r="A196" s="135">
        <v>1</v>
      </c>
      <c r="B196" s="38" t="s">
        <v>97</v>
      </c>
      <c r="C196" s="122">
        <v>38</v>
      </c>
      <c r="D196" s="122">
        <v>903</v>
      </c>
      <c r="E196" s="33">
        <v>864</v>
      </c>
      <c r="F196" s="34">
        <v>138</v>
      </c>
      <c r="G196" s="34">
        <v>903138</v>
      </c>
      <c r="H196" s="119">
        <v>6.9</v>
      </c>
      <c r="I196" s="101"/>
      <c r="J196" s="101">
        <v>6.9</v>
      </c>
      <c r="K196" s="125" t="s">
        <v>170</v>
      </c>
      <c r="L196" s="11" t="s">
        <v>86</v>
      </c>
      <c r="M196" s="23" t="s">
        <v>292</v>
      </c>
      <c r="N196" s="122" t="s">
        <v>150</v>
      </c>
      <c r="O196" s="122">
        <v>3</v>
      </c>
      <c r="P196" s="24" t="s">
        <v>293</v>
      </c>
      <c r="Q196" s="25">
        <v>31000</v>
      </c>
      <c r="R196" s="26" t="s">
        <v>205</v>
      </c>
      <c r="S196" s="27" t="s">
        <v>159</v>
      </c>
      <c r="T196" s="27" t="s">
        <v>160</v>
      </c>
      <c r="U196" s="47" t="s">
        <v>140</v>
      </c>
      <c r="V196" s="39">
        <v>6</v>
      </c>
      <c r="W196" s="29">
        <v>2070</v>
      </c>
      <c r="X196" s="29" t="s">
        <v>269</v>
      </c>
      <c r="Y196" s="29"/>
      <c r="Z196" s="30">
        <v>6.9</v>
      </c>
      <c r="AA196" s="136" t="s">
        <v>270</v>
      </c>
      <c r="AB196" s="136">
        <v>2</v>
      </c>
      <c r="AC196" s="122" t="s">
        <v>155</v>
      </c>
      <c r="AD196" s="31">
        <v>1.85</v>
      </c>
      <c r="AE196" s="32" t="s">
        <v>147</v>
      </c>
    </row>
    <row r="197" spans="1:31">
      <c r="A197" s="135">
        <v>1</v>
      </c>
      <c r="B197" s="38" t="s">
        <v>97</v>
      </c>
      <c r="C197" s="122">
        <v>39</v>
      </c>
      <c r="D197" s="122">
        <v>903</v>
      </c>
      <c r="E197" s="33">
        <v>865</v>
      </c>
      <c r="F197" s="34">
        <v>139</v>
      </c>
      <c r="G197" s="34">
        <v>903139</v>
      </c>
      <c r="H197" s="119">
        <v>30.22</v>
      </c>
      <c r="I197" s="101"/>
      <c r="J197" s="101">
        <v>30.22</v>
      </c>
      <c r="K197" s="125" t="s">
        <v>172</v>
      </c>
      <c r="L197" s="11" t="s">
        <v>86</v>
      </c>
      <c r="M197" s="23" t="s">
        <v>178</v>
      </c>
      <c r="N197" s="122" t="s">
        <v>150</v>
      </c>
      <c r="O197" s="122">
        <v>3</v>
      </c>
      <c r="P197" s="24" t="s">
        <v>293</v>
      </c>
      <c r="Q197" s="25">
        <v>31000</v>
      </c>
      <c r="R197" s="26" t="s">
        <v>205</v>
      </c>
      <c r="S197" s="27" t="s">
        <v>159</v>
      </c>
      <c r="T197" s="27" t="s">
        <v>160</v>
      </c>
      <c r="U197" s="47" t="s">
        <v>140</v>
      </c>
      <c r="V197" s="39">
        <v>6</v>
      </c>
      <c r="W197" s="29">
        <v>9066</v>
      </c>
      <c r="X197" s="29" t="s">
        <v>269</v>
      </c>
      <c r="Y197" s="29"/>
      <c r="Z197" s="30">
        <v>30.22</v>
      </c>
      <c r="AA197" s="136" t="s">
        <v>285</v>
      </c>
      <c r="AB197" s="136">
        <v>2</v>
      </c>
      <c r="AC197" s="122" t="s">
        <v>155</v>
      </c>
      <c r="AD197" s="31">
        <v>1.85</v>
      </c>
      <c r="AE197" s="32" t="s">
        <v>147</v>
      </c>
    </row>
    <row r="198" spans="1:31">
      <c r="A198" s="135">
        <v>1</v>
      </c>
      <c r="B198" s="38" t="s">
        <v>97</v>
      </c>
      <c r="C198" s="122">
        <v>40</v>
      </c>
      <c r="D198" s="122">
        <v>903</v>
      </c>
      <c r="E198" s="33">
        <v>867</v>
      </c>
      <c r="F198" s="34">
        <v>140</v>
      </c>
      <c r="G198" s="34">
        <v>903140</v>
      </c>
      <c r="H198" s="119">
        <v>6.5600000000000005</v>
      </c>
      <c r="I198" s="101"/>
      <c r="J198" s="101">
        <v>6.5600000000000005</v>
      </c>
      <c r="K198" s="125" t="s">
        <v>172</v>
      </c>
      <c r="L198" s="11" t="s">
        <v>86</v>
      </c>
      <c r="M198" s="23" t="s">
        <v>149</v>
      </c>
      <c r="N198" s="122" t="s">
        <v>150</v>
      </c>
      <c r="O198" s="122">
        <v>3</v>
      </c>
      <c r="P198" s="24" t="s">
        <v>293</v>
      </c>
      <c r="Q198" s="25">
        <v>31000</v>
      </c>
      <c r="R198" s="26" t="s">
        <v>205</v>
      </c>
      <c r="S198" s="27" t="s">
        <v>159</v>
      </c>
      <c r="T198" s="27" t="s">
        <v>160</v>
      </c>
      <c r="U198" s="47" t="s">
        <v>140</v>
      </c>
      <c r="V198" s="39">
        <v>6</v>
      </c>
      <c r="W198" s="29">
        <v>1968.0000000000002</v>
      </c>
      <c r="X198" s="29" t="s">
        <v>294</v>
      </c>
      <c r="Y198" s="29">
        <v>2</v>
      </c>
      <c r="Z198" s="30">
        <v>6.5600000000000005</v>
      </c>
      <c r="AA198" s="136" t="s">
        <v>270</v>
      </c>
      <c r="AB198" s="136">
        <v>2</v>
      </c>
      <c r="AC198" s="21" t="s">
        <v>155</v>
      </c>
      <c r="AD198" s="31">
        <v>1.85</v>
      </c>
      <c r="AE198" s="32" t="s">
        <v>147</v>
      </c>
    </row>
    <row r="199" spans="1:31">
      <c r="A199" s="135">
        <v>1</v>
      </c>
      <c r="B199" s="38" t="s">
        <v>97</v>
      </c>
      <c r="C199" s="122">
        <v>41</v>
      </c>
      <c r="D199" s="122">
        <v>903</v>
      </c>
      <c r="E199" s="33" t="s">
        <v>193</v>
      </c>
      <c r="F199" s="34">
        <v>141</v>
      </c>
      <c r="G199" s="34">
        <v>903141</v>
      </c>
      <c r="H199" s="119">
        <v>60.78</v>
      </c>
      <c r="I199" s="101"/>
      <c r="J199" s="100">
        <v>60.78</v>
      </c>
      <c r="K199" s="22" t="s">
        <v>170</v>
      </c>
      <c r="L199" s="11" t="s">
        <v>86</v>
      </c>
      <c r="M199" s="53" t="s">
        <v>149</v>
      </c>
      <c r="N199" s="122" t="s">
        <v>278</v>
      </c>
      <c r="O199" s="122"/>
      <c r="P199" s="24" t="s">
        <v>190</v>
      </c>
      <c r="Q199" s="25"/>
      <c r="R199" s="26" t="s">
        <v>295</v>
      </c>
      <c r="S199" s="27" t="s">
        <v>159</v>
      </c>
      <c r="T199" s="27" t="s">
        <v>160</v>
      </c>
      <c r="U199" s="47" t="s">
        <v>140</v>
      </c>
      <c r="V199" s="39">
        <v>6</v>
      </c>
      <c r="W199" s="29">
        <v>18234</v>
      </c>
      <c r="X199" s="29" t="s">
        <v>294</v>
      </c>
      <c r="Y199" s="29"/>
      <c r="Z199" s="30">
        <v>60.78</v>
      </c>
      <c r="AA199" s="136" t="s">
        <v>270</v>
      </c>
      <c r="AB199" s="136">
        <v>2</v>
      </c>
      <c r="AC199" s="21" t="s">
        <v>146</v>
      </c>
      <c r="AD199" s="31">
        <v>1.65</v>
      </c>
      <c r="AE199" s="32" t="s">
        <v>147</v>
      </c>
    </row>
    <row r="200" spans="1:31">
      <c r="A200" s="135">
        <v>1</v>
      </c>
      <c r="B200" s="38" t="s">
        <v>97</v>
      </c>
      <c r="C200" s="122">
        <v>42</v>
      </c>
      <c r="D200" s="122">
        <v>903</v>
      </c>
      <c r="E200" s="33" t="s">
        <v>193</v>
      </c>
      <c r="F200" s="34">
        <v>142</v>
      </c>
      <c r="G200" s="34">
        <v>903142</v>
      </c>
      <c r="H200" s="119">
        <v>11.87</v>
      </c>
      <c r="I200" s="101"/>
      <c r="J200" s="100">
        <v>11.87</v>
      </c>
      <c r="K200" s="22" t="s">
        <v>172</v>
      </c>
      <c r="L200" s="23" t="s">
        <v>86</v>
      </c>
      <c r="M200" s="23"/>
      <c r="N200" s="122" t="s">
        <v>278</v>
      </c>
      <c r="O200" s="122"/>
      <c r="P200" s="24" t="s">
        <v>190</v>
      </c>
      <c r="Q200" s="25"/>
      <c r="R200" s="26" t="s">
        <v>295</v>
      </c>
      <c r="S200" s="27" t="s">
        <v>159</v>
      </c>
      <c r="T200" s="27" t="s">
        <v>160</v>
      </c>
      <c r="U200" s="47" t="s">
        <v>140</v>
      </c>
      <c r="V200" s="39">
        <v>6</v>
      </c>
      <c r="W200" s="29">
        <v>3560.9999999999995</v>
      </c>
      <c r="X200" s="29" t="s">
        <v>294</v>
      </c>
      <c r="Y200" s="29"/>
      <c r="Z200" s="30">
        <v>11.87</v>
      </c>
      <c r="AA200" s="136" t="s">
        <v>270</v>
      </c>
      <c r="AB200" s="136">
        <v>2</v>
      </c>
      <c r="AC200" s="21"/>
      <c r="AD200" s="31"/>
      <c r="AE200" s="32" t="s">
        <v>147</v>
      </c>
    </row>
    <row r="201" spans="1:31">
      <c r="A201" s="135">
        <v>1</v>
      </c>
      <c r="B201" s="38" t="s">
        <v>97</v>
      </c>
      <c r="C201" s="122">
        <v>43</v>
      </c>
      <c r="D201" s="122">
        <v>903</v>
      </c>
      <c r="E201" s="33" t="s">
        <v>193</v>
      </c>
      <c r="F201" s="34">
        <v>143</v>
      </c>
      <c r="G201" s="34">
        <v>903143</v>
      </c>
      <c r="H201" s="119">
        <v>47.09</v>
      </c>
      <c r="I201" s="101"/>
      <c r="J201" s="100">
        <v>47.09</v>
      </c>
      <c r="K201" s="22" t="s">
        <v>172</v>
      </c>
      <c r="L201" s="23" t="s">
        <v>86</v>
      </c>
      <c r="M201" s="23"/>
      <c r="N201" s="122" t="s">
        <v>278</v>
      </c>
      <c r="O201" s="122"/>
      <c r="P201" s="24" t="s">
        <v>293</v>
      </c>
      <c r="Q201" s="25">
        <v>31000</v>
      </c>
      <c r="R201" s="26" t="s">
        <v>205</v>
      </c>
      <c r="S201" s="27" t="s">
        <v>159</v>
      </c>
      <c r="T201" s="27" t="s">
        <v>160</v>
      </c>
      <c r="U201" s="47" t="s">
        <v>140</v>
      </c>
      <c r="V201" s="39">
        <v>6</v>
      </c>
      <c r="W201" s="29">
        <v>14127.000000000002</v>
      </c>
      <c r="X201" s="29" t="s">
        <v>294</v>
      </c>
      <c r="Y201" s="29"/>
      <c r="Z201" s="30">
        <v>47.09</v>
      </c>
      <c r="AA201" s="136" t="s">
        <v>270</v>
      </c>
      <c r="AB201" s="136">
        <v>2</v>
      </c>
      <c r="AC201" s="122"/>
      <c r="AD201" s="31"/>
      <c r="AE201" s="32" t="s">
        <v>147</v>
      </c>
    </row>
    <row r="202" spans="1:31">
      <c r="A202" s="135">
        <v>1</v>
      </c>
      <c r="B202" s="38" t="s">
        <v>97</v>
      </c>
      <c r="C202" s="122">
        <v>44</v>
      </c>
      <c r="D202" s="122">
        <v>903</v>
      </c>
      <c r="E202" s="33" t="s">
        <v>193</v>
      </c>
      <c r="F202" s="34">
        <v>144</v>
      </c>
      <c r="G202" s="34">
        <v>903144</v>
      </c>
      <c r="H202" s="119">
        <v>10.18</v>
      </c>
      <c r="I202" s="101"/>
      <c r="J202" s="100">
        <v>10.18</v>
      </c>
      <c r="K202" s="22" t="s">
        <v>170</v>
      </c>
      <c r="L202" s="11" t="s">
        <v>86</v>
      </c>
      <c r="M202" s="23"/>
      <c r="N202" s="122" t="s">
        <v>278</v>
      </c>
      <c r="O202" s="122"/>
      <c r="P202" s="24" t="s">
        <v>293</v>
      </c>
      <c r="Q202" s="25">
        <v>31000</v>
      </c>
      <c r="R202" s="26" t="s">
        <v>205</v>
      </c>
      <c r="S202" s="27" t="s">
        <v>159</v>
      </c>
      <c r="T202" s="27" t="s">
        <v>160</v>
      </c>
      <c r="U202" s="47" t="s">
        <v>140</v>
      </c>
      <c r="V202" s="39">
        <v>6</v>
      </c>
      <c r="W202" s="29">
        <v>3054</v>
      </c>
      <c r="X202" s="29" t="s">
        <v>294</v>
      </c>
      <c r="Y202" s="29"/>
      <c r="Z202" s="30">
        <v>10.18</v>
      </c>
      <c r="AA202" s="136" t="s">
        <v>270</v>
      </c>
      <c r="AB202" s="136">
        <v>2</v>
      </c>
      <c r="AC202" s="21"/>
      <c r="AD202" s="31"/>
      <c r="AE202" s="32" t="s">
        <v>147</v>
      </c>
    </row>
    <row r="203" spans="1:31">
      <c r="A203" s="135">
        <v>1</v>
      </c>
      <c r="B203" s="38" t="s">
        <v>97</v>
      </c>
      <c r="C203" s="122">
        <v>45</v>
      </c>
      <c r="D203" s="122">
        <v>903</v>
      </c>
      <c r="E203" s="33" t="s">
        <v>193</v>
      </c>
      <c r="F203" s="34">
        <v>145</v>
      </c>
      <c r="G203" s="34">
        <v>903145</v>
      </c>
      <c r="H203" s="119">
        <v>26.3</v>
      </c>
      <c r="I203" s="101"/>
      <c r="J203" s="100">
        <v>26.3</v>
      </c>
      <c r="K203" s="22" t="s">
        <v>172</v>
      </c>
      <c r="L203" s="11" t="s">
        <v>86</v>
      </c>
      <c r="M203" s="23"/>
      <c r="N203" s="122" t="s">
        <v>278</v>
      </c>
      <c r="O203" s="122"/>
      <c r="P203" s="24" t="s">
        <v>293</v>
      </c>
      <c r="Q203" s="25">
        <v>31000</v>
      </c>
      <c r="R203" s="26" t="s">
        <v>205</v>
      </c>
      <c r="S203" s="27" t="s">
        <v>159</v>
      </c>
      <c r="T203" s="27" t="s">
        <v>160</v>
      </c>
      <c r="U203" s="47" t="s">
        <v>140</v>
      </c>
      <c r="V203" s="39">
        <v>6</v>
      </c>
      <c r="W203" s="29">
        <v>7890</v>
      </c>
      <c r="X203" s="29" t="s">
        <v>294</v>
      </c>
      <c r="Y203" s="29"/>
      <c r="Z203" s="30">
        <v>26.3</v>
      </c>
      <c r="AA203" s="136" t="s">
        <v>270</v>
      </c>
      <c r="AB203" s="136">
        <v>2</v>
      </c>
      <c r="AC203" s="21"/>
      <c r="AD203" s="31"/>
      <c r="AE203" s="32" t="s">
        <v>147</v>
      </c>
    </row>
    <row r="204" spans="1:31">
      <c r="A204" s="135">
        <v>1</v>
      </c>
      <c r="B204" s="38" t="s">
        <v>97</v>
      </c>
      <c r="C204" s="122">
        <v>46</v>
      </c>
      <c r="D204" s="122">
        <v>903</v>
      </c>
      <c r="E204" s="33" t="s">
        <v>193</v>
      </c>
      <c r="F204" s="34">
        <v>146</v>
      </c>
      <c r="G204" s="34">
        <v>903146</v>
      </c>
      <c r="H204" s="119">
        <v>20.05</v>
      </c>
      <c r="I204" s="101"/>
      <c r="J204" s="100">
        <v>20.05</v>
      </c>
      <c r="K204" s="22" t="s">
        <v>172</v>
      </c>
      <c r="L204" s="11" t="s">
        <v>86</v>
      </c>
      <c r="M204" s="23"/>
      <c r="N204" s="122" t="s">
        <v>278</v>
      </c>
      <c r="O204" s="122"/>
      <c r="P204" s="24" t="s">
        <v>296</v>
      </c>
      <c r="Q204" s="25"/>
      <c r="R204" s="26" t="s">
        <v>295</v>
      </c>
      <c r="S204" s="27" t="s">
        <v>159</v>
      </c>
      <c r="T204" s="27" t="s">
        <v>160</v>
      </c>
      <c r="U204" s="47" t="s">
        <v>140</v>
      </c>
      <c r="V204" s="39">
        <v>6</v>
      </c>
      <c r="W204" s="29">
        <v>6015</v>
      </c>
      <c r="X204" s="29" t="s">
        <v>294</v>
      </c>
      <c r="Y204" s="29"/>
      <c r="Z204" s="30">
        <v>20.05</v>
      </c>
      <c r="AA204" s="136" t="s">
        <v>270</v>
      </c>
      <c r="AB204" s="136">
        <v>2</v>
      </c>
      <c r="AC204" s="21" t="s">
        <v>146</v>
      </c>
      <c r="AD204" s="31">
        <v>1.7</v>
      </c>
      <c r="AE204" s="32" t="s">
        <v>147</v>
      </c>
    </row>
    <row r="205" spans="1:31">
      <c r="A205" s="135">
        <v>1</v>
      </c>
      <c r="B205" s="38" t="s">
        <v>97</v>
      </c>
      <c r="C205" s="122">
        <v>47</v>
      </c>
      <c r="D205" s="122">
        <v>903</v>
      </c>
      <c r="E205" s="33" t="s">
        <v>193</v>
      </c>
      <c r="F205" s="55">
        <v>147</v>
      </c>
      <c r="G205" s="34">
        <v>903147</v>
      </c>
      <c r="H205" s="119">
        <v>45.9</v>
      </c>
      <c r="I205" s="101">
        <v>45.9</v>
      </c>
      <c r="J205" s="101"/>
      <c r="K205" s="125" t="s">
        <v>148</v>
      </c>
      <c r="L205" s="11" t="s">
        <v>148</v>
      </c>
      <c r="M205" s="23"/>
      <c r="N205" s="122" t="s">
        <v>278</v>
      </c>
      <c r="O205" s="122"/>
      <c r="P205" s="11" t="s">
        <v>295</v>
      </c>
      <c r="Q205" s="45"/>
      <c r="R205" s="21" t="s">
        <v>295</v>
      </c>
      <c r="S205" s="46" t="s">
        <v>159</v>
      </c>
      <c r="T205" s="46" t="s">
        <v>219</v>
      </c>
      <c r="U205" s="47" t="s">
        <v>140</v>
      </c>
      <c r="V205" s="48"/>
      <c r="W205" s="47"/>
      <c r="X205" s="47"/>
      <c r="Y205" s="47"/>
      <c r="Z205" s="47"/>
      <c r="AA205" s="49"/>
      <c r="AB205" s="49"/>
      <c r="AC205" s="122"/>
      <c r="AD205" s="31"/>
      <c r="AE205" s="32" t="s">
        <v>147</v>
      </c>
    </row>
    <row r="206" spans="1:31">
      <c r="A206" s="135">
        <v>1</v>
      </c>
      <c r="B206" s="38" t="s">
        <v>97</v>
      </c>
      <c r="C206" s="122">
        <v>48</v>
      </c>
      <c r="D206" s="122">
        <v>903</v>
      </c>
      <c r="E206" s="33" t="s">
        <v>193</v>
      </c>
      <c r="F206" s="55">
        <v>148</v>
      </c>
      <c r="G206" s="34">
        <v>903148</v>
      </c>
      <c r="H206" s="119">
        <v>19.302499999999998</v>
      </c>
      <c r="I206" s="101">
        <v>19.302499999999998</v>
      </c>
      <c r="J206" s="100"/>
      <c r="K206" s="125" t="s">
        <v>148</v>
      </c>
      <c r="L206" s="11" t="s">
        <v>148</v>
      </c>
      <c r="M206" s="23"/>
      <c r="N206" s="122" t="s">
        <v>278</v>
      </c>
      <c r="O206" s="122"/>
      <c r="P206" s="11" t="s">
        <v>295</v>
      </c>
      <c r="Q206" s="45"/>
      <c r="R206" s="21" t="s">
        <v>295</v>
      </c>
      <c r="S206" s="46" t="s">
        <v>159</v>
      </c>
      <c r="T206" s="46" t="s">
        <v>219</v>
      </c>
      <c r="U206" s="47" t="s">
        <v>140</v>
      </c>
      <c r="V206" s="48"/>
      <c r="W206" s="47"/>
      <c r="X206" s="47"/>
      <c r="Y206" s="47"/>
      <c r="Z206" s="47"/>
      <c r="AA206" s="49"/>
      <c r="AB206" s="49"/>
      <c r="AC206" s="21"/>
      <c r="AD206" s="31"/>
      <c r="AE206" s="32" t="s">
        <v>147</v>
      </c>
    </row>
    <row r="207" spans="1:31">
      <c r="A207" s="135">
        <v>1</v>
      </c>
      <c r="B207" s="38" t="s">
        <v>97</v>
      </c>
      <c r="C207" s="122">
        <v>49</v>
      </c>
      <c r="D207" s="122">
        <v>903</v>
      </c>
      <c r="E207" s="33" t="s">
        <v>193</v>
      </c>
      <c r="F207" s="55">
        <v>149</v>
      </c>
      <c r="G207" s="34">
        <v>903149</v>
      </c>
      <c r="H207" s="119">
        <v>11.78</v>
      </c>
      <c r="I207" s="101">
        <v>11.78</v>
      </c>
      <c r="J207" s="100"/>
      <c r="K207" s="125" t="s">
        <v>148</v>
      </c>
      <c r="L207" s="11" t="s">
        <v>148</v>
      </c>
      <c r="M207" s="23"/>
      <c r="N207" s="122" t="s">
        <v>278</v>
      </c>
      <c r="O207" s="122"/>
      <c r="P207" s="11" t="s">
        <v>295</v>
      </c>
      <c r="Q207" s="45"/>
      <c r="R207" s="21" t="s">
        <v>295</v>
      </c>
      <c r="S207" s="46" t="s">
        <v>159</v>
      </c>
      <c r="T207" s="46" t="s">
        <v>219</v>
      </c>
      <c r="U207" s="47" t="s">
        <v>140</v>
      </c>
      <c r="V207" s="48"/>
      <c r="W207" s="47"/>
      <c r="X207" s="47"/>
      <c r="Y207" s="47"/>
      <c r="Z207" s="47"/>
      <c r="AA207" s="49"/>
      <c r="AB207" s="49"/>
      <c r="AC207" s="21"/>
      <c r="AD207" s="31"/>
      <c r="AE207" s="32" t="s">
        <v>147</v>
      </c>
    </row>
    <row r="208" spans="1:31">
      <c r="A208" s="135">
        <v>1</v>
      </c>
      <c r="B208" s="38" t="s">
        <v>97</v>
      </c>
      <c r="C208" s="122">
        <v>50</v>
      </c>
      <c r="D208" s="122">
        <v>903</v>
      </c>
      <c r="E208" s="33" t="s">
        <v>193</v>
      </c>
      <c r="F208" s="55">
        <v>150</v>
      </c>
      <c r="G208" s="34">
        <v>903150</v>
      </c>
      <c r="H208" s="119">
        <v>29.414999999999999</v>
      </c>
      <c r="I208" s="101">
        <v>29.414999999999999</v>
      </c>
      <c r="J208" s="100"/>
      <c r="K208" s="22" t="s">
        <v>148</v>
      </c>
      <c r="L208" s="11" t="s">
        <v>148</v>
      </c>
      <c r="M208" s="23"/>
      <c r="N208" s="122" t="s">
        <v>278</v>
      </c>
      <c r="O208" s="122"/>
      <c r="P208" s="11"/>
      <c r="Q208" s="11"/>
      <c r="R208" s="21"/>
      <c r="S208" s="46"/>
      <c r="T208" s="46"/>
      <c r="U208" s="47" t="s">
        <v>278</v>
      </c>
      <c r="V208" s="48"/>
      <c r="W208" s="47"/>
      <c r="X208" s="47"/>
      <c r="Y208" s="47"/>
      <c r="Z208" s="47"/>
      <c r="AA208" s="49"/>
      <c r="AB208" s="49"/>
      <c r="AC208" s="21"/>
      <c r="AD208" s="31"/>
      <c r="AE208" s="32" t="s">
        <v>147</v>
      </c>
    </row>
    <row r="209" spans="1:31">
      <c r="A209" s="135">
        <v>1</v>
      </c>
      <c r="B209" s="38" t="s">
        <v>97</v>
      </c>
      <c r="C209" s="122">
        <v>51</v>
      </c>
      <c r="D209" s="122">
        <v>903</v>
      </c>
      <c r="E209" s="33" t="s">
        <v>193</v>
      </c>
      <c r="F209" s="55">
        <v>151</v>
      </c>
      <c r="G209" s="34">
        <v>903151</v>
      </c>
      <c r="H209" s="119">
        <v>9.85</v>
      </c>
      <c r="I209" s="101">
        <v>9.85</v>
      </c>
      <c r="J209" s="100"/>
      <c r="K209" s="22" t="s">
        <v>148</v>
      </c>
      <c r="L209" s="11" t="s">
        <v>148</v>
      </c>
      <c r="M209" s="23"/>
      <c r="N209" s="122" t="s">
        <v>278</v>
      </c>
      <c r="O209" s="122"/>
      <c r="P209" s="11"/>
      <c r="Q209" s="11"/>
      <c r="R209" s="21"/>
      <c r="S209" s="46"/>
      <c r="T209" s="46"/>
      <c r="U209" s="47" t="s">
        <v>278</v>
      </c>
      <c r="V209" s="48"/>
      <c r="W209" s="47"/>
      <c r="X209" s="47"/>
      <c r="Y209" s="47"/>
      <c r="Z209" s="47"/>
      <c r="AA209" s="49"/>
      <c r="AB209" s="49"/>
      <c r="AC209" s="21"/>
      <c r="AD209" s="31"/>
      <c r="AE209" s="32" t="s">
        <v>147</v>
      </c>
    </row>
    <row r="210" spans="1:31">
      <c r="A210" s="135">
        <v>1</v>
      </c>
      <c r="B210" s="38" t="s">
        <v>97</v>
      </c>
      <c r="C210" s="122">
        <v>52</v>
      </c>
      <c r="D210" s="122">
        <v>903</v>
      </c>
      <c r="E210" s="33" t="s">
        <v>193</v>
      </c>
      <c r="F210" s="55">
        <v>152</v>
      </c>
      <c r="G210" s="34">
        <v>903152</v>
      </c>
      <c r="H210" s="119">
        <v>19.5275</v>
      </c>
      <c r="I210" s="101">
        <v>19.5275</v>
      </c>
      <c r="J210" s="101"/>
      <c r="K210" s="125" t="s">
        <v>148</v>
      </c>
      <c r="L210" s="11" t="s">
        <v>148</v>
      </c>
      <c r="M210" s="23"/>
      <c r="N210" s="122" t="s">
        <v>278</v>
      </c>
      <c r="O210" s="122"/>
      <c r="P210" s="11"/>
      <c r="Q210" s="11"/>
      <c r="R210" s="21"/>
      <c r="S210" s="46"/>
      <c r="T210" s="46"/>
      <c r="U210" s="47" t="s">
        <v>278</v>
      </c>
      <c r="V210" s="48"/>
      <c r="W210" s="47"/>
      <c r="X210" s="47"/>
      <c r="Y210" s="47"/>
      <c r="Z210" s="47"/>
      <c r="AA210" s="49"/>
      <c r="AB210" s="49"/>
      <c r="AC210" s="122"/>
      <c r="AD210" s="31"/>
      <c r="AE210" s="32" t="s">
        <v>147</v>
      </c>
    </row>
    <row r="211" spans="1:31">
      <c r="A211" s="135">
        <v>1</v>
      </c>
      <c r="B211" s="38" t="s">
        <v>97</v>
      </c>
      <c r="C211" s="122">
        <v>53</v>
      </c>
      <c r="D211" s="122">
        <v>903</v>
      </c>
      <c r="E211" s="33" t="s">
        <v>193</v>
      </c>
      <c r="F211" s="55">
        <v>153</v>
      </c>
      <c r="G211" s="34">
        <v>903153</v>
      </c>
      <c r="H211" s="119">
        <v>8.9450000000000003</v>
      </c>
      <c r="I211" s="100">
        <v>8.9450000000000003</v>
      </c>
      <c r="J211" s="100"/>
      <c r="K211" s="125" t="s">
        <v>148</v>
      </c>
      <c r="L211" s="11" t="s">
        <v>148</v>
      </c>
      <c r="M211" s="23"/>
      <c r="N211" s="122" t="s">
        <v>278</v>
      </c>
      <c r="O211" s="122"/>
      <c r="P211" s="11"/>
      <c r="Q211" s="11"/>
      <c r="R211" s="21"/>
      <c r="S211" s="46"/>
      <c r="T211" s="46"/>
      <c r="U211" s="47" t="s">
        <v>278</v>
      </c>
      <c r="V211" s="48"/>
      <c r="W211" s="47"/>
      <c r="X211" s="47"/>
      <c r="Y211" s="47"/>
      <c r="Z211" s="47"/>
      <c r="AA211" s="49"/>
      <c r="AB211" s="49"/>
      <c r="AC211" s="122"/>
      <c r="AD211" s="31"/>
      <c r="AE211" s="32" t="s">
        <v>147</v>
      </c>
    </row>
    <row r="212" spans="1:31">
      <c r="A212" s="135">
        <v>1</v>
      </c>
      <c r="B212" s="38" t="s">
        <v>97</v>
      </c>
      <c r="C212" s="122">
        <v>54</v>
      </c>
      <c r="D212" s="122">
        <v>903</v>
      </c>
      <c r="E212" s="33" t="s">
        <v>193</v>
      </c>
      <c r="F212" s="55">
        <v>154</v>
      </c>
      <c r="G212" s="34">
        <v>903154</v>
      </c>
      <c r="H212" s="119">
        <v>4.96</v>
      </c>
      <c r="I212" s="100">
        <v>4.96</v>
      </c>
      <c r="J212" s="100"/>
      <c r="K212" s="22" t="s">
        <v>148</v>
      </c>
      <c r="L212" s="11" t="s">
        <v>148</v>
      </c>
      <c r="M212" s="23"/>
      <c r="N212" s="122" t="s">
        <v>278</v>
      </c>
      <c r="O212" s="122"/>
      <c r="P212" s="11"/>
      <c r="Q212" s="11"/>
      <c r="R212" s="21"/>
      <c r="S212" s="46"/>
      <c r="T212" s="46"/>
      <c r="U212" s="47" t="s">
        <v>278</v>
      </c>
      <c r="V212" s="48"/>
      <c r="W212" s="47"/>
      <c r="X212" s="47"/>
      <c r="Y212" s="47"/>
      <c r="Z212" s="47"/>
      <c r="AA212" s="49"/>
      <c r="AB212" s="49"/>
      <c r="AC212" s="21"/>
      <c r="AD212" s="31"/>
      <c r="AE212" s="32" t="s">
        <v>147</v>
      </c>
    </row>
    <row r="213" spans="1:31">
      <c r="A213" s="135">
        <v>1</v>
      </c>
      <c r="B213" s="38" t="s">
        <v>97</v>
      </c>
      <c r="C213" s="122">
        <v>55</v>
      </c>
      <c r="D213" s="122">
        <v>903</v>
      </c>
      <c r="E213" s="33" t="s">
        <v>193</v>
      </c>
      <c r="F213" s="55">
        <v>155</v>
      </c>
      <c r="G213" s="34">
        <v>903155</v>
      </c>
      <c r="H213" s="119">
        <v>13.8375</v>
      </c>
      <c r="I213" s="100">
        <v>13.8375</v>
      </c>
      <c r="J213" s="100"/>
      <c r="K213" s="22" t="s">
        <v>148</v>
      </c>
      <c r="L213" s="11" t="s">
        <v>148</v>
      </c>
      <c r="M213" s="23"/>
      <c r="N213" s="122" t="s">
        <v>278</v>
      </c>
      <c r="O213" s="122"/>
      <c r="P213" s="11"/>
      <c r="Q213" s="11"/>
      <c r="R213" s="21"/>
      <c r="S213" s="46"/>
      <c r="T213" s="46"/>
      <c r="U213" s="47" t="s">
        <v>278</v>
      </c>
      <c r="V213" s="48"/>
      <c r="W213" s="47"/>
      <c r="X213" s="47"/>
      <c r="Y213" s="47"/>
      <c r="Z213" s="47"/>
      <c r="AA213" s="49"/>
      <c r="AB213" s="49"/>
      <c r="AC213" s="21"/>
      <c r="AD213" s="31"/>
      <c r="AE213" s="32" t="s">
        <v>147</v>
      </c>
    </row>
    <row r="214" spans="1:31">
      <c r="A214" s="135">
        <v>1</v>
      </c>
      <c r="B214" s="38" t="s">
        <v>97</v>
      </c>
      <c r="C214" s="122">
        <v>75</v>
      </c>
      <c r="D214" s="122">
        <v>903</v>
      </c>
      <c r="E214" s="33">
        <v>856</v>
      </c>
      <c r="F214" s="34">
        <v>402</v>
      </c>
      <c r="G214" s="34">
        <v>903402</v>
      </c>
      <c r="H214" s="119">
        <v>28.33</v>
      </c>
      <c r="I214" s="101">
        <v>28.33</v>
      </c>
      <c r="J214" s="101"/>
      <c r="K214" s="125" t="s">
        <v>148</v>
      </c>
      <c r="L214" s="23" t="s">
        <v>148</v>
      </c>
      <c r="M214" s="23"/>
      <c r="N214" s="122"/>
      <c r="O214" s="122"/>
      <c r="P214" s="11"/>
      <c r="Q214" s="11"/>
      <c r="R214" s="21"/>
      <c r="S214" s="31"/>
      <c r="T214" s="32"/>
      <c r="U214" s="47"/>
      <c r="V214" s="48"/>
      <c r="W214" s="47"/>
      <c r="X214" s="47"/>
      <c r="Y214" s="47"/>
      <c r="Z214" s="47"/>
      <c r="AA214" s="49"/>
      <c r="AB214" s="49"/>
      <c r="AC214" s="21"/>
      <c r="AD214" s="31"/>
      <c r="AE214" s="32" t="s">
        <v>147</v>
      </c>
    </row>
    <row r="215" spans="1:31">
      <c r="A215" s="135">
        <v>2</v>
      </c>
      <c r="B215" s="38" t="s">
        <v>297</v>
      </c>
      <c r="C215" s="122">
        <v>1</v>
      </c>
      <c r="D215" s="122">
        <v>917</v>
      </c>
      <c r="E215" s="33">
        <v>1301</v>
      </c>
      <c r="F215" s="34">
        <v>101</v>
      </c>
      <c r="G215" s="34">
        <v>917101</v>
      </c>
      <c r="H215" s="119">
        <v>10.39</v>
      </c>
      <c r="I215" s="101"/>
      <c r="J215" s="100">
        <v>10.39</v>
      </c>
      <c r="K215" s="22" t="s">
        <v>172</v>
      </c>
      <c r="L215" s="23" t="s">
        <v>86</v>
      </c>
      <c r="M215" s="23" t="s">
        <v>178</v>
      </c>
      <c r="N215" s="122" t="s">
        <v>140</v>
      </c>
      <c r="O215" s="122">
        <v>4</v>
      </c>
      <c r="P215" s="24" t="s">
        <v>299</v>
      </c>
      <c r="Q215" s="25">
        <v>3680</v>
      </c>
      <c r="R215" s="26" t="s">
        <v>142</v>
      </c>
      <c r="S215" s="27" t="s">
        <v>159</v>
      </c>
      <c r="T215" s="27" t="s">
        <v>144</v>
      </c>
      <c r="U215" s="124" t="s">
        <v>140</v>
      </c>
      <c r="V215" s="39">
        <v>7</v>
      </c>
      <c r="W215" s="29">
        <v>3636.5</v>
      </c>
      <c r="X215" s="29" t="s">
        <v>300</v>
      </c>
      <c r="Y215" s="29"/>
      <c r="Z215" s="30">
        <v>10.39</v>
      </c>
      <c r="AA215" s="136" t="s">
        <v>301</v>
      </c>
      <c r="AB215" s="136"/>
      <c r="AC215" s="122" t="s">
        <v>155</v>
      </c>
      <c r="AD215" s="31">
        <v>1.85</v>
      </c>
      <c r="AE215" s="32" t="s">
        <v>147</v>
      </c>
    </row>
    <row r="216" spans="1:31">
      <c r="A216" s="135">
        <v>2</v>
      </c>
      <c r="B216" s="38" t="s">
        <v>297</v>
      </c>
      <c r="C216" s="122">
        <v>1</v>
      </c>
      <c r="D216" s="122">
        <v>917</v>
      </c>
      <c r="E216" s="33">
        <v>1302</v>
      </c>
      <c r="F216" s="34">
        <v>102</v>
      </c>
      <c r="G216" s="34">
        <v>917102</v>
      </c>
      <c r="H216" s="119">
        <v>11.5</v>
      </c>
      <c r="I216" s="100">
        <v>11.5</v>
      </c>
      <c r="J216" s="100"/>
      <c r="K216" s="22" t="s">
        <v>148</v>
      </c>
      <c r="L216" s="22" t="s">
        <v>148</v>
      </c>
      <c r="M216" s="23" t="s">
        <v>149</v>
      </c>
      <c r="N216" s="122" t="s">
        <v>140</v>
      </c>
      <c r="O216" s="122">
        <v>4</v>
      </c>
      <c r="P216" s="24" t="s">
        <v>302</v>
      </c>
      <c r="Q216" s="25">
        <v>42400</v>
      </c>
      <c r="R216" s="26" t="s">
        <v>142</v>
      </c>
      <c r="S216" s="27" t="s">
        <v>159</v>
      </c>
      <c r="T216" s="27" t="s">
        <v>144</v>
      </c>
      <c r="U216" s="124" t="s">
        <v>140</v>
      </c>
      <c r="V216" s="39">
        <v>16</v>
      </c>
      <c r="W216" s="124"/>
      <c r="X216" s="29"/>
      <c r="Y216" s="29"/>
      <c r="Z216" s="124"/>
      <c r="AA216" s="40"/>
      <c r="AB216" s="40"/>
      <c r="AC216" s="122" t="s">
        <v>155</v>
      </c>
      <c r="AD216" s="31">
        <v>1.85</v>
      </c>
      <c r="AE216" s="32" t="s">
        <v>147</v>
      </c>
    </row>
    <row r="217" spans="1:31">
      <c r="A217" s="135">
        <v>2</v>
      </c>
      <c r="B217" s="38" t="s">
        <v>297</v>
      </c>
      <c r="C217" s="122">
        <v>2</v>
      </c>
      <c r="D217" s="122">
        <v>917</v>
      </c>
      <c r="E217" s="33">
        <v>1303</v>
      </c>
      <c r="F217" s="34">
        <v>103</v>
      </c>
      <c r="G217" s="34">
        <v>917103</v>
      </c>
      <c r="H217" s="119">
        <v>40.46</v>
      </c>
      <c r="I217" s="100">
        <v>40.46</v>
      </c>
      <c r="J217" s="100"/>
      <c r="K217" s="125" t="s">
        <v>148</v>
      </c>
      <c r="L217" s="22" t="s">
        <v>148</v>
      </c>
      <c r="M217" s="23" t="s">
        <v>149</v>
      </c>
      <c r="N217" s="122" t="s">
        <v>140</v>
      </c>
      <c r="O217" s="122">
        <v>4</v>
      </c>
      <c r="P217" s="24" t="s">
        <v>302</v>
      </c>
      <c r="Q217" s="25">
        <v>42400</v>
      </c>
      <c r="R217" s="26" t="s">
        <v>142</v>
      </c>
      <c r="S217" s="27" t="s">
        <v>159</v>
      </c>
      <c r="T217" s="27" t="s">
        <v>144</v>
      </c>
      <c r="U217" s="124" t="s">
        <v>140</v>
      </c>
      <c r="V217" s="39">
        <v>16</v>
      </c>
      <c r="W217" s="124"/>
      <c r="X217" s="29"/>
      <c r="Y217" s="29"/>
      <c r="Z217" s="124"/>
      <c r="AA217" s="40"/>
      <c r="AB217" s="40"/>
      <c r="AC217" s="122" t="s">
        <v>155</v>
      </c>
      <c r="AD217" s="32">
        <v>1.85</v>
      </c>
      <c r="AE217" s="32" t="s">
        <v>147</v>
      </c>
    </row>
    <row r="218" spans="1:31">
      <c r="A218" s="135">
        <v>2</v>
      </c>
      <c r="B218" s="38" t="s">
        <v>297</v>
      </c>
      <c r="C218" s="122">
        <v>3</v>
      </c>
      <c r="D218" s="122">
        <v>917</v>
      </c>
      <c r="E218" s="33">
        <v>1304</v>
      </c>
      <c r="F218" s="34">
        <v>104</v>
      </c>
      <c r="G218" s="34">
        <v>917104</v>
      </c>
      <c r="H218" s="119">
        <v>14.47</v>
      </c>
      <c r="I218" s="101"/>
      <c r="J218" s="100">
        <v>14.47</v>
      </c>
      <c r="K218" s="22" t="s">
        <v>161</v>
      </c>
      <c r="L218" s="23" t="s">
        <v>138</v>
      </c>
      <c r="M218" s="23" t="s">
        <v>149</v>
      </c>
      <c r="N218" s="122" t="s">
        <v>140</v>
      </c>
      <c r="O218" s="122">
        <v>4</v>
      </c>
      <c r="P218" s="24" t="s">
        <v>303</v>
      </c>
      <c r="Q218" s="25">
        <v>30400</v>
      </c>
      <c r="R218" s="26" t="s">
        <v>142</v>
      </c>
      <c r="S218" s="27" t="s">
        <v>159</v>
      </c>
      <c r="T218" s="27" t="s">
        <v>144</v>
      </c>
      <c r="U218" s="124" t="s">
        <v>140</v>
      </c>
      <c r="V218" s="39">
        <v>8</v>
      </c>
      <c r="W218" s="29">
        <v>5788</v>
      </c>
      <c r="X218" s="29" t="s">
        <v>300</v>
      </c>
      <c r="Y218" s="29"/>
      <c r="Z218" s="30">
        <v>14.47</v>
      </c>
      <c r="AA218" s="136" t="s">
        <v>301</v>
      </c>
      <c r="AB218" s="136"/>
      <c r="AC218" s="122" t="s">
        <v>155</v>
      </c>
      <c r="AD218" s="32">
        <v>1.85</v>
      </c>
      <c r="AE218" s="32" t="s">
        <v>147</v>
      </c>
    </row>
    <row r="219" spans="1:31">
      <c r="A219" s="135">
        <v>2</v>
      </c>
      <c r="B219" s="38" t="s">
        <v>297</v>
      </c>
      <c r="C219" s="122">
        <v>4</v>
      </c>
      <c r="D219" s="122">
        <v>917</v>
      </c>
      <c r="E219" s="33">
        <v>1305</v>
      </c>
      <c r="F219" s="34">
        <v>105</v>
      </c>
      <c r="G219" s="34">
        <v>917105</v>
      </c>
      <c r="H219" s="119">
        <v>20.96</v>
      </c>
      <c r="I219" s="101"/>
      <c r="J219" s="100">
        <v>20.96</v>
      </c>
      <c r="K219" s="22" t="s">
        <v>137</v>
      </c>
      <c r="L219" s="11" t="s">
        <v>138</v>
      </c>
      <c r="M219" s="23" t="s">
        <v>245</v>
      </c>
      <c r="N219" s="122" t="s">
        <v>140</v>
      </c>
      <c r="O219" s="122">
        <v>4</v>
      </c>
      <c r="P219" s="24" t="s">
        <v>303</v>
      </c>
      <c r="Q219" s="25">
        <v>30400</v>
      </c>
      <c r="R219" s="26" t="s">
        <v>142</v>
      </c>
      <c r="S219" s="27" t="s">
        <v>159</v>
      </c>
      <c r="T219" s="27" t="s">
        <v>144</v>
      </c>
      <c r="U219" s="124" t="s">
        <v>140</v>
      </c>
      <c r="V219" s="39">
        <v>8</v>
      </c>
      <c r="W219" s="29">
        <v>8384</v>
      </c>
      <c r="X219" s="29" t="s">
        <v>300</v>
      </c>
      <c r="Y219" s="29"/>
      <c r="Z219" s="30">
        <v>20.96</v>
      </c>
      <c r="AA219" s="136" t="s">
        <v>301</v>
      </c>
      <c r="AB219" s="136"/>
      <c r="AC219" s="122" t="s">
        <v>146</v>
      </c>
      <c r="AD219" s="31">
        <v>1.75</v>
      </c>
      <c r="AE219" s="32" t="s">
        <v>147</v>
      </c>
    </row>
    <row r="220" spans="1:31">
      <c r="A220" s="135">
        <v>2</v>
      </c>
      <c r="B220" s="38" t="s">
        <v>297</v>
      </c>
      <c r="C220" s="122">
        <v>5</v>
      </c>
      <c r="D220" s="122">
        <v>917</v>
      </c>
      <c r="E220" s="33">
        <v>1306</v>
      </c>
      <c r="F220" s="34">
        <v>106</v>
      </c>
      <c r="G220" s="34">
        <v>917106</v>
      </c>
      <c r="H220" s="119">
        <v>18.84</v>
      </c>
      <c r="I220" s="100"/>
      <c r="J220" s="101">
        <v>18.84</v>
      </c>
      <c r="K220" s="22" t="s">
        <v>161</v>
      </c>
      <c r="L220" s="11" t="s">
        <v>138</v>
      </c>
      <c r="M220" s="23" t="s">
        <v>149</v>
      </c>
      <c r="N220" s="122" t="s">
        <v>255</v>
      </c>
      <c r="O220" s="122">
        <v>3</v>
      </c>
      <c r="P220" s="24" t="s">
        <v>303</v>
      </c>
      <c r="Q220" s="25">
        <v>30400</v>
      </c>
      <c r="R220" s="26" t="s">
        <v>142</v>
      </c>
      <c r="S220" s="27" t="s">
        <v>159</v>
      </c>
      <c r="T220" s="27" t="s">
        <v>144</v>
      </c>
      <c r="U220" s="124" t="s">
        <v>140</v>
      </c>
      <c r="V220" s="39">
        <v>8</v>
      </c>
      <c r="W220" s="29">
        <v>7536</v>
      </c>
      <c r="X220" s="29" t="s">
        <v>300</v>
      </c>
      <c r="Y220" s="29"/>
      <c r="Z220" s="30">
        <v>18.84</v>
      </c>
      <c r="AA220" s="136" t="s">
        <v>301</v>
      </c>
      <c r="AB220" s="136"/>
      <c r="AC220" s="122" t="s">
        <v>155</v>
      </c>
      <c r="AD220" s="31">
        <v>1.85</v>
      </c>
      <c r="AE220" s="32" t="s">
        <v>147</v>
      </c>
    </row>
    <row r="221" spans="1:31">
      <c r="A221" s="135">
        <v>2</v>
      </c>
      <c r="B221" s="38" t="s">
        <v>297</v>
      </c>
      <c r="C221" s="122">
        <v>6</v>
      </c>
      <c r="D221" s="122">
        <v>917</v>
      </c>
      <c r="E221" s="33">
        <v>1307</v>
      </c>
      <c r="F221" s="34">
        <v>107</v>
      </c>
      <c r="G221" s="34">
        <v>917107</v>
      </c>
      <c r="H221" s="119">
        <v>18.79</v>
      </c>
      <c r="I221" s="100"/>
      <c r="J221" s="101">
        <v>18.79</v>
      </c>
      <c r="K221" s="22" t="s">
        <v>161</v>
      </c>
      <c r="L221" s="11" t="s">
        <v>138</v>
      </c>
      <c r="M221" s="23" t="s">
        <v>149</v>
      </c>
      <c r="N221" s="122" t="s">
        <v>140</v>
      </c>
      <c r="O221" s="122">
        <v>4</v>
      </c>
      <c r="P221" s="24" t="s">
        <v>303</v>
      </c>
      <c r="Q221" s="25">
        <v>30400</v>
      </c>
      <c r="R221" s="26" t="s">
        <v>142</v>
      </c>
      <c r="S221" s="27" t="s">
        <v>159</v>
      </c>
      <c r="T221" s="27" t="s">
        <v>144</v>
      </c>
      <c r="U221" s="124" t="s">
        <v>140</v>
      </c>
      <c r="V221" s="39">
        <v>8</v>
      </c>
      <c r="W221" s="29">
        <v>7516</v>
      </c>
      <c r="X221" s="29" t="s">
        <v>300</v>
      </c>
      <c r="Y221" s="29"/>
      <c r="Z221" s="30">
        <v>18.79</v>
      </c>
      <c r="AA221" s="136" t="s">
        <v>301</v>
      </c>
      <c r="AB221" s="136"/>
      <c r="AC221" s="122" t="s">
        <v>155</v>
      </c>
      <c r="AD221" s="31">
        <v>1.85</v>
      </c>
      <c r="AE221" s="32" t="s">
        <v>147</v>
      </c>
    </row>
    <row r="222" spans="1:31">
      <c r="A222" s="135">
        <v>2</v>
      </c>
      <c r="B222" s="38" t="s">
        <v>297</v>
      </c>
      <c r="C222" s="122">
        <v>7</v>
      </c>
      <c r="D222" s="122">
        <v>917</v>
      </c>
      <c r="E222" s="33">
        <v>1308</v>
      </c>
      <c r="F222" s="34">
        <v>108</v>
      </c>
      <c r="G222" s="34">
        <v>917108</v>
      </c>
      <c r="H222" s="119">
        <v>22.16</v>
      </c>
      <c r="I222" s="101"/>
      <c r="J222" s="101">
        <v>22.16</v>
      </c>
      <c r="K222" s="22" t="s">
        <v>161</v>
      </c>
      <c r="L222" s="11" t="s">
        <v>138</v>
      </c>
      <c r="M222" s="23" t="s">
        <v>149</v>
      </c>
      <c r="N222" s="122" t="s">
        <v>140</v>
      </c>
      <c r="O222" s="122">
        <v>4</v>
      </c>
      <c r="P222" s="24" t="s">
        <v>304</v>
      </c>
      <c r="Q222" s="25">
        <v>4160</v>
      </c>
      <c r="R222" s="26" t="s">
        <v>142</v>
      </c>
      <c r="S222" s="27" t="s">
        <v>159</v>
      </c>
      <c r="T222" s="27" t="s">
        <v>144</v>
      </c>
      <c r="U222" s="124" t="s">
        <v>150</v>
      </c>
      <c r="V222" s="39">
        <v>3</v>
      </c>
      <c r="W222" s="29">
        <v>3324</v>
      </c>
      <c r="X222" s="29" t="s">
        <v>300</v>
      </c>
      <c r="Y222" s="29"/>
      <c r="Z222" s="30">
        <v>22.16</v>
      </c>
      <c r="AA222" s="136" t="s">
        <v>301</v>
      </c>
      <c r="AB222" s="136"/>
      <c r="AC222" s="122" t="s">
        <v>155</v>
      </c>
      <c r="AD222" s="31">
        <v>1.85</v>
      </c>
      <c r="AE222" s="32" t="s">
        <v>147</v>
      </c>
    </row>
    <row r="223" spans="1:31">
      <c r="A223" s="135">
        <v>2</v>
      </c>
      <c r="B223" s="38" t="s">
        <v>297</v>
      </c>
      <c r="C223" s="122">
        <v>8</v>
      </c>
      <c r="D223" s="122">
        <v>917</v>
      </c>
      <c r="E223" s="33">
        <v>1309</v>
      </c>
      <c r="F223" s="34">
        <v>109</v>
      </c>
      <c r="G223" s="34">
        <v>917109</v>
      </c>
      <c r="H223" s="119">
        <v>26.85</v>
      </c>
      <c r="I223" s="101">
        <v>26.85</v>
      </c>
      <c r="J223" s="100"/>
      <c r="K223" s="125" t="s">
        <v>148</v>
      </c>
      <c r="L223" s="22" t="s">
        <v>148</v>
      </c>
      <c r="M223" s="11" t="s">
        <v>149</v>
      </c>
      <c r="N223" s="122" t="s">
        <v>140</v>
      </c>
      <c r="O223" s="122">
        <v>4</v>
      </c>
      <c r="P223" s="24" t="s">
        <v>305</v>
      </c>
      <c r="Q223" s="25">
        <v>4160</v>
      </c>
      <c r="R223" s="26" t="s">
        <v>142</v>
      </c>
      <c r="S223" s="27" t="s">
        <v>159</v>
      </c>
      <c r="T223" s="27" t="s">
        <v>144</v>
      </c>
      <c r="U223" s="124" t="s">
        <v>255</v>
      </c>
      <c r="V223" s="39">
        <v>7</v>
      </c>
      <c r="W223" s="124"/>
      <c r="X223" s="29"/>
      <c r="Y223" s="29"/>
      <c r="Z223" s="124"/>
      <c r="AA223" s="40"/>
      <c r="AB223" s="40"/>
      <c r="AC223" s="122" t="s">
        <v>146</v>
      </c>
      <c r="AD223" s="31">
        <v>1.65</v>
      </c>
      <c r="AE223" s="32" t="s">
        <v>147</v>
      </c>
    </row>
    <row r="224" spans="1:31">
      <c r="A224" s="135">
        <v>2</v>
      </c>
      <c r="B224" s="38" t="s">
        <v>297</v>
      </c>
      <c r="C224" s="122">
        <v>9</v>
      </c>
      <c r="D224" s="122">
        <v>917</v>
      </c>
      <c r="E224" s="33">
        <v>1310</v>
      </c>
      <c r="F224" s="34">
        <v>110</v>
      </c>
      <c r="G224" s="34">
        <v>917110</v>
      </c>
      <c r="H224" s="119">
        <v>6.95</v>
      </c>
      <c r="I224" s="101">
        <v>6.95</v>
      </c>
      <c r="J224" s="101"/>
      <c r="K224" s="125" t="s">
        <v>148</v>
      </c>
      <c r="L224" s="22" t="s">
        <v>148</v>
      </c>
      <c r="M224" s="11" t="s">
        <v>149</v>
      </c>
      <c r="N224" s="122" t="s">
        <v>255</v>
      </c>
      <c r="O224" s="122">
        <v>2</v>
      </c>
      <c r="P224" s="11" t="s">
        <v>306</v>
      </c>
      <c r="Q224" s="45"/>
      <c r="R224" s="21"/>
      <c r="S224" s="46" t="s">
        <v>159</v>
      </c>
      <c r="T224" s="46" t="s">
        <v>219</v>
      </c>
      <c r="U224" s="47" t="s">
        <v>255</v>
      </c>
      <c r="V224" s="48">
        <v>0</v>
      </c>
      <c r="W224" s="47"/>
      <c r="X224" s="29"/>
      <c r="Y224" s="29"/>
      <c r="Z224" s="47"/>
      <c r="AA224" s="49"/>
      <c r="AB224" s="49"/>
      <c r="AC224" s="122" t="s">
        <v>155</v>
      </c>
      <c r="AD224" s="31">
        <v>1.85</v>
      </c>
      <c r="AE224" s="32" t="s">
        <v>147</v>
      </c>
    </row>
    <row r="225" spans="1:31">
      <c r="A225" s="135">
        <v>2</v>
      </c>
      <c r="B225" s="38" t="s">
        <v>297</v>
      </c>
      <c r="C225" s="122">
        <v>10</v>
      </c>
      <c r="D225" s="122">
        <v>917</v>
      </c>
      <c r="E225" s="33">
        <v>1316</v>
      </c>
      <c r="F225" s="34">
        <v>111</v>
      </c>
      <c r="G225" s="34">
        <v>917111</v>
      </c>
      <c r="H225" s="119">
        <v>71.819999999999993</v>
      </c>
      <c r="I225" s="100"/>
      <c r="J225" s="101">
        <v>71.819999999999993</v>
      </c>
      <c r="K225" s="125" t="s">
        <v>161</v>
      </c>
      <c r="L225" s="23" t="s">
        <v>138</v>
      </c>
      <c r="M225" s="23" t="s">
        <v>149</v>
      </c>
      <c r="N225" s="122" t="s">
        <v>140</v>
      </c>
      <c r="O225" s="122">
        <v>5</v>
      </c>
      <c r="P225" s="24" t="s">
        <v>307</v>
      </c>
      <c r="Q225" s="25">
        <v>19200</v>
      </c>
      <c r="R225" s="26"/>
      <c r="S225" s="27" t="s">
        <v>308</v>
      </c>
      <c r="T225" s="27" t="s">
        <v>144</v>
      </c>
      <c r="U225" s="124" t="s">
        <v>150</v>
      </c>
      <c r="V225" s="39">
        <v>5</v>
      </c>
      <c r="W225" s="29">
        <v>17955</v>
      </c>
      <c r="X225" s="29" t="s">
        <v>300</v>
      </c>
      <c r="Y225" s="29"/>
      <c r="Z225" s="30">
        <v>71.819999999999993</v>
      </c>
      <c r="AA225" s="136" t="s">
        <v>309</v>
      </c>
      <c r="AB225" s="136"/>
      <c r="AC225" s="122" t="s">
        <v>155</v>
      </c>
      <c r="AD225" s="32">
        <v>1.85</v>
      </c>
      <c r="AE225" s="32" t="s">
        <v>147</v>
      </c>
    </row>
    <row r="226" spans="1:31">
      <c r="A226" s="135">
        <v>2</v>
      </c>
      <c r="B226" s="38" t="s">
        <v>297</v>
      </c>
      <c r="C226" s="122">
        <v>11</v>
      </c>
      <c r="D226" s="122">
        <v>917</v>
      </c>
      <c r="E226" s="33">
        <v>1320</v>
      </c>
      <c r="F226" s="34">
        <v>112</v>
      </c>
      <c r="G226" s="34">
        <v>917112</v>
      </c>
      <c r="H226" s="119">
        <v>53.87</v>
      </c>
      <c r="I226" s="101"/>
      <c r="J226" s="101">
        <v>53.87</v>
      </c>
      <c r="K226" s="125" t="s">
        <v>137</v>
      </c>
      <c r="L226" s="11" t="s">
        <v>138</v>
      </c>
      <c r="M226" s="23" t="s">
        <v>310</v>
      </c>
      <c r="N226" s="122" t="s">
        <v>140</v>
      </c>
      <c r="O226" s="122">
        <v>4</v>
      </c>
      <c r="P226" s="24" t="s">
        <v>311</v>
      </c>
      <c r="Q226" s="25">
        <v>9600</v>
      </c>
      <c r="R226" s="26"/>
      <c r="S226" s="27" t="s">
        <v>312</v>
      </c>
      <c r="T226" s="27" t="s">
        <v>144</v>
      </c>
      <c r="U226" s="124" t="s">
        <v>150</v>
      </c>
      <c r="V226" s="39">
        <v>3</v>
      </c>
      <c r="W226" s="29">
        <v>8080.5</v>
      </c>
      <c r="X226" s="29" t="s">
        <v>300</v>
      </c>
      <c r="Y226" s="29"/>
      <c r="Z226" s="30">
        <v>53.87</v>
      </c>
      <c r="AA226" s="136" t="s">
        <v>309</v>
      </c>
      <c r="AB226" s="136"/>
      <c r="AC226" s="122" t="s">
        <v>155</v>
      </c>
      <c r="AD226" s="32">
        <v>1.85</v>
      </c>
      <c r="AE226" s="32" t="s">
        <v>147</v>
      </c>
    </row>
    <row r="227" spans="1:31">
      <c r="A227" s="135">
        <v>2</v>
      </c>
      <c r="B227" s="38" t="s">
        <v>297</v>
      </c>
      <c r="C227" s="122">
        <v>12</v>
      </c>
      <c r="D227" s="122">
        <v>917</v>
      </c>
      <c r="E227" s="33">
        <v>1319</v>
      </c>
      <c r="F227" s="34">
        <v>113</v>
      </c>
      <c r="G227" s="34">
        <v>917113</v>
      </c>
      <c r="H227" s="119">
        <v>25.79</v>
      </c>
      <c r="I227" s="100"/>
      <c r="J227" s="100">
        <v>25.79</v>
      </c>
      <c r="K227" s="125" t="s">
        <v>172</v>
      </c>
      <c r="L227" s="11" t="s">
        <v>86</v>
      </c>
      <c r="M227" s="23" t="s">
        <v>149</v>
      </c>
      <c r="N227" s="122" t="s">
        <v>255</v>
      </c>
      <c r="O227" s="122">
        <v>3</v>
      </c>
      <c r="P227" s="24" t="s">
        <v>313</v>
      </c>
      <c r="Q227" s="25">
        <v>9600</v>
      </c>
      <c r="R227" s="26"/>
      <c r="S227" s="27" t="s">
        <v>312</v>
      </c>
      <c r="T227" s="27" t="s">
        <v>144</v>
      </c>
      <c r="U227" s="124" t="s">
        <v>140</v>
      </c>
      <c r="V227" s="39">
        <v>7</v>
      </c>
      <c r="W227" s="29">
        <v>9026.5</v>
      </c>
      <c r="X227" s="29" t="s">
        <v>300</v>
      </c>
      <c r="Y227" s="29"/>
      <c r="Z227" s="30">
        <v>25.79</v>
      </c>
      <c r="AA227" s="136" t="s">
        <v>309</v>
      </c>
      <c r="AB227" s="136"/>
      <c r="AC227" s="122" t="s">
        <v>155</v>
      </c>
      <c r="AD227" s="32">
        <v>1.85</v>
      </c>
      <c r="AE227" s="32" t="s">
        <v>147</v>
      </c>
    </row>
    <row r="228" spans="1:31">
      <c r="A228" s="135">
        <v>2</v>
      </c>
      <c r="B228" s="38" t="s">
        <v>297</v>
      </c>
      <c r="C228" s="122">
        <v>13</v>
      </c>
      <c r="D228" s="122">
        <v>917</v>
      </c>
      <c r="E228" s="33">
        <v>1321</v>
      </c>
      <c r="F228" s="34">
        <v>114</v>
      </c>
      <c r="G228" s="34">
        <v>917114</v>
      </c>
      <c r="H228" s="119">
        <v>54.96</v>
      </c>
      <c r="I228" s="100">
        <v>54.96</v>
      </c>
      <c r="J228" s="100"/>
      <c r="K228" s="125" t="s">
        <v>148</v>
      </c>
      <c r="L228" s="22" t="s">
        <v>148</v>
      </c>
      <c r="M228" s="23" t="s">
        <v>149</v>
      </c>
      <c r="N228" s="122" t="s">
        <v>140</v>
      </c>
      <c r="O228" s="122">
        <v>4</v>
      </c>
      <c r="P228" s="24" t="s">
        <v>314</v>
      </c>
      <c r="Q228" s="25">
        <v>9600</v>
      </c>
      <c r="R228" s="26"/>
      <c r="S228" s="27" t="s">
        <v>308</v>
      </c>
      <c r="T228" s="27" t="s">
        <v>144</v>
      </c>
      <c r="U228" s="124" t="s">
        <v>150</v>
      </c>
      <c r="V228" s="39">
        <v>3</v>
      </c>
      <c r="W228" s="124"/>
      <c r="X228" s="29"/>
      <c r="Y228" s="29"/>
      <c r="Z228" s="124"/>
      <c r="AA228" s="40"/>
      <c r="AB228" s="40"/>
      <c r="AC228" s="122" t="s">
        <v>155</v>
      </c>
      <c r="AD228" s="32">
        <v>1.85</v>
      </c>
      <c r="AE228" s="32" t="s">
        <v>147</v>
      </c>
    </row>
    <row r="229" spans="1:31">
      <c r="A229" s="135">
        <v>2</v>
      </c>
      <c r="B229" s="38" t="s">
        <v>297</v>
      </c>
      <c r="C229" s="122">
        <v>14</v>
      </c>
      <c r="D229" s="122">
        <v>917</v>
      </c>
      <c r="E229" s="33">
        <v>1322</v>
      </c>
      <c r="F229" s="34">
        <v>115</v>
      </c>
      <c r="G229" s="34">
        <v>917115</v>
      </c>
      <c r="H229" s="119">
        <v>31.39</v>
      </c>
      <c r="I229" s="100"/>
      <c r="J229" s="100">
        <v>31.39</v>
      </c>
      <c r="K229" s="125" t="s">
        <v>161</v>
      </c>
      <c r="L229" s="11" t="s">
        <v>138</v>
      </c>
      <c r="M229" s="23" t="s">
        <v>149</v>
      </c>
      <c r="N229" s="122" t="s">
        <v>140</v>
      </c>
      <c r="O229" s="122">
        <v>5</v>
      </c>
      <c r="P229" s="24" t="s">
        <v>315</v>
      </c>
      <c r="Q229" s="25">
        <v>9600</v>
      </c>
      <c r="R229" s="26"/>
      <c r="S229" s="27" t="s">
        <v>308</v>
      </c>
      <c r="T229" s="27" t="s">
        <v>144</v>
      </c>
      <c r="U229" s="124" t="s">
        <v>140</v>
      </c>
      <c r="V229" s="39">
        <v>6</v>
      </c>
      <c r="W229" s="29">
        <v>9417</v>
      </c>
      <c r="X229" s="29" t="s">
        <v>300</v>
      </c>
      <c r="Y229" s="29"/>
      <c r="Z229" s="30">
        <v>31.39</v>
      </c>
      <c r="AA229" s="136" t="s">
        <v>309</v>
      </c>
      <c r="AB229" s="136"/>
      <c r="AC229" s="122" t="s">
        <v>155</v>
      </c>
      <c r="AD229" s="32">
        <v>1.85</v>
      </c>
      <c r="AE229" s="32" t="s">
        <v>147</v>
      </c>
    </row>
    <row r="230" spans="1:31">
      <c r="A230" s="135">
        <v>2</v>
      </c>
      <c r="B230" s="38" t="s">
        <v>297</v>
      </c>
      <c r="C230" s="122">
        <v>15</v>
      </c>
      <c r="D230" s="122">
        <v>917</v>
      </c>
      <c r="E230" s="33" t="s">
        <v>316</v>
      </c>
      <c r="F230" s="34">
        <v>116</v>
      </c>
      <c r="G230" s="34">
        <v>917116</v>
      </c>
      <c r="H230" s="119">
        <v>13.66</v>
      </c>
      <c r="I230" s="100"/>
      <c r="J230" s="101">
        <v>13.66</v>
      </c>
      <c r="K230" s="22" t="s">
        <v>172</v>
      </c>
      <c r="L230" s="11" t="s">
        <v>86</v>
      </c>
      <c r="M230" s="23" t="s">
        <v>149</v>
      </c>
      <c r="N230" s="122" t="s">
        <v>255</v>
      </c>
      <c r="O230" s="122">
        <v>3</v>
      </c>
      <c r="P230" s="24" t="s">
        <v>317</v>
      </c>
      <c r="Q230" s="25">
        <v>27000</v>
      </c>
      <c r="R230" s="26" t="s">
        <v>142</v>
      </c>
      <c r="S230" s="27" t="s">
        <v>312</v>
      </c>
      <c r="T230" s="27" t="s">
        <v>144</v>
      </c>
      <c r="U230" s="124" t="s">
        <v>140</v>
      </c>
      <c r="V230" s="39">
        <v>10</v>
      </c>
      <c r="W230" s="29">
        <v>6830</v>
      </c>
      <c r="X230" s="29" t="s">
        <v>300</v>
      </c>
      <c r="Y230" s="29"/>
      <c r="Z230" s="30">
        <v>13.66</v>
      </c>
      <c r="AA230" s="136" t="s">
        <v>309</v>
      </c>
      <c r="AB230" s="136"/>
      <c r="AC230" s="122" t="s">
        <v>155</v>
      </c>
      <c r="AD230" s="32">
        <v>1.85</v>
      </c>
      <c r="AE230" s="32" t="s">
        <v>147</v>
      </c>
    </row>
    <row r="231" spans="1:31">
      <c r="A231" s="135">
        <v>2</v>
      </c>
      <c r="B231" s="38" t="s">
        <v>297</v>
      </c>
      <c r="C231" s="122">
        <v>16</v>
      </c>
      <c r="D231" s="122">
        <v>917</v>
      </c>
      <c r="E231" s="33">
        <v>1317</v>
      </c>
      <c r="F231" s="34">
        <v>117</v>
      </c>
      <c r="G231" s="34">
        <v>917117</v>
      </c>
      <c r="H231" s="119">
        <v>13.54</v>
      </c>
      <c r="I231" s="100"/>
      <c r="J231" s="101">
        <v>13.54</v>
      </c>
      <c r="K231" s="22" t="s">
        <v>137</v>
      </c>
      <c r="L231" s="11" t="s">
        <v>138</v>
      </c>
      <c r="M231" s="23" t="s">
        <v>310</v>
      </c>
      <c r="N231" s="122" t="s">
        <v>140</v>
      </c>
      <c r="O231" s="122">
        <v>5</v>
      </c>
      <c r="P231" s="24" t="s">
        <v>318</v>
      </c>
      <c r="Q231" s="25">
        <v>27000</v>
      </c>
      <c r="R231" s="26" t="s">
        <v>142</v>
      </c>
      <c r="S231" s="27" t="s">
        <v>312</v>
      </c>
      <c r="T231" s="27" t="s">
        <v>144</v>
      </c>
      <c r="U231" s="124" t="s">
        <v>140</v>
      </c>
      <c r="V231" s="39">
        <v>10</v>
      </c>
      <c r="W231" s="29">
        <v>6770</v>
      </c>
      <c r="X231" s="29" t="s">
        <v>300</v>
      </c>
      <c r="Y231" s="29"/>
      <c r="Z231" s="30">
        <v>13.54</v>
      </c>
      <c r="AA231" s="136" t="s">
        <v>309</v>
      </c>
      <c r="AB231" s="136"/>
      <c r="AC231" s="122" t="s">
        <v>155</v>
      </c>
      <c r="AD231" s="31">
        <v>1.85</v>
      </c>
      <c r="AE231" s="32" t="s">
        <v>147</v>
      </c>
    </row>
    <row r="232" spans="1:31">
      <c r="A232" s="135">
        <v>2</v>
      </c>
      <c r="B232" s="38" t="s">
        <v>297</v>
      </c>
      <c r="C232" s="122">
        <v>17</v>
      </c>
      <c r="D232" s="122">
        <v>917</v>
      </c>
      <c r="E232" s="33" t="s">
        <v>319</v>
      </c>
      <c r="F232" s="34">
        <v>118</v>
      </c>
      <c r="G232" s="34">
        <v>917118</v>
      </c>
      <c r="H232" s="119">
        <v>24.24</v>
      </c>
      <c r="I232" s="100">
        <v>24.24</v>
      </c>
      <c r="J232" s="101"/>
      <c r="K232" s="125" t="s">
        <v>148</v>
      </c>
      <c r="L232" s="22" t="s">
        <v>148</v>
      </c>
      <c r="M232" s="23" t="s">
        <v>149</v>
      </c>
      <c r="N232" s="122" t="s">
        <v>255</v>
      </c>
      <c r="O232" s="122">
        <v>3</v>
      </c>
      <c r="P232" s="11" t="s">
        <v>320</v>
      </c>
      <c r="Q232" s="45"/>
      <c r="R232" s="21"/>
      <c r="S232" s="46" t="s">
        <v>312</v>
      </c>
      <c r="T232" s="46" t="s">
        <v>144</v>
      </c>
      <c r="U232" s="47" t="s">
        <v>150</v>
      </c>
      <c r="V232" s="48">
        <v>0</v>
      </c>
      <c r="W232" s="47"/>
      <c r="X232" s="29"/>
      <c r="Y232" s="29"/>
      <c r="Z232" s="47"/>
      <c r="AA232" s="49"/>
      <c r="AB232" s="49"/>
      <c r="AC232" s="122" t="s">
        <v>155</v>
      </c>
      <c r="AD232" s="31">
        <v>1.85</v>
      </c>
      <c r="AE232" s="32" t="s">
        <v>147</v>
      </c>
    </row>
    <row r="233" spans="1:31">
      <c r="A233" s="135">
        <v>2</v>
      </c>
      <c r="B233" s="38" t="s">
        <v>297</v>
      </c>
      <c r="C233" s="122">
        <v>18</v>
      </c>
      <c r="D233" s="122">
        <v>917</v>
      </c>
      <c r="E233" s="33" t="s">
        <v>88</v>
      </c>
      <c r="F233" s="34">
        <v>119</v>
      </c>
      <c r="G233" s="34">
        <v>917119</v>
      </c>
      <c r="H233" s="119">
        <v>15.85</v>
      </c>
      <c r="I233" s="100"/>
      <c r="J233" s="101">
        <v>15.85</v>
      </c>
      <c r="K233" s="125" t="s">
        <v>137</v>
      </c>
      <c r="L233" s="23" t="s">
        <v>138</v>
      </c>
      <c r="M233" s="11" t="s">
        <v>310</v>
      </c>
      <c r="N233" s="122" t="s">
        <v>140</v>
      </c>
      <c r="O233" s="122">
        <v>5</v>
      </c>
      <c r="P233" s="24" t="s">
        <v>320</v>
      </c>
      <c r="Q233" s="25">
        <v>9600</v>
      </c>
      <c r="R233" s="26"/>
      <c r="S233" s="27" t="s">
        <v>312</v>
      </c>
      <c r="T233" s="27" t="s">
        <v>144</v>
      </c>
      <c r="U233" s="124" t="s">
        <v>140</v>
      </c>
      <c r="V233" s="39">
        <v>12</v>
      </c>
      <c r="W233" s="29">
        <v>9510</v>
      </c>
      <c r="X233" s="29" t="s">
        <v>300</v>
      </c>
      <c r="Y233" s="29"/>
      <c r="Z233" s="30">
        <v>15.85</v>
      </c>
      <c r="AA233" s="136" t="s">
        <v>309</v>
      </c>
      <c r="AB233" s="136"/>
      <c r="AC233" s="122" t="s">
        <v>155</v>
      </c>
      <c r="AD233" s="31">
        <v>1.85</v>
      </c>
      <c r="AE233" s="32" t="s">
        <v>147</v>
      </c>
    </row>
    <row r="234" spans="1:31">
      <c r="A234" s="135">
        <v>2</v>
      </c>
      <c r="B234" s="38" t="s">
        <v>297</v>
      </c>
      <c r="C234" s="122">
        <v>19</v>
      </c>
      <c r="D234" s="122">
        <v>917</v>
      </c>
      <c r="E234" s="33">
        <v>1325</v>
      </c>
      <c r="F234" s="34">
        <v>120</v>
      </c>
      <c r="G234" s="34">
        <v>917120</v>
      </c>
      <c r="H234" s="119">
        <v>28.07</v>
      </c>
      <c r="I234" s="101"/>
      <c r="J234" s="100">
        <v>28.07</v>
      </c>
      <c r="K234" s="125" t="s">
        <v>172</v>
      </c>
      <c r="L234" s="11" t="s">
        <v>86</v>
      </c>
      <c r="M234" s="23" t="s">
        <v>149</v>
      </c>
      <c r="N234" s="122" t="s">
        <v>140</v>
      </c>
      <c r="O234" s="122">
        <v>4</v>
      </c>
      <c r="P234" s="24" t="s">
        <v>321</v>
      </c>
      <c r="Q234" s="25">
        <v>9600</v>
      </c>
      <c r="R234" s="26"/>
      <c r="S234" s="27" t="s">
        <v>312</v>
      </c>
      <c r="T234" s="27" t="s">
        <v>144</v>
      </c>
      <c r="U234" s="124" t="s">
        <v>140</v>
      </c>
      <c r="V234" s="39">
        <v>6</v>
      </c>
      <c r="W234" s="29">
        <v>8421</v>
      </c>
      <c r="X234" s="29" t="s">
        <v>300</v>
      </c>
      <c r="Y234" s="29"/>
      <c r="Z234" s="30">
        <v>28.07</v>
      </c>
      <c r="AA234" s="136" t="s">
        <v>309</v>
      </c>
      <c r="AB234" s="136"/>
      <c r="AC234" s="21" t="s">
        <v>155</v>
      </c>
      <c r="AD234" s="31">
        <v>1.85</v>
      </c>
      <c r="AE234" s="32" t="s">
        <v>147</v>
      </c>
    </row>
    <row r="235" spans="1:31">
      <c r="A235" s="135">
        <v>2</v>
      </c>
      <c r="B235" s="38" t="s">
        <v>297</v>
      </c>
      <c r="C235" s="122">
        <v>20</v>
      </c>
      <c r="D235" s="122">
        <v>917</v>
      </c>
      <c r="E235" s="33">
        <v>1327</v>
      </c>
      <c r="F235" s="34">
        <v>121</v>
      </c>
      <c r="G235" s="34">
        <v>917121</v>
      </c>
      <c r="H235" s="119">
        <v>33.19</v>
      </c>
      <c r="I235" s="101"/>
      <c r="J235" s="101">
        <v>33.19</v>
      </c>
      <c r="K235" s="22" t="s">
        <v>161</v>
      </c>
      <c r="L235" s="11" t="s">
        <v>138</v>
      </c>
      <c r="M235" s="23" t="s">
        <v>149</v>
      </c>
      <c r="N235" s="122" t="s">
        <v>140</v>
      </c>
      <c r="O235" s="122">
        <v>4</v>
      </c>
      <c r="P235" s="24" t="s">
        <v>322</v>
      </c>
      <c r="Q235" s="25">
        <v>9600</v>
      </c>
      <c r="R235" s="26"/>
      <c r="S235" s="27" t="s">
        <v>308</v>
      </c>
      <c r="T235" s="27" t="s">
        <v>144</v>
      </c>
      <c r="U235" s="124" t="s">
        <v>150</v>
      </c>
      <c r="V235" s="39">
        <v>5</v>
      </c>
      <c r="W235" s="29">
        <v>8297.5</v>
      </c>
      <c r="X235" s="29" t="s">
        <v>300</v>
      </c>
      <c r="Y235" s="29"/>
      <c r="Z235" s="30">
        <v>33.19</v>
      </c>
      <c r="AA235" s="136" t="s">
        <v>309</v>
      </c>
      <c r="AB235" s="136"/>
      <c r="AC235" s="122" t="s">
        <v>155</v>
      </c>
      <c r="AD235" s="32">
        <v>1.85</v>
      </c>
      <c r="AE235" s="32" t="s">
        <v>147</v>
      </c>
    </row>
    <row r="236" spans="1:31">
      <c r="A236" s="135">
        <v>2</v>
      </c>
      <c r="B236" s="38" t="s">
        <v>297</v>
      </c>
      <c r="C236" s="122">
        <v>21</v>
      </c>
      <c r="D236" s="122">
        <v>917</v>
      </c>
      <c r="E236" s="33">
        <v>1329</v>
      </c>
      <c r="F236" s="34">
        <v>122</v>
      </c>
      <c r="G236" s="34">
        <v>917122</v>
      </c>
      <c r="H236" s="119">
        <v>61.85</v>
      </c>
      <c r="I236" s="101"/>
      <c r="J236" s="101">
        <v>61.85</v>
      </c>
      <c r="K236" s="22" t="s">
        <v>172</v>
      </c>
      <c r="L236" s="11" t="s">
        <v>86</v>
      </c>
      <c r="M236" s="23" t="s">
        <v>149</v>
      </c>
      <c r="N236" s="122" t="s">
        <v>140</v>
      </c>
      <c r="O236" s="122">
        <v>4</v>
      </c>
      <c r="P236" s="24" t="s">
        <v>323</v>
      </c>
      <c r="Q236" s="25">
        <v>9600</v>
      </c>
      <c r="R236" s="26"/>
      <c r="S236" s="27" t="s">
        <v>312</v>
      </c>
      <c r="T236" s="27" t="s">
        <v>144</v>
      </c>
      <c r="U236" s="124" t="s">
        <v>255</v>
      </c>
      <c r="V236" s="39">
        <v>3</v>
      </c>
      <c r="W236" s="29">
        <v>9277.5</v>
      </c>
      <c r="X236" s="29" t="s">
        <v>300</v>
      </c>
      <c r="Y236" s="29"/>
      <c r="Z236" s="30">
        <v>61.85</v>
      </c>
      <c r="AA236" s="136" t="s">
        <v>309</v>
      </c>
      <c r="AB236" s="136"/>
      <c r="AC236" s="122" t="s">
        <v>155</v>
      </c>
      <c r="AD236" s="32">
        <v>1.85</v>
      </c>
      <c r="AE236" s="32" t="s">
        <v>147</v>
      </c>
    </row>
    <row r="237" spans="1:31">
      <c r="A237" s="135">
        <v>2</v>
      </c>
      <c r="B237" s="38" t="s">
        <v>297</v>
      </c>
      <c r="C237" s="122">
        <v>22</v>
      </c>
      <c r="D237" s="122">
        <v>917</v>
      </c>
      <c r="E237" s="56">
        <v>1330</v>
      </c>
      <c r="F237" s="34">
        <v>123</v>
      </c>
      <c r="G237" s="34">
        <v>917123</v>
      </c>
      <c r="H237" s="119">
        <v>28.09</v>
      </c>
      <c r="I237" s="101"/>
      <c r="J237" s="101">
        <v>28.09</v>
      </c>
      <c r="K237" s="22" t="s">
        <v>137</v>
      </c>
      <c r="L237" s="11" t="s">
        <v>138</v>
      </c>
      <c r="M237" s="23" t="s">
        <v>310</v>
      </c>
      <c r="N237" s="122" t="s">
        <v>255</v>
      </c>
      <c r="O237" s="122">
        <v>2</v>
      </c>
      <c r="P237" s="24" t="s">
        <v>324</v>
      </c>
      <c r="Q237" s="25">
        <v>9600</v>
      </c>
      <c r="R237" s="57"/>
      <c r="S237" s="27" t="s">
        <v>312</v>
      </c>
      <c r="T237" s="27" t="s">
        <v>144</v>
      </c>
      <c r="U237" s="124" t="s">
        <v>140</v>
      </c>
      <c r="V237" s="39">
        <v>6</v>
      </c>
      <c r="W237" s="29">
        <v>8427</v>
      </c>
      <c r="X237" s="29" t="s">
        <v>300</v>
      </c>
      <c r="Y237" s="29"/>
      <c r="Z237" s="30">
        <v>28.09</v>
      </c>
      <c r="AA237" s="136" t="s">
        <v>309</v>
      </c>
      <c r="AB237" s="136"/>
      <c r="AC237" s="21" t="s">
        <v>155</v>
      </c>
      <c r="AD237" s="31">
        <v>1.85</v>
      </c>
      <c r="AE237" s="32" t="s">
        <v>147</v>
      </c>
    </row>
    <row r="238" spans="1:31">
      <c r="A238" s="135">
        <v>2</v>
      </c>
      <c r="B238" s="38" t="s">
        <v>297</v>
      </c>
      <c r="C238" s="122">
        <v>23</v>
      </c>
      <c r="D238" s="122">
        <v>917</v>
      </c>
      <c r="E238" s="33" t="s">
        <v>87</v>
      </c>
      <c r="F238" s="34">
        <v>124</v>
      </c>
      <c r="G238" s="34">
        <v>917124</v>
      </c>
      <c r="H238" s="119">
        <v>17.920000000000002</v>
      </c>
      <c r="I238" s="101"/>
      <c r="J238" s="101">
        <v>17.920000000000002</v>
      </c>
      <c r="K238" s="22" t="s">
        <v>137</v>
      </c>
      <c r="L238" s="11" t="s">
        <v>138</v>
      </c>
      <c r="M238" s="23" t="s">
        <v>184</v>
      </c>
      <c r="N238" s="122" t="s">
        <v>140</v>
      </c>
      <c r="O238" s="122">
        <v>5</v>
      </c>
      <c r="P238" s="24" t="s">
        <v>325</v>
      </c>
      <c r="Q238" s="25">
        <v>27000</v>
      </c>
      <c r="R238" s="26" t="s">
        <v>142</v>
      </c>
      <c r="S238" s="27" t="s">
        <v>312</v>
      </c>
      <c r="T238" s="27" t="s">
        <v>144</v>
      </c>
      <c r="U238" s="124" t="s">
        <v>140</v>
      </c>
      <c r="V238" s="39">
        <v>21</v>
      </c>
      <c r="W238" s="29">
        <v>18816</v>
      </c>
      <c r="X238" s="29" t="s">
        <v>300</v>
      </c>
      <c r="Y238" s="29"/>
      <c r="Z238" s="30">
        <v>17.920000000000002</v>
      </c>
      <c r="AA238" s="136" t="s">
        <v>309</v>
      </c>
      <c r="AB238" s="136"/>
      <c r="AC238" s="122" t="s">
        <v>155</v>
      </c>
      <c r="AD238" s="32">
        <v>1.85</v>
      </c>
      <c r="AE238" s="32" t="s">
        <v>147</v>
      </c>
    </row>
    <row r="239" spans="1:31">
      <c r="A239" s="135">
        <v>2</v>
      </c>
      <c r="B239" s="38" t="s">
        <v>297</v>
      </c>
      <c r="C239" s="122">
        <v>24</v>
      </c>
      <c r="D239" s="122">
        <v>917</v>
      </c>
      <c r="E239" s="33">
        <v>1332</v>
      </c>
      <c r="F239" s="34">
        <v>125</v>
      </c>
      <c r="G239" s="34">
        <v>917125</v>
      </c>
      <c r="H239" s="119">
        <v>32.159999999999997</v>
      </c>
      <c r="I239" s="100"/>
      <c r="J239" s="101">
        <v>32.159999999999997</v>
      </c>
      <c r="K239" s="22" t="s">
        <v>161</v>
      </c>
      <c r="L239" s="11" t="s">
        <v>138</v>
      </c>
      <c r="M239" s="23" t="s">
        <v>149</v>
      </c>
      <c r="N239" s="122" t="s">
        <v>140</v>
      </c>
      <c r="O239" s="122">
        <v>5</v>
      </c>
      <c r="P239" s="24" t="s">
        <v>326</v>
      </c>
      <c r="Q239" s="25">
        <v>9600</v>
      </c>
      <c r="R239" s="57"/>
      <c r="S239" s="27" t="s">
        <v>308</v>
      </c>
      <c r="T239" s="27" t="s">
        <v>144</v>
      </c>
      <c r="U239" s="124" t="s">
        <v>140</v>
      </c>
      <c r="V239" s="39">
        <v>6</v>
      </c>
      <c r="W239" s="29">
        <v>9647.9999999999982</v>
      </c>
      <c r="X239" s="29" t="s">
        <v>300</v>
      </c>
      <c r="Y239" s="29"/>
      <c r="Z239" s="30">
        <v>32.159999999999997</v>
      </c>
      <c r="AA239" s="136" t="s">
        <v>309</v>
      </c>
      <c r="AB239" s="136"/>
      <c r="AC239" s="21" t="s">
        <v>155</v>
      </c>
      <c r="AD239" s="31">
        <v>1.85</v>
      </c>
      <c r="AE239" s="32" t="s">
        <v>147</v>
      </c>
    </row>
    <row r="240" spans="1:31">
      <c r="A240" s="135">
        <v>2</v>
      </c>
      <c r="B240" s="38" t="s">
        <v>297</v>
      </c>
      <c r="C240" s="122">
        <v>25</v>
      </c>
      <c r="D240" s="122">
        <v>917</v>
      </c>
      <c r="E240" s="33">
        <v>1333</v>
      </c>
      <c r="F240" s="34">
        <v>126</v>
      </c>
      <c r="G240" s="34">
        <v>917126</v>
      </c>
      <c r="H240" s="119">
        <v>19.46</v>
      </c>
      <c r="I240" s="101"/>
      <c r="J240" s="100">
        <v>19.46</v>
      </c>
      <c r="K240" s="22" t="s">
        <v>137</v>
      </c>
      <c r="L240" s="11" t="s">
        <v>138</v>
      </c>
      <c r="M240" s="23" t="s">
        <v>310</v>
      </c>
      <c r="N240" s="122" t="s">
        <v>140</v>
      </c>
      <c r="O240" s="122">
        <v>5</v>
      </c>
      <c r="P240" s="24" t="s">
        <v>327</v>
      </c>
      <c r="Q240" s="25">
        <v>9600</v>
      </c>
      <c r="R240" s="57"/>
      <c r="S240" s="27" t="s">
        <v>206</v>
      </c>
      <c r="T240" s="27" t="s">
        <v>144</v>
      </c>
      <c r="U240" s="124" t="s">
        <v>140</v>
      </c>
      <c r="V240" s="39">
        <v>10</v>
      </c>
      <c r="W240" s="29">
        <v>9730</v>
      </c>
      <c r="X240" s="29" t="s">
        <v>300</v>
      </c>
      <c r="Y240" s="29"/>
      <c r="Z240" s="30">
        <v>19.46</v>
      </c>
      <c r="AA240" s="136" t="s">
        <v>309</v>
      </c>
      <c r="AB240" s="136"/>
      <c r="AC240" s="21" t="s">
        <v>155</v>
      </c>
      <c r="AD240" s="31">
        <v>1.85</v>
      </c>
      <c r="AE240" s="32" t="s">
        <v>147</v>
      </c>
    </row>
    <row r="241" spans="1:31">
      <c r="A241" s="135">
        <v>2</v>
      </c>
      <c r="B241" s="38" t="s">
        <v>297</v>
      </c>
      <c r="C241" s="122">
        <v>26</v>
      </c>
      <c r="D241" s="122">
        <v>917</v>
      </c>
      <c r="E241" s="33">
        <v>520</v>
      </c>
      <c r="F241" s="34">
        <v>127</v>
      </c>
      <c r="G241" s="34">
        <v>917127</v>
      </c>
      <c r="H241" s="119">
        <v>54.89</v>
      </c>
      <c r="I241" s="100"/>
      <c r="J241" s="100">
        <v>54.89</v>
      </c>
      <c r="K241" s="22" t="s">
        <v>170</v>
      </c>
      <c r="L241" s="11" t="s">
        <v>86</v>
      </c>
      <c r="M241" s="23" t="s">
        <v>328</v>
      </c>
      <c r="N241" s="122" t="s">
        <v>140</v>
      </c>
      <c r="O241" s="122">
        <v>5</v>
      </c>
      <c r="P241" s="24" t="s">
        <v>329</v>
      </c>
      <c r="Q241" s="25">
        <v>12800</v>
      </c>
      <c r="R241" s="26" t="s">
        <v>142</v>
      </c>
      <c r="S241" s="27" t="s">
        <v>206</v>
      </c>
      <c r="T241" s="27" t="s">
        <v>144</v>
      </c>
      <c r="U241" s="124" t="s">
        <v>150</v>
      </c>
      <c r="V241" s="39">
        <v>2</v>
      </c>
      <c r="W241" s="29">
        <v>5489</v>
      </c>
      <c r="X241" s="29" t="s">
        <v>300</v>
      </c>
      <c r="Y241" s="29"/>
      <c r="Z241" s="30">
        <v>54.89</v>
      </c>
      <c r="AA241" s="136" t="s">
        <v>309</v>
      </c>
      <c r="AB241" s="136"/>
      <c r="AC241" s="21" t="s">
        <v>155</v>
      </c>
      <c r="AD241" s="31">
        <v>1.85</v>
      </c>
      <c r="AE241" s="122" t="s">
        <v>147</v>
      </c>
    </row>
    <row r="242" spans="1:31">
      <c r="A242" s="135">
        <v>2</v>
      </c>
      <c r="B242" s="38" t="s">
        <v>297</v>
      </c>
      <c r="C242" s="122">
        <v>27</v>
      </c>
      <c r="D242" s="122">
        <v>917</v>
      </c>
      <c r="E242" s="33" t="s">
        <v>330</v>
      </c>
      <c r="F242" s="34">
        <v>128</v>
      </c>
      <c r="G242" s="34">
        <v>917128</v>
      </c>
      <c r="H242" s="119">
        <v>39.549999999999997</v>
      </c>
      <c r="I242" s="100"/>
      <c r="J242" s="100">
        <v>39.549999999999997</v>
      </c>
      <c r="K242" s="22" t="s">
        <v>170</v>
      </c>
      <c r="L242" s="11" t="s">
        <v>86</v>
      </c>
      <c r="M242" s="23" t="s">
        <v>178</v>
      </c>
      <c r="N242" s="122" t="s">
        <v>140</v>
      </c>
      <c r="O242" s="122">
        <v>5</v>
      </c>
      <c r="P242" s="24" t="s">
        <v>329</v>
      </c>
      <c r="Q242" s="25">
        <v>12800</v>
      </c>
      <c r="R242" s="26" t="s">
        <v>142</v>
      </c>
      <c r="S242" s="27" t="s">
        <v>206</v>
      </c>
      <c r="T242" s="27" t="s">
        <v>144</v>
      </c>
      <c r="U242" s="124" t="s">
        <v>150</v>
      </c>
      <c r="V242" s="39">
        <v>2</v>
      </c>
      <c r="W242" s="29">
        <v>3954.9999999999995</v>
      </c>
      <c r="X242" s="29" t="s">
        <v>300</v>
      </c>
      <c r="Y242" s="29"/>
      <c r="Z242" s="30">
        <v>39.549999999999997</v>
      </c>
      <c r="AA242" s="136" t="s">
        <v>309</v>
      </c>
      <c r="AB242" s="136"/>
      <c r="AC242" s="21" t="s">
        <v>155</v>
      </c>
      <c r="AD242" s="31">
        <v>1.85</v>
      </c>
      <c r="AE242" s="122" t="s">
        <v>147</v>
      </c>
    </row>
    <row r="243" spans="1:31">
      <c r="A243" s="135">
        <v>2</v>
      </c>
      <c r="B243" s="38" t="s">
        <v>297</v>
      </c>
      <c r="C243" s="122">
        <v>28</v>
      </c>
      <c r="D243" s="122">
        <v>917</v>
      </c>
      <c r="E243" s="33">
        <v>525</v>
      </c>
      <c r="F243" s="34">
        <v>129</v>
      </c>
      <c r="G243" s="34">
        <v>917129</v>
      </c>
      <c r="H243" s="119">
        <v>24.43</v>
      </c>
      <c r="I243" s="100"/>
      <c r="J243" s="101">
        <v>24.43</v>
      </c>
      <c r="K243" s="22" t="s">
        <v>170</v>
      </c>
      <c r="L243" s="11" t="s">
        <v>86</v>
      </c>
      <c r="M243" s="23" t="s">
        <v>149</v>
      </c>
      <c r="N243" s="122" t="s">
        <v>255</v>
      </c>
      <c r="O243" s="122">
        <v>2</v>
      </c>
      <c r="P243" s="24" t="s">
        <v>329</v>
      </c>
      <c r="Q243" s="25">
        <v>12800</v>
      </c>
      <c r="R243" s="26" t="s">
        <v>142</v>
      </c>
      <c r="S243" s="27" t="s">
        <v>159</v>
      </c>
      <c r="T243" s="27" t="s">
        <v>144</v>
      </c>
      <c r="U243" s="124" t="s">
        <v>150</v>
      </c>
      <c r="V243" s="39">
        <v>2</v>
      </c>
      <c r="W243" s="29">
        <v>2443</v>
      </c>
      <c r="X243" s="29" t="s">
        <v>300</v>
      </c>
      <c r="Y243" s="29"/>
      <c r="Z243" s="30">
        <v>24.43</v>
      </c>
      <c r="AA243" s="136" t="s">
        <v>301</v>
      </c>
      <c r="AB243" s="136"/>
      <c r="AC243" s="21" t="s">
        <v>155</v>
      </c>
      <c r="AD243" s="31">
        <v>1.85</v>
      </c>
      <c r="AE243" s="122" t="s">
        <v>147</v>
      </c>
    </row>
    <row r="244" spans="1:31">
      <c r="A244" s="135">
        <v>2</v>
      </c>
      <c r="B244" s="38" t="s">
        <v>297</v>
      </c>
      <c r="C244" s="122">
        <v>29</v>
      </c>
      <c r="D244" s="122">
        <v>917</v>
      </c>
      <c r="E244" s="33">
        <v>526</v>
      </c>
      <c r="F244" s="34">
        <v>130</v>
      </c>
      <c r="G244" s="34">
        <v>917130</v>
      </c>
      <c r="H244" s="119">
        <v>8.6999999999999993</v>
      </c>
      <c r="I244" s="101">
        <v>8.6999999999999993</v>
      </c>
      <c r="J244" s="100"/>
      <c r="K244" s="58" t="s">
        <v>148</v>
      </c>
      <c r="L244" s="35" t="s">
        <v>148</v>
      </c>
      <c r="M244" s="23" t="s">
        <v>178</v>
      </c>
      <c r="N244" s="122" t="s">
        <v>255</v>
      </c>
      <c r="O244" s="122">
        <v>3</v>
      </c>
      <c r="P244" s="11" t="s">
        <v>331</v>
      </c>
      <c r="Q244" s="45"/>
      <c r="R244" s="21"/>
      <c r="S244" s="46" t="s">
        <v>159</v>
      </c>
      <c r="T244" s="46" t="s">
        <v>219</v>
      </c>
      <c r="U244" s="47" t="s">
        <v>255</v>
      </c>
      <c r="V244" s="48">
        <v>0</v>
      </c>
      <c r="W244" s="47"/>
      <c r="X244" s="29"/>
      <c r="Y244" s="29"/>
      <c r="Z244" s="47"/>
      <c r="AA244" s="49"/>
      <c r="AB244" s="49"/>
      <c r="AC244" s="122" t="s">
        <v>155</v>
      </c>
      <c r="AD244" s="31">
        <v>1.85</v>
      </c>
      <c r="AE244" s="122" t="s">
        <v>147</v>
      </c>
    </row>
    <row r="245" spans="1:31">
      <c r="A245" s="135">
        <v>2</v>
      </c>
      <c r="B245" s="38" t="s">
        <v>297</v>
      </c>
      <c r="C245" s="122">
        <v>30</v>
      </c>
      <c r="D245" s="122">
        <v>917</v>
      </c>
      <c r="E245" s="33">
        <v>527</v>
      </c>
      <c r="F245" s="34">
        <v>131</v>
      </c>
      <c r="G245" s="34">
        <v>917131</v>
      </c>
      <c r="H245" s="119">
        <v>31.2</v>
      </c>
      <c r="I245" s="101"/>
      <c r="J245" s="100">
        <v>31.2</v>
      </c>
      <c r="K245" s="22" t="s">
        <v>161</v>
      </c>
      <c r="L245" s="11" t="s">
        <v>138</v>
      </c>
      <c r="M245" s="23" t="s">
        <v>149</v>
      </c>
      <c r="N245" s="122" t="s">
        <v>140</v>
      </c>
      <c r="O245" s="122">
        <v>4</v>
      </c>
      <c r="P245" s="24" t="s">
        <v>329</v>
      </c>
      <c r="Q245" s="25">
        <v>12800</v>
      </c>
      <c r="R245" s="26" t="s">
        <v>142</v>
      </c>
      <c r="S245" s="27" t="s">
        <v>159</v>
      </c>
      <c r="T245" s="27" t="s">
        <v>144</v>
      </c>
      <c r="U245" s="124" t="s">
        <v>150</v>
      </c>
      <c r="V245" s="39">
        <v>2</v>
      </c>
      <c r="W245" s="29">
        <v>3120</v>
      </c>
      <c r="X245" s="29" t="s">
        <v>300</v>
      </c>
      <c r="Y245" s="29"/>
      <c r="Z245" s="30">
        <v>31.2</v>
      </c>
      <c r="AA245" s="136" t="s">
        <v>301</v>
      </c>
      <c r="AB245" s="136"/>
      <c r="AC245" s="21" t="s">
        <v>155</v>
      </c>
      <c r="AD245" s="31">
        <v>1.85</v>
      </c>
      <c r="AE245" s="122" t="s">
        <v>147</v>
      </c>
    </row>
    <row r="246" spans="1:31">
      <c r="A246" s="135">
        <v>2</v>
      </c>
      <c r="B246" s="59" t="s">
        <v>332</v>
      </c>
      <c r="C246" s="122">
        <v>1</v>
      </c>
      <c r="D246" s="122">
        <v>907</v>
      </c>
      <c r="E246" s="33">
        <v>1201</v>
      </c>
      <c r="F246" s="34">
        <v>101</v>
      </c>
      <c r="G246" s="34">
        <v>907101</v>
      </c>
      <c r="H246" s="119">
        <v>33.659999999999997</v>
      </c>
      <c r="I246" s="101"/>
      <c r="J246" s="100">
        <v>33.659999999999997</v>
      </c>
      <c r="K246" s="22" t="s">
        <v>137</v>
      </c>
      <c r="L246" s="11" t="s">
        <v>138</v>
      </c>
      <c r="M246" s="23" t="s">
        <v>245</v>
      </c>
      <c r="N246" s="122" t="s">
        <v>255</v>
      </c>
      <c r="O246" s="122">
        <v>2</v>
      </c>
      <c r="P246" s="24" t="s">
        <v>334</v>
      </c>
      <c r="Q246" s="25">
        <v>9600</v>
      </c>
      <c r="R246" s="24" t="s">
        <v>335</v>
      </c>
      <c r="S246" s="27" t="s">
        <v>159</v>
      </c>
      <c r="T246" s="27" t="s">
        <v>144</v>
      </c>
      <c r="U246" s="124" t="s">
        <v>255</v>
      </c>
      <c r="V246" s="39">
        <v>3</v>
      </c>
      <c r="W246" s="29">
        <v>5048.9999999999991</v>
      </c>
      <c r="X246" s="50" t="s">
        <v>336</v>
      </c>
      <c r="Y246" s="50">
        <v>1</v>
      </c>
      <c r="Z246" s="30">
        <v>33.659999999999997</v>
      </c>
      <c r="AA246" s="60" t="s">
        <v>337</v>
      </c>
      <c r="AB246" s="60">
        <v>2</v>
      </c>
      <c r="AC246" s="21" t="s">
        <v>155</v>
      </c>
      <c r="AD246" s="31">
        <v>1.85</v>
      </c>
      <c r="AE246" s="32" t="s">
        <v>147</v>
      </c>
    </row>
    <row r="247" spans="1:31">
      <c r="A247" s="135">
        <v>2</v>
      </c>
      <c r="B247" s="59" t="s">
        <v>332</v>
      </c>
      <c r="C247" s="122">
        <v>2</v>
      </c>
      <c r="D247" s="122">
        <v>907</v>
      </c>
      <c r="E247" s="33">
        <v>1202</v>
      </c>
      <c r="F247" s="34">
        <v>102</v>
      </c>
      <c r="G247" s="34">
        <v>907102</v>
      </c>
      <c r="H247" s="119">
        <v>20.96</v>
      </c>
      <c r="I247" s="101"/>
      <c r="J247" s="100">
        <v>20.96</v>
      </c>
      <c r="K247" s="125" t="s">
        <v>137</v>
      </c>
      <c r="L247" s="11" t="s">
        <v>138</v>
      </c>
      <c r="M247" s="23" t="s">
        <v>245</v>
      </c>
      <c r="N247" s="122" t="s">
        <v>255</v>
      </c>
      <c r="O247" s="122">
        <v>2</v>
      </c>
      <c r="P247" s="24" t="s">
        <v>334</v>
      </c>
      <c r="Q247" s="25">
        <v>9600</v>
      </c>
      <c r="R247" s="24" t="s">
        <v>335</v>
      </c>
      <c r="S247" s="27" t="s">
        <v>159</v>
      </c>
      <c r="T247" s="27" t="s">
        <v>144</v>
      </c>
      <c r="U247" s="124" t="s">
        <v>255</v>
      </c>
      <c r="V247" s="39">
        <v>3</v>
      </c>
      <c r="W247" s="29">
        <v>3144</v>
      </c>
      <c r="X247" s="50" t="s">
        <v>336</v>
      </c>
      <c r="Y247" s="50"/>
      <c r="Z247" s="30">
        <v>20.96</v>
      </c>
      <c r="AA247" s="60" t="s">
        <v>337</v>
      </c>
      <c r="AB247" s="60">
        <v>2</v>
      </c>
      <c r="AC247" s="21" t="s">
        <v>155</v>
      </c>
      <c r="AD247" s="31">
        <v>1.85</v>
      </c>
      <c r="AE247" s="32" t="s">
        <v>147</v>
      </c>
    </row>
    <row r="248" spans="1:31">
      <c r="A248" s="135">
        <v>2</v>
      </c>
      <c r="B248" s="59" t="s">
        <v>332</v>
      </c>
      <c r="C248" s="122">
        <v>3</v>
      </c>
      <c r="D248" s="122">
        <v>907</v>
      </c>
      <c r="E248" s="33">
        <v>1205</v>
      </c>
      <c r="F248" s="34">
        <v>103</v>
      </c>
      <c r="G248" s="34">
        <v>907103</v>
      </c>
      <c r="H248" s="119">
        <v>5.43</v>
      </c>
      <c r="I248" s="100"/>
      <c r="J248" s="100">
        <v>5.43</v>
      </c>
      <c r="K248" s="58" t="s">
        <v>170</v>
      </c>
      <c r="L248" s="58" t="s">
        <v>86</v>
      </c>
      <c r="M248" s="23" t="s">
        <v>149</v>
      </c>
      <c r="N248" s="122" t="s">
        <v>255</v>
      </c>
      <c r="O248" s="122">
        <v>2</v>
      </c>
      <c r="P248" s="24" t="s">
        <v>338</v>
      </c>
      <c r="Q248" s="25">
        <v>7200</v>
      </c>
      <c r="R248" s="24"/>
      <c r="S248" s="27" t="s">
        <v>312</v>
      </c>
      <c r="T248" s="27" t="s">
        <v>144</v>
      </c>
      <c r="U248" s="124" t="s">
        <v>140</v>
      </c>
      <c r="V248" s="39">
        <v>10</v>
      </c>
      <c r="W248" s="29">
        <v>2715</v>
      </c>
      <c r="X248" s="50" t="s">
        <v>336</v>
      </c>
      <c r="Y248" s="50"/>
      <c r="Z248" s="30">
        <v>5.43</v>
      </c>
      <c r="AA248" s="60" t="s">
        <v>339</v>
      </c>
      <c r="AB248" s="60">
        <v>8</v>
      </c>
      <c r="AC248" s="21" t="s">
        <v>155</v>
      </c>
      <c r="AD248" s="31">
        <v>1.85</v>
      </c>
      <c r="AE248" s="32" t="s">
        <v>147</v>
      </c>
    </row>
    <row r="249" spans="1:31">
      <c r="A249" s="135">
        <v>2</v>
      </c>
      <c r="B249" s="59" t="s">
        <v>332</v>
      </c>
      <c r="C249" s="122">
        <v>4</v>
      </c>
      <c r="D249" s="122">
        <v>907</v>
      </c>
      <c r="E249" s="33" t="s">
        <v>340</v>
      </c>
      <c r="F249" s="34">
        <v>104</v>
      </c>
      <c r="G249" s="34">
        <v>907104</v>
      </c>
      <c r="H249" s="119">
        <v>17.579999999999998</v>
      </c>
      <c r="I249" s="100"/>
      <c r="J249" s="100">
        <v>17.579999999999998</v>
      </c>
      <c r="K249" s="22" t="s">
        <v>172</v>
      </c>
      <c r="L249" s="11" t="s">
        <v>86</v>
      </c>
      <c r="M249" s="23" t="s">
        <v>149</v>
      </c>
      <c r="N249" s="122" t="s">
        <v>255</v>
      </c>
      <c r="O249" s="122">
        <v>2</v>
      </c>
      <c r="P249" s="24" t="s">
        <v>341</v>
      </c>
      <c r="Q249" s="25">
        <v>7200</v>
      </c>
      <c r="R249" s="24"/>
      <c r="S249" s="27" t="s">
        <v>312</v>
      </c>
      <c r="T249" s="27" t="s">
        <v>144</v>
      </c>
      <c r="U249" s="124" t="s">
        <v>140</v>
      </c>
      <c r="V249" s="39">
        <v>7</v>
      </c>
      <c r="W249" s="29">
        <v>6152.9999999999991</v>
      </c>
      <c r="X249" s="50" t="s">
        <v>336</v>
      </c>
      <c r="Y249" s="50"/>
      <c r="Z249" s="30">
        <v>17.579999999999998</v>
      </c>
      <c r="AA249" s="60" t="s">
        <v>339</v>
      </c>
      <c r="AB249" s="60">
        <v>8</v>
      </c>
      <c r="AC249" s="21" t="s">
        <v>146</v>
      </c>
      <c r="AD249" s="31">
        <v>1.65</v>
      </c>
      <c r="AE249" s="32" t="s">
        <v>147</v>
      </c>
    </row>
    <row r="250" spans="1:31">
      <c r="A250" s="135">
        <v>2</v>
      </c>
      <c r="B250" s="59" t="s">
        <v>332</v>
      </c>
      <c r="C250" s="122">
        <v>5</v>
      </c>
      <c r="D250" s="122">
        <v>907</v>
      </c>
      <c r="E250" s="33">
        <v>1206</v>
      </c>
      <c r="F250" s="34">
        <v>105</v>
      </c>
      <c r="G250" s="34">
        <v>907105</v>
      </c>
      <c r="H250" s="119">
        <v>36.67</v>
      </c>
      <c r="I250" s="101"/>
      <c r="J250" s="100">
        <v>36.67</v>
      </c>
      <c r="K250" s="22" t="s">
        <v>172</v>
      </c>
      <c r="L250" s="11" t="s">
        <v>86</v>
      </c>
      <c r="M250" s="23" t="e">
        <v>#N/A</v>
      </c>
      <c r="N250" s="122" t="s">
        <v>255</v>
      </c>
      <c r="O250" s="122">
        <v>2</v>
      </c>
      <c r="P250" s="24" t="s">
        <v>342</v>
      </c>
      <c r="Q250" s="25">
        <v>7200</v>
      </c>
      <c r="R250" s="24"/>
      <c r="S250" s="27" t="s">
        <v>312</v>
      </c>
      <c r="T250" s="27" t="s">
        <v>144</v>
      </c>
      <c r="U250" s="124" t="s">
        <v>255</v>
      </c>
      <c r="V250" s="39">
        <v>5</v>
      </c>
      <c r="W250" s="29">
        <v>9167.5</v>
      </c>
      <c r="X250" s="50" t="s">
        <v>343</v>
      </c>
      <c r="Y250" s="50">
        <v>1</v>
      </c>
      <c r="Z250" s="30">
        <v>36.67</v>
      </c>
      <c r="AA250" s="60" t="s">
        <v>339</v>
      </c>
      <c r="AB250" s="60">
        <v>6</v>
      </c>
      <c r="AC250" s="21" t="s">
        <v>155</v>
      </c>
      <c r="AD250" s="31">
        <v>1.85</v>
      </c>
      <c r="AE250" s="32" t="s">
        <v>147</v>
      </c>
    </row>
    <row r="251" spans="1:31">
      <c r="A251" s="135">
        <v>2</v>
      </c>
      <c r="B251" s="59" t="s">
        <v>332</v>
      </c>
      <c r="C251" s="122">
        <v>6</v>
      </c>
      <c r="D251" s="122">
        <v>907</v>
      </c>
      <c r="E251" s="33">
        <v>1203</v>
      </c>
      <c r="F251" s="34">
        <v>106</v>
      </c>
      <c r="G251" s="34">
        <v>907106</v>
      </c>
      <c r="H251" s="119">
        <v>48.09</v>
      </c>
      <c r="I251" s="101"/>
      <c r="J251" s="100">
        <v>48.09</v>
      </c>
      <c r="K251" s="22" t="s">
        <v>172</v>
      </c>
      <c r="L251" s="11" t="s">
        <v>86</v>
      </c>
      <c r="M251" s="23" t="s">
        <v>344</v>
      </c>
      <c r="N251" s="122" t="s">
        <v>255</v>
      </c>
      <c r="O251" s="122">
        <v>2</v>
      </c>
      <c r="P251" s="24" t="s">
        <v>345</v>
      </c>
      <c r="Q251" s="25">
        <v>7200</v>
      </c>
      <c r="R251" s="24"/>
      <c r="S251" s="27" t="s">
        <v>312</v>
      </c>
      <c r="T251" s="27" t="s">
        <v>144</v>
      </c>
      <c r="U251" s="124" t="s">
        <v>255</v>
      </c>
      <c r="V251" s="39">
        <v>3</v>
      </c>
      <c r="W251" s="29">
        <v>7213.5000000000009</v>
      </c>
      <c r="X251" s="50" t="s">
        <v>343</v>
      </c>
      <c r="Y251" s="50"/>
      <c r="Z251" s="30">
        <v>48.09</v>
      </c>
      <c r="AA251" s="60" t="s">
        <v>339</v>
      </c>
      <c r="AB251" s="60">
        <v>6</v>
      </c>
      <c r="AC251" s="21" t="s">
        <v>155</v>
      </c>
      <c r="AD251" s="31">
        <v>1.85</v>
      </c>
      <c r="AE251" s="32" t="s">
        <v>147</v>
      </c>
    </row>
    <row r="252" spans="1:31">
      <c r="A252" s="135">
        <v>2</v>
      </c>
      <c r="B252" s="59" t="s">
        <v>332</v>
      </c>
      <c r="C252" s="122">
        <v>7</v>
      </c>
      <c r="D252" s="122">
        <v>907</v>
      </c>
      <c r="E252" s="33">
        <v>1204</v>
      </c>
      <c r="F252" s="34">
        <v>107</v>
      </c>
      <c r="G252" s="34">
        <v>907107</v>
      </c>
      <c r="H252" s="119">
        <v>24.79</v>
      </c>
      <c r="I252" s="101"/>
      <c r="J252" s="100">
        <v>24.79</v>
      </c>
      <c r="K252" s="22" t="s">
        <v>172</v>
      </c>
      <c r="L252" s="11" t="s">
        <v>86</v>
      </c>
      <c r="M252" s="23" t="s">
        <v>346</v>
      </c>
      <c r="N252" s="122" t="s">
        <v>255</v>
      </c>
      <c r="O252" s="122">
        <v>2</v>
      </c>
      <c r="P252" s="24" t="s">
        <v>347</v>
      </c>
      <c r="Q252" s="25">
        <v>7200</v>
      </c>
      <c r="R252" s="24"/>
      <c r="S252" s="27" t="s">
        <v>312</v>
      </c>
      <c r="T252" s="27" t="s">
        <v>144</v>
      </c>
      <c r="U252" s="124" t="s">
        <v>150</v>
      </c>
      <c r="V252" s="39">
        <v>5</v>
      </c>
      <c r="W252" s="29">
        <v>6197.5</v>
      </c>
      <c r="X252" s="50" t="s">
        <v>343</v>
      </c>
      <c r="Y252" s="50"/>
      <c r="Z252" s="30">
        <v>24.79</v>
      </c>
      <c r="AA252" s="60" t="s">
        <v>339</v>
      </c>
      <c r="AB252" s="60">
        <v>6</v>
      </c>
      <c r="AC252" s="21" t="s">
        <v>155</v>
      </c>
      <c r="AD252" s="31">
        <v>1.85</v>
      </c>
      <c r="AE252" s="32" t="s">
        <v>147</v>
      </c>
    </row>
    <row r="253" spans="1:31">
      <c r="A253" s="135">
        <v>2</v>
      </c>
      <c r="B253" s="59" t="s">
        <v>332</v>
      </c>
      <c r="C253" s="122">
        <v>8</v>
      </c>
      <c r="D253" s="122">
        <v>907</v>
      </c>
      <c r="E253" s="33">
        <v>1207</v>
      </c>
      <c r="F253" s="34">
        <v>108</v>
      </c>
      <c r="G253" s="34">
        <v>907108</v>
      </c>
      <c r="H253" s="119">
        <v>37.6</v>
      </c>
      <c r="I253" s="100"/>
      <c r="J253" s="100">
        <v>37.6</v>
      </c>
      <c r="K253" s="22" t="s">
        <v>137</v>
      </c>
      <c r="L253" s="11" t="s">
        <v>138</v>
      </c>
      <c r="M253" s="23" t="s">
        <v>348</v>
      </c>
      <c r="N253" s="122" t="s">
        <v>255</v>
      </c>
      <c r="O253" s="122">
        <v>2</v>
      </c>
      <c r="P253" s="24" t="s">
        <v>349</v>
      </c>
      <c r="Q253" s="25">
        <v>9600</v>
      </c>
      <c r="R253" s="24" t="s">
        <v>142</v>
      </c>
      <c r="S253" s="27" t="s">
        <v>159</v>
      </c>
      <c r="T253" s="27" t="s">
        <v>144</v>
      </c>
      <c r="U253" s="124" t="s">
        <v>255</v>
      </c>
      <c r="V253" s="39">
        <v>3</v>
      </c>
      <c r="W253" s="29">
        <v>5640</v>
      </c>
      <c r="X253" s="50" t="s">
        <v>343</v>
      </c>
      <c r="Y253" s="50"/>
      <c r="Z253" s="30">
        <v>37.6</v>
      </c>
      <c r="AA253" s="60" t="s">
        <v>350</v>
      </c>
      <c r="AB253" s="60">
        <v>3</v>
      </c>
      <c r="AC253" s="21" t="s">
        <v>155</v>
      </c>
      <c r="AD253" s="31">
        <v>1.85</v>
      </c>
      <c r="AE253" s="32" t="s">
        <v>147</v>
      </c>
    </row>
    <row r="254" spans="1:31">
      <c r="A254" s="135">
        <v>2</v>
      </c>
      <c r="B254" s="59" t="s">
        <v>332</v>
      </c>
      <c r="C254" s="122">
        <v>10</v>
      </c>
      <c r="D254" s="122">
        <v>907</v>
      </c>
      <c r="E254" s="33">
        <v>1208</v>
      </c>
      <c r="F254" s="34">
        <v>109</v>
      </c>
      <c r="G254" s="34">
        <v>907109</v>
      </c>
      <c r="H254" s="119">
        <v>17.46</v>
      </c>
      <c r="I254" s="100"/>
      <c r="J254" s="100">
        <v>17.46</v>
      </c>
      <c r="K254" s="22" t="s">
        <v>137</v>
      </c>
      <c r="L254" s="11" t="s">
        <v>138</v>
      </c>
      <c r="M254" s="23" t="s">
        <v>310</v>
      </c>
      <c r="N254" s="122" t="s">
        <v>255</v>
      </c>
      <c r="O254" s="122">
        <v>2</v>
      </c>
      <c r="P254" s="24" t="s">
        <v>349</v>
      </c>
      <c r="Q254" s="25">
        <v>9600</v>
      </c>
      <c r="R254" s="24" t="s">
        <v>142</v>
      </c>
      <c r="S254" s="27" t="s">
        <v>159</v>
      </c>
      <c r="T254" s="27" t="s">
        <v>144</v>
      </c>
      <c r="U254" s="124" t="s">
        <v>255</v>
      </c>
      <c r="V254" s="39">
        <v>3</v>
      </c>
      <c r="W254" s="29">
        <v>2619</v>
      </c>
      <c r="X254" s="50" t="s">
        <v>343</v>
      </c>
      <c r="Y254" s="50"/>
      <c r="Z254" s="30">
        <v>17.46</v>
      </c>
      <c r="AA254" s="60" t="s">
        <v>350</v>
      </c>
      <c r="AB254" s="60">
        <v>3</v>
      </c>
      <c r="AC254" s="21" t="s">
        <v>155</v>
      </c>
      <c r="AD254" s="31">
        <v>1.85</v>
      </c>
      <c r="AE254" s="32" t="s">
        <v>147</v>
      </c>
    </row>
    <row r="255" spans="1:31">
      <c r="A255" s="135">
        <v>2</v>
      </c>
      <c r="B255" s="59" t="s">
        <v>332</v>
      </c>
      <c r="C255" s="122">
        <v>11</v>
      </c>
      <c r="D255" s="122">
        <v>907</v>
      </c>
      <c r="E255" s="33" t="s">
        <v>96</v>
      </c>
      <c r="F255" s="34">
        <v>110</v>
      </c>
      <c r="G255" s="34">
        <v>907110</v>
      </c>
      <c r="H255" s="119">
        <v>7.5</v>
      </c>
      <c r="I255" s="100"/>
      <c r="J255" s="101">
        <v>7.5</v>
      </c>
      <c r="K255" s="125" t="s">
        <v>137</v>
      </c>
      <c r="L255" s="11" t="s">
        <v>138</v>
      </c>
      <c r="M255" s="23" t="s">
        <v>351</v>
      </c>
      <c r="N255" s="122" t="s">
        <v>255</v>
      </c>
      <c r="O255" s="122">
        <v>2</v>
      </c>
      <c r="P255" s="24" t="s">
        <v>349</v>
      </c>
      <c r="Q255" s="25">
        <v>9600</v>
      </c>
      <c r="R255" s="24" t="s">
        <v>142</v>
      </c>
      <c r="S255" s="27" t="s">
        <v>159</v>
      </c>
      <c r="T255" s="27" t="s">
        <v>144</v>
      </c>
      <c r="U255" s="124" t="s">
        <v>255</v>
      </c>
      <c r="V255" s="39">
        <v>3</v>
      </c>
      <c r="W255" s="29">
        <v>1125</v>
      </c>
      <c r="X255" s="50" t="s">
        <v>343</v>
      </c>
      <c r="Y255" s="50"/>
      <c r="Z255" s="30">
        <v>7.5</v>
      </c>
      <c r="AA255" s="60" t="s">
        <v>350</v>
      </c>
      <c r="AB255" s="60">
        <v>3</v>
      </c>
      <c r="AC255" s="122" t="s">
        <v>155</v>
      </c>
      <c r="AD255" s="31">
        <v>1.85</v>
      </c>
      <c r="AE255" s="32" t="s">
        <v>147</v>
      </c>
    </row>
    <row r="256" spans="1:31">
      <c r="A256" s="135">
        <v>2</v>
      </c>
      <c r="B256" s="59" t="s">
        <v>332</v>
      </c>
      <c r="C256" s="122">
        <v>12</v>
      </c>
      <c r="D256" s="122">
        <v>907</v>
      </c>
      <c r="E256" s="33">
        <v>1209</v>
      </c>
      <c r="F256" s="34">
        <v>111</v>
      </c>
      <c r="G256" s="34">
        <v>907111</v>
      </c>
      <c r="H256" s="119">
        <v>15.47</v>
      </c>
      <c r="I256" s="100"/>
      <c r="J256" s="101">
        <v>15.47</v>
      </c>
      <c r="K256" s="125" t="s">
        <v>137</v>
      </c>
      <c r="L256" s="11" t="s">
        <v>138</v>
      </c>
      <c r="M256" s="23" t="s">
        <v>149</v>
      </c>
      <c r="N256" s="122" t="s">
        <v>278</v>
      </c>
      <c r="O256" s="122">
        <v>4</v>
      </c>
      <c r="P256" s="24" t="s">
        <v>352</v>
      </c>
      <c r="Q256" s="25">
        <v>2700</v>
      </c>
      <c r="R256" s="24" t="s">
        <v>353</v>
      </c>
      <c r="S256" s="27" t="s">
        <v>159</v>
      </c>
      <c r="T256" s="27" t="s">
        <v>144</v>
      </c>
      <c r="U256" s="124" t="s">
        <v>255</v>
      </c>
      <c r="V256" s="39">
        <v>3</v>
      </c>
      <c r="W256" s="29">
        <v>2320.5</v>
      </c>
      <c r="X256" s="50" t="s">
        <v>343</v>
      </c>
      <c r="Y256" s="50"/>
      <c r="Z256" s="30">
        <v>15.47</v>
      </c>
      <c r="AA256" s="60" t="s">
        <v>350</v>
      </c>
      <c r="AB256" s="60">
        <v>3</v>
      </c>
      <c r="AC256" s="122" t="s">
        <v>146</v>
      </c>
      <c r="AD256" s="31">
        <v>1.7</v>
      </c>
      <c r="AE256" s="32" t="s">
        <v>147</v>
      </c>
    </row>
    <row r="257" spans="1:31">
      <c r="A257" s="135">
        <v>2</v>
      </c>
      <c r="B257" s="59" t="s">
        <v>332</v>
      </c>
      <c r="C257" s="122">
        <v>13</v>
      </c>
      <c r="D257" s="122">
        <v>907</v>
      </c>
      <c r="E257" s="33">
        <v>1210</v>
      </c>
      <c r="F257" s="34">
        <v>112</v>
      </c>
      <c r="G257" s="34">
        <v>907112</v>
      </c>
      <c r="H257" s="119">
        <v>35.47</v>
      </c>
      <c r="I257" s="100"/>
      <c r="J257" s="101">
        <v>35.47</v>
      </c>
      <c r="K257" s="125" t="s">
        <v>172</v>
      </c>
      <c r="L257" s="11" t="s">
        <v>86</v>
      </c>
      <c r="M257" s="23" t="s">
        <v>354</v>
      </c>
      <c r="N257" s="122" t="s">
        <v>255</v>
      </c>
      <c r="O257" s="122">
        <v>2</v>
      </c>
      <c r="P257" s="24" t="s">
        <v>355</v>
      </c>
      <c r="Q257" s="25">
        <v>24000</v>
      </c>
      <c r="R257" s="24" t="s">
        <v>356</v>
      </c>
      <c r="S257" s="27" t="s">
        <v>159</v>
      </c>
      <c r="T257" s="27" t="s">
        <v>144</v>
      </c>
      <c r="U257" s="124" t="s">
        <v>255</v>
      </c>
      <c r="V257" s="39">
        <v>4</v>
      </c>
      <c r="W257" s="29">
        <v>7094</v>
      </c>
      <c r="X257" s="50" t="s">
        <v>343</v>
      </c>
      <c r="Y257" s="50"/>
      <c r="Z257" s="30">
        <v>35.47</v>
      </c>
      <c r="AA257" s="60" t="s">
        <v>350</v>
      </c>
      <c r="AB257" s="60">
        <v>3</v>
      </c>
      <c r="AC257" s="122" t="s">
        <v>155</v>
      </c>
      <c r="AD257" s="31">
        <v>1.7</v>
      </c>
      <c r="AE257" s="32" t="s">
        <v>147</v>
      </c>
    </row>
    <row r="258" spans="1:31">
      <c r="A258" s="135">
        <v>2</v>
      </c>
      <c r="B258" s="59" t="s">
        <v>332</v>
      </c>
      <c r="C258" s="122">
        <v>14</v>
      </c>
      <c r="D258" s="122">
        <v>907</v>
      </c>
      <c r="E258" s="33">
        <v>1212</v>
      </c>
      <c r="F258" s="34">
        <v>113</v>
      </c>
      <c r="G258" s="34">
        <v>907113</v>
      </c>
      <c r="H258" s="119">
        <v>52.18</v>
      </c>
      <c r="I258" s="101"/>
      <c r="J258" s="100">
        <v>52.18</v>
      </c>
      <c r="K258" s="22" t="s">
        <v>137</v>
      </c>
      <c r="L258" s="11" t="s">
        <v>138</v>
      </c>
      <c r="M258" s="23" t="s">
        <v>357</v>
      </c>
      <c r="N258" s="122" t="s">
        <v>140</v>
      </c>
      <c r="O258" s="122">
        <v>4</v>
      </c>
      <c r="P258" s="24" t="s">
        <v>355</v>
      </c>
      <c r="Q258" s="25">
        <v>24000</v>
      </c>
      <c r="R258" s="24" t="s">
        <v>356</v>
      </c>
      <c r="S258" s="27" t="s">
        <v>159</v>
      </c>
      <c r="T258" s="27" t="s">
        <v>144</v>
      </c>
      <c r="U258" s="124" t="s">
        <v>255</v>
      </c>
      <c r="V258" s="39">
        <v>4</v>
      </c>
      <c r="W258" s="29">
        <v>10436</v>
      </c>
      <c r="X258" s="50" t="s">
        <v>343</v>
      </c>
      <c r="Y258" s="50"/>
      <c r="Z258" s="30">
        <v>52.18</v>
      </c>
      <c r="AA258" s="60" t="s">
        <v>350</v>
      </c>
      <c r="AB258" s="60">
        <v>3</v>
      </c>
      <c r="AC258" s="21" t="s">
        <v>155</v>
      </c>
      <c r="AD258" s="31">
        <v>1.85</v>
      </c>
      <c r="AE258" s="32" t="s">
        <v>147</v>
      </c>
    </row>
    <row r="259" spans="1:31">
      <c r="A259" s="61">
        <v>2</v>
      </c>
      <c r="B259" s="62" t="s">
        <v>332</v>
      </c>
      <c r="C259" s="122">
        <v>16</v>
      </c>
      <c r="D259" s="122">
        <v>907</v>
      </c>
      <c r="E259" s="33">
        <v>1211</v>
      </c>
      <c r="F259" s="34">
        <v>115</v>
      </c>
      <c r="G259" s="55">
        <v>907115</v>
      </c>
      <c r="H259" s="63">
        <v>19.78</v>
      </c>
      <c r="I259" s="106"/>
      <c r="J259" s="106">
        <v>19.78</v>
      </c>
      <c r="K259" s="58" t="s">
        <v>137</v>
      </c>
      <c r="L259" s="11" t="s">
        <v>138</v>
      </c>
      <c r="M259" s="64" t="s">
        <v>149</v>
      </c>
      <c r="N259" s="122" t="s">
        <v>255</v>
      </c>
      <c r="O259" s="122">
        <v>2</v>
      </c>
      <c r="P259" s="1" t="s">
        <v>315</v>
      </c>
      <c r="Q259" s="25">
        <v>7200</v>
      </c>
      <c r="R259" s="24" t="s">
        <v>358</v>
      </c>
      <c r="S259" s="27" t="s">
        <v>312</v>
      </c>
      <c r="T259" s="27" t="s">
        <v>144</v>
      </c>
      <c r="U259" s="124" t="s">
        <v>150</v>
      </c>
      <c r="V259" s="39">
        <v>4</v>
      </c>
      <c r="W259" s="29">
        <v>3956</v>
      </c>
      <c r="X259" s="50" t="s">
        <v>336</v>
      </c>
      <c r="Y259" s="50"/>
      <c r="Z259" s="30">
        <v>19.78</v>
      </c>
      <c r="AA259" s="60" t="s">
        <v>337</v>
      </c>
      <c r="AB259" s="60">
        <v>2</v>
      </c>
      <c r="AC259" s="65" t="s">
        <v>146</v>
      </c>
      <c r="AD259" s="2">
        <v>1.7</v>
      </c>
      <c r="AE259" s="118" t="s">
        <v>147</v>
      </c>
    </row>
    <row r="260" spans="1:31">
      <c r="A260" s="135">
        <v>2</v>
      </c>
      <c r="B260" s="59" t="s">
        <v>332</v>
      </c>
      <c r="C260" s="122">
        <v>17</v>
      </c>
      <c r="D260" s="122">
        <v>907</v>
      </c>
      <c r="E260" s="33">
        <v>1213</v>
      </c>
      <c r="F260" s="34">
        <v>117</v>
      </c>
      <c r="G260" s="34">
        <v>907117</v>
      </c>
      <c r="H260" s="119">
        <v>22.36</v>
      </c>
      <c r="I260" s="100">
        <v>22.36</v>
      </c>
      <c r="J260" s="100"/>
      <c r="K260" s="22" t="s">
        <v>148</v>
      </c>
      <c r="L260" s="22" t="s">
        <v>148</v>
      </c>
      <c r="M260" s="23" t="s">
        <v>149</v>
      </c>
      <c r="N260" s="122" t="s">
        <v>255</v>
      </c>
      <c r="O260" s="122">
        <v>2</v>
      </c>
      <c r="P260" s="24" t="s">
        <v>359</v>
      </c>
      <c r="Q260" s="25">
        <v>24000</v>
      </c>
      <c r="R260" s="24" t="s">
        <v>360</v>
      </c>
      <c r="S260" s="27" t="s">
        <v>361</v>
      </c>
      <c r="T260" s="27" t="s">
        <v>144</v>
      </c>
      <c r="U260" s="124" t="s">
        <v>150</v>
      </c>
      <c r="V260" s="39">
        <v>4</v>
      </c>
      <c r="W260" s="124"/>
      <c r="X260" s="66" t="s">
        <v>362</v>
      </c>
      <c r="Y260" s="66"/>
      <c r="Z260" s="124"/>
      <c r="AA260" s="51" t="s">
        <v>362</v>
      </c>
      <c r="AB260" s="51"/>
      <c r="AC260" s="21" t="s">
        <v>155</v>
      </c>
      <c r="AD260" s="31">
        <v>1.85</v>
      </c>
      <c r="AE260" s="32" t="s">
        <v>147</v>
      </c>
    </row>
    <row r="261" spans="1:31">
      <c r="A261" s="135">
        <v>2</v>
      </c>
      <c r="B261" s="59" t="s">
        <v>332</v>
      </c>
      <c r="C261" s="122">
        <v>18</v>
      </c>
      <c r="D261" s="122">
        <v>907</v>
      </c>
      <c r="E261" s="33">
        <v>1214</v>
      </c>
      <c r="F261" s="34">
        <v>118</v>
      </c>
      <c r="G261" s="34">
        <v>907118</v>
      </c>
      <c r="H261" s="119">
        <v>40.119999999999997</v>
      </c>
      <c r="I261" s="100">
        <v>40.119999999999997</v>
      </c>
      <c r="J261" s="100"/>
      <c r="K261" s="58" t="s">
        <v>148</v>
      </c>
      <c r="L261" s="6" t="s">
        <v>148</v>
      </c>
      <c r="M261" s="23" t="s">
        <v>363</v>
      </c>
      <c r="N261" s="122" t="s">
        <v>255</v>
      </c>
      <c r="O261" s="122">
        <v>2</v>
      </c>
      <c r="P261" s="24" t="s">
        <v>364</v>
      </c>
      <c r="Q261" s="25"/>
      <c r="R261" s="24" t="s">
        <v>365</v>
      </c>
      <c r="S261" s="27"/>
      <c r="T261" s="27"/>
      <c r="U261" s="124" t="s">
        <v>255</v>
      </c>
      <c r="V261" s="39"/>
      <c r="W261" s="124"/>
      <c r="X261" s="66" t="s">
        <v>362</v>
      </c>
      <c r="Y261" s="66"/>
      <c r="Z261" s="124"/>
      <c r="AA261" s="51" t="s">
        <v>362</v>
      </c>
      <c r="AB261" s="51"/>
      <c r="AC261" s="21" t="s">
        <v>155</v>
      </c>
      <c r="AD261" s="31">
        <v>1.85</v>
      </c>
      <c r="AE261" s="32" t="s">
        <v>147</v>
      </c>
    </row>
    <row r="262" spans="1:31">
      <c r="A262" s="135">
        <v>2</v>
      </c>
      <c r="B262" s="59" t="s">
        <v>332</v>
      </c>
      <c r="C262" s="122">
        <v>19</v>
      </c>
      <c r="D262" s="122">
        <v>907</v>
      </c>
      <c r="E262" s="33">
        <v>1227</v>
      </c>
      <c r="F262" s="34">
        <v>119</v>
      </c>
      <c r="G262" s="34">
        <v>907119</v>
      </c>
      <c r="H262" s="119">
        <v>18.600000000000001</v>
      </c>
      <c r="I262" s="100"/>
      <c r="J262" s="100">
        <v>18.600000000000001</v>
      </c>
      <c r="K262" s="22" t="s">
        <v>172</v>
      </c>
      <c r="L262" s="11" t="s">
        <v>86</v>
      </c>
      <c r="M262" s="23" t="s">
        <v>149</v>
      </c>
      <c r="N262" s="122" t="s">
        <v>140</v>
      </c>
      <c r="O262" s="122">
        <v>4</v>
      </c>
      <c r="P262" s="24" t="s">
        <v>366</v>
      </c>
      <c r="Q262" s="25">
        <v>12500</v>
      </c>
      <c r="R262" s="24" t="s">
        <v>142</v>
      </c>
      <c r="S262" s="27" t="s">
        <v>159</v>
      </c>
      <c r="T262" s="27" t="s">
        <v>144</v>
      </c>
      <c r="U262" s="124" t="s">
        <v>140</v>
      </c>
      <c r="V262" s="39">
        <v>6</v>
      </c>
      <c r="W262" s="29">
        <v>5580</v>
      </c>
      <c r="X262" s="50" t="s">
        <v>336</v>
      </c>
      <c r="Y262" s="50"/>
      <c r="Z262" s="30">
        <v>18.600000000000001</v>
      </c>
      <c r="AA262" s="60" t="s">
        <v>337</v>
      </c>
      <c r="AB262" s="60">
        <v>2</v>
      </c>
      <c r="AC262" s="21" t="s">
        <v>155</v>
      </c>
      <c r="AD262" s="31">
        <v>1.85</v>
      </c>
      <c r="AE262" s="32" t="s">
        <v>147</v>
      </c>
    </row>
    <row r="263" spans="1:31">
      <c r="A263" s="135">
        <v>2</v>
      </c>
      <c r="B263" s="59" t="s">
        <v>332</v>
      </c>
      <c r="C263" s="122">
        <v>21</v>
      </c>
      <c r="D263" s="122">
        <v>907</v>
      </c>
      <c r="E263" s="33" t="s">
        <v>367</v>
      </c>
      <c r="F263" s="34">
        <v>121</v>
      </c>
      <c r="G263" s="34">
        <v>907121</v>
      </c>
      <c r="H263" s="119">
        <v>6.12</v>
      </c>
      <c r="I263" s="100">
        <v>6.12</v>
      </c>
      <c r="J263" s="100"/>
      <c r="K263" s="58" t="s">
        <v>148</v>
      </c>
      <c r="L263" s="6" t="s">
        <v>148</v>
      </c>
      <c r="M263" s="23" t="s">
        <v>178</v>
      </c>
      <c r="N263" s="122" t="s">
        <v>278</v>
      </c>
      <c r="O263" s="122"/>
      <c r="P263" s="24" t="s">
        <v>368</v>
      </c>
      <c r="Q263" s="25">
        <v>2700</v>
      </c>
      <c r="R263" s="24" t="s">
        <v>142</v>
      </c>
      <c r="S263" s="27" t="s">
        <v>361</v>
      </c>
      <c r="T263" s="27" t="s">
        <v>160</v>
      </c>
      <c r="U263" s="124" t="s">
        <v>255</v>
      </c>
      <c r="V263" s="39">
        <v>2</v>
      </c>
      <c r="W263" s="124"/>
      <c r="X263" s="66" t="s">
        <v>362</v>
      </c>
      <c r="Y263" s="66"/>
      <c r="Z263" s="124"/>
      <c r="AA263" s="51" t="s">
        <v>362</v>
      </c>
      <c r="AB263" s="51"/>
      <c r="AC263" s="122" t="s">
        <v>155</v>
      </c>
      <c r="AD263" s="31">
        <v>1.85</v>
      </c>
      <c r="AE263" s="32" t="s">
        <v>147</v>
      </c>
    </row>
    <row r="264" spans="1:31">
      <c r="A264" s="135">
        <v>2</v>
      </c>
      <c r="B264" s="59" t="s">
        <v>332</v>
      </c>
      <c r="C264" s="122">
        <v>22</v>
      </c>
      <c r="D264" s="122">
        <v>907</v>
      </c>
      <c r="E264" s="33">
        <v>1226</v>
      </c>
      <c r="F264" s="34">
        <v>122</v>
      </c>
      <c r="G264" s="34">
        <v>907122</v>
      </c>
      <c r="H264" s="119">
        <v>21.26</v>
      </c>
      <c r="I264" s="100">
        <v>21.26</v>
      </c>
      <c r="J264" s="100">
        <v>0</v>
      </c>
      <c r="K264" s="58" t="s">
        <v>148</v>
      </c>
      <c r="L264" s="6" t="s">
        <v>148</v>
      </c>
      <c r="M264" s="23" t="s">
        <v>310</v>
      </c>
      <c r="N264" s="122" t="s">
        <v>255</v>
      </c>
      <c r="O264" s="122">
        <v>2</v>
      </c>
      <c r="P264" s="24" t="s">
        <v>368</v>
      </c>
      <c r="Q264" s="25">
        <v>2700</v>
      </c>
      <c r="R264" s="24" t="s">
        <v>142</v>
      </c>
      <c r="S264" s="27" t="s">
        <v>361</v>
      </c>
      <c r="T264" s="27" t="s">
        <v>160</v>
      </c>
      <c r="U264" s="124" t="s">
        <v>255</v>
      </c>
      <c r="V264" s="39">
        <v>2</v>
      </c>
      <c r="W264" s="124"/>
      <c r="X264" s="66" t="s">
        <v>362</v>
      </c>
      <c r="Y264" s="66"/>
      <c r="Z264" s="124"/>
      <c r="AA264" s="51" t="s">
        <v>362</v>
      </c>
      <c r="AB264" s="51"/>
      <c r="AC264" s="21" t="s">
        <v>155</v>
      </c>
      <c r="AD264" s="31">
        <v>1.85</v>
      </c>
      <c r="AE264" s="32" t="s">
        <v>147</v>
      </c>
    </row>
    <row r="265" spans="1:31">
      <c r="A265" s="135">
        <v>2</v>
      </c>
      <c r="B265" s="59" t="s">
        <v>332</v>
      </c>
      <c r="C265" s="122">
        <v>23</v>
      </c>
      <c r="D265" s="122">
        <v>907</v>
      </c>
      <c r="E265" s="33" t="s">
        <v>54</v>
      </c>
      <c r="F265" s="34">
        <v>123</v>
      </c>
      <c r="G265" s="34">
        <v>907123</v>
      </c>
      <c r="H265" s="119">
        <v>8.59</v>
      </c>
      <c r="I265" s="100">
        <v>8.59</v>
      </c>
      <c r="J265" s="100"/>
      <c r="K265" s="58" t="s">
        <v>148</v>
      </c>
      <c r="L265" s="6" t="s">
        <v>148</v>
      </c>
      <c r="M265" s="23" t="s">
        <v>178</v>
      </c>
      <c r="N265" s="122" t="s">
        <v>255</v>
      </c>
      <c r="O265" s="122">
        <v>2</v>
      </c>
      <c r="P265" s="24" t="s">
        <v>368</v>
      </c>
      <c r="Q265" s="25">
        <v>2700</v>
      </c>
      <c r="R265" s="24" t="s">
        <v>142</v>
      </c>
      <c r="S265" s="27" t="s">
        <v>361</v>
      </c>
      <c r="T265" s="27" t="s">
        <v>160</v>
      </c>
      <c r="U265" s="124" t="s">
        <v>255</v>
      </c>
      <c r="V265" s="39">
        <v>2</v>
      </c>
      <c r="W265" s="124"/>
      <c r="X265" s="66" t="s">
        <v>362</v>
      </c>
      <c r="Y265" s="66"/>
      <c r="Z265" s="124"/>
      <c r="AA265" s="51" t="s">
        <v>362</v>
      </c>
      <c r="AB265" s="51"/>
      <c r="AC265" s="21" t="s">
        <v>155</v>
      </c>
      <c r="AD265" s="31">
        <v>1.85</v>
      </c>
      <c r="AE265" s="32" t="s">
        <v>147</v>
      </c>
    </row>
    <row r="266" spans="1:31">
      <c r="A266" s="135">
        <v>2</v>
      </c>
      <c r="B266" s="59" t="s">
        <v>332</v>
      </c>
      <c r="C266" s="122">
        <v>24</v>
      </c>
      <c r="D266" s="122">
        <v>907</v>
      </c>
      <c r="E266" s="33">
        <v>1229</v>
      </c>
      <c r="F266" s="34">
        <v>124</v>
      </c>
      <c r="G266" s="34">
        <v>907124</v>
      </c>
      <c r="H266" s="119">
        <v>17.18</v>
      </c>
      <c r="I266" s="100">
        <v>17.18</v>
      </c>
      <c r="J266" s="100"/>
      <c r="K266" s="22" t="s">
        <v>148</v>
      </c>
      <c r="L266" s="22" t="s">
        <v>148</v>
      </c>
      <c r="M266" s="23" t="s">
        <v>156</v>
      </c>
      <c r="N266" s="122" t="s">
        <v>140</v>
      </c>
      <c r="O266" s="122">
        <v>4</v>
      </c>
      <c r="P266" s="24" t="s">
        <v>369</v>
      </c>
      <c r="Q266" s="25">
        <v>12500</v>
      </c>
      <c r="R266" s="24" t="s">
        <v>370</v>
      </c>
      <c r="S266" s="27" t="s">
        <v>361</v>
      </c>
      <c r="T266" s="27" t="s">
        <v>144</v>
      </c>
      <c r="U266" s="124" t="s">
        <v>255</v>
      </c>
      <c r="V266" s="39">
        <v>0</v>
      </c>
      <c r="W266" s="124"/>
      <c r="X266" s="66" t="s">
        <v>362</v>
      </c>
      <c r="Y266" s="66"/>
      <c r="Z266" s="124"/>
      <c r="AA266" s="51" t="s">
        <v>362</v>
      </c>
      <c r="AB266" s="51"/>
      <c r="AC266" s="122" t="s">
        <v>155</v>
      </c>
      <c r="AD266" s="31">
        <v>1.75</v>
      </c>
      <c r="AE266" s="32" t="s">
        <v>147</v>
      </c>
    </row>
    <row r="267" spans="1:31">
      <c r="A267" s="135">
        <v>2</v>
      </c>
      <c r="B267" s="59" t="s">
        <v>332</v>
      </c>
      <c r="C267" s="122">
        <v>25</v>
      </c>
      <c r="D267" s="122">
        <v>907</v>
      </c>
      <c r="E267" s="33">
        <v>1230</v>
      </c>
      <c r="F267" s="34">
        <v>125</v>
      </c>
      <c r="G267" s="34">
        <v>907125</v>
      </c>
      <c r="H267" s="119">
        <v>18.05</v>
      </c>
      <c r="I267" s="100"/>
      <c r="J267" s="100">
        <v>18.05</v>
      </c>
      <c r="K267" s="22" t="s">
        <v>172</v>
      </c>
      <c r="L267" s="11" t="s">
        <v>86</v>
      </c>
      <c r="M267" s="23" t="s">
        <v>149</v>
      </c>
      <c r="N267" s="122" t="s">
        <v>255</v>
      </c>
      <c r="O267" s="122">
        <v>2</v>
      </c>
      <c r="P267" s="24" t="s">
        <v>371</v>
      </c>
      <c r="Q267" s="25">
        <v>12500</v>
      </c>
      <c r="R267" s="24" t="s">
        <v>372</v>
      </c>
      <c r="S267" s="27" t="s">
        <v>159</v>
      </c>
      <c r="T267" s="27" t="s">
        <v>144</v>
      </c>
      <c r="U267" s="124" t="s">
        <v>140</v>
      </c>
      <c r="V267" s="39">
        <v>6</v>
      </c>
      <c r="W267" s="29">
        <v>5415</v>
      </c>
      <c r="X267" s="50" t="s">
        <v>336</v>
      </c>
      <c r="Y267" s="50"/>
      <c r="Z267" s="30">
        <v>18.05</v>
      </c>
      <c r="AA267" s="60" t="s">
        <v>337</v>
      </c>
      <c r="AB267" s="60">
        <v>2</v>
      </c>
      <c r="AC267" s="21" t="s">
        <v>155</v>
      </c>
      <c r="AD267" s="31">
        <v>1.85</v>
      </c>
      <c r="AE267" s="32" t="s">
        <v>147</v>
      </c>
    </row>
    <row r="268" spans="1:31">
      <c r="A268" s="135">
        <v>2</v>
      </c>
      <c r="B268" s="59" t="s">
        <v>332</v>
      </c>
      <c r="C268" s="122">
        <v>26</v>
      </c>
      <c r="D268" s="122">
        <v>907</v>
      </c>
      <c r="E268" s="33">
        <v>1231</v>
      </c>
      <c r="F268" s="34">
        <v>126</v>
      </c>
      <c r="G268" s="34">
        <v>907126</v>
      </c>
      <c r="H268" s="119">
        <v>18.64</v>
      </c>
      <c r="I268" s="100">
        <v>18.64</v>
      </c>
      <c r="J268" s="100"/>
      <c r="K268" s="22" t="s">
        <v>148</v>
      </c>
      <c r="L268" s="22" t="s">
        <v>148</v>
      </c>
      <c r="M268" s="23" t="s">
        <v>149</v>
      </c>
      <c r="N268" s="122" t="s">
        <v>255</v>
      </c>
      <c r="O268" s="122">
        <v>2</v>
      </c>
      <c r="P268" s="24" t="s">
        <v>373</v>
      </c>
      <c r="Q268" s="25">
        <v>12500</v>
      </c>
      <c r="R268" s="24" t="s">
        <v>374</v>
      </c>
      <c r="S268" s="27" t="s">
        <v>361</v>
      </c>
      <c r="T268" s="27" t="s">
        <v>144</v>
      </c>
      <c r="U268" s="124" t="s">
        <v>255</v>
      </c>
      <c r="V268" s="39">
        <v>0</v>
      </c>
      <c r="W268" s="124"/>
      <c r="X268" s="66" t="s">
        <v>362</v>
      </c>
      <c r="Y268" s="66"/>
      <c r="Z268" s="124"/>
      <c r="AA268" s="51" t="s">
        <v>362</v>
      </c>
      <c r="AB268" s="51"/>
      <c r="AC268" s="122" t="s">
        <v>155</v>
      </c>
      <c r="AD268" s="32">
        <v>1.85</v>
      </c>
      <c r="AE268" s="32" t="s">
        <v>147</v>
      </c>
    </row>
    <row r="269" spans="1:31">
      <c r="A269" s="135">
        <v>2</v>
      </c>
      <c r="B269" s="38" t="s">
        <v>332</v>
      </c>
      <c r="C269" s="122">
        <v>29</v>
      </c>
      <c r="D269" s="122">
        <v>907</v>
      </c>
      <c r="E269" s="33">
        <v>1520</v>
      </c>
      <c r="F269" s="34">
        <v>129</v>
      </c>
      <c r="G269" s="34">
        <v>907129</v>
      </c>
      <c r="H269" s="119">
        <v>29.01</v>
      </c>
      <c r="I269" s="100">
        <v>29.01</v>
      </c>
      <c r="J269" s="100"/>
      <c r="K269" s="22" t="s">
        <v>148</v>
      </c>
      <c r="L269" s="22" t="s">
        <v>148</v>
      </c>
      <c r="M269" s="53" t="s">
        <v>375</v>
      </c>
      <c r="N269" s="122" t="s">
        <v>278</v>
      </c>
      <c r="O269" s="122"/>
      <c r="P269" s="11"/>
      <c r="Q269" s="11"/>
      <c r="R269" s="11" t="s">
        <v>376</v>
      </c>
      <c r="S269" s="46"/>
      <c r="T269" s="46" t="s">
        <v>144</v>
      </c>
      <c r="U269" s="47" t="s">
        <v>278</v>
      </c>
      <c r="V269" s="48"/>
      <c r="W269" s="47"/>
      <c r="X269" s="67" t="s">
        <v>362</v>
      </c>
      <c r="Y269" s="67"/>
      <c r="Z269" s="47"/>
      <c r="AA269" s="68" t="s">
        <v>362</v>
      </c>
      <c r="AB269" s="68"/>
      <c r="AC269" s="122" t="s">
        <v>155</v>
      </c>
      <c r="AD269" s="31">
        <v>1.85</v>
      </c>
      <c r="AE269" s="32" t="s">
        <v>147</v>
      </c>
    </row>
    <row r="270" spans="1:31">
      <c r="A270" s="135">
        <v>2</v>
      </c>
      <c r="B270" s="38" t="s">
        <v>377</v>
      </c>
      <c r="C270" s="122">
        <v>1</v>
      </c>
      <c r="D270" s="122">
        <v>927</v>
      </c>
      <c r="E270" s="33">
        <v>807901</v>
      </c>
      <c r="F270" s="34">
        <v>101</v>
      </c>
      <c r="G270" s="69">
        <v>927101</v>
      </c>
      <c r="H270" s="119">
        <v>8.56</v>
      </c>
      <c r="I270" s="100"/>
      <c r="J270" s="100">
        <v>8.56</v>
      </c>
      <c r="K270" s="22" t="s">
        <v>137</v>
      </c>
      <c r="L270" s="11" t="s">
        <v>138</v>
      </c>
      <c r="M270" s="23" t="s">
        <v>149</v>
      </c>
      <c r="N270" s="122" t="s">
        <v>255</v>
      </c>
      <c r="O270" s="122">
        <v>2</v>
      </c>
      <c r="P270" s="24" t="s">
        <v>379</v>
      </c>
      <c r="Q270" s="25">
        <v>25200</v>
      </c>
      <c r="R270" s="26" t="s">
        <v>142</v>
      </c>
      <c r="S270" s="27" t="s">
        <v>159</v>
      </c>
      <c r="T270" s="27" t="s">
        <v>160</v>
      </c>
      <c r="U270" s="124" t="s">
        <v>255</v>
      </c>
      <c r="V270" s="39">
        <v>3</v>
      </c>
      <c r="W270" s="29">
        <v>1284</v>
      </c>
      <c r="X270" s="29" t="s">
        <v>380</v>
      </c>
      <c r="Y270" s="29">
        <v>2</v>
      </c>
      <c r="Z270" s="30">
        <v>8.56</v>
      </c>
      <c r="AA270" s="136" t="s">
        <v>381</v>
      </c>
      <c r="AB270" s="136">
        <v>2</v>
      </c>
      <c r="AC270" s="122" t="s">
        <v>146</v>
      </c>
      <c r="AD270" s="31">
        <v>1.75</v>
      </c>
      <c r="AE270" s="122" t="s">
        <v>147</v>
      </c>
    </row>
    <row r="271" spans="1:31">
      <c r="A271" s="135">
        <v>2</v>
      </c>
      <c r="B271" s="38" t="s">
        <v>377</v>
      </c>
      <c r="C271" s="122">
        <v>2</v>
      </c>
      <c r="D271" s="122">
        <v>927</v>
      </c>
      <c r="E271" s="33" t="s">
        <v>382</v>
      </c>
      <c r="F271" s="34">
        <v>102</v>
      </c>
      <c r="G271" s="69">
        <v>927102</v>
      </c>
      <c r="H271" s="119">
        <v>17.010000000000002</v>
      </c>
      <c r="I271" s="100"/>
      <c r="J271" s="100">
        <v>17.010000000000002</v>
      </c>
      <c r="K271" s="22" t="s">
        <v>137</v>
      </c>
      <c r="L271" s="11" t="s">
        <v>138</v>
      </c>
      <c r="M271" s="23" t="s">
        <v>149</v>
      </c>
      <c r="N271" s="122" t="s">
        <v>255</v>
      </c>
      <c r="O271" s="122">
        <v>2</v>
      </c>
      <c r="P271" s="24" t="s">
        <v>379</v>
      </c>
      <c r="Q271" s="25">
        <v>25200</v>
      </c>
      <c r="R271" s="26" t="s">
        <v>142</v>
      </c>
      <c r="S271" s="27" t="s">
        <v>159</v>
      </c>
      <c r="T271" s="27" t="s">
        <v>160</v>
      </c>
      <c r="U271" s="124" t="s">
        <v>255</v>
      </c>
      <c r="V271" s="39">
        <v>3</v>
      </c>
      <c r="W271" s="29">
        <v>2551.5000000000005</v>
      </c>
      <c r="X271" s="29" t="s">
        <v>380</v>
      </c>
      <c r="Y271" s="29"/>
      <c r="Z271" s="30">
        <v>17.010000000000002</v>
      </c>
      <c r="AA271" s="136" t="s">
        <v>381</v>
      </c>
      <c r="AB271" s="136">
        <v>2</v>
      </c>
      <c r="AC271" s="21" t="s">
        <v>146</v>
      </c>
      <c r="AD271" s="31">
        <v>1.75</v>
      </c>
      <c r="AE271" s="32" t="s">
        <v>194</v>
      </c>
    </row>
    <row r="272" spans="1:31">
      <c r="A272" s="135">
        <v>2</v>
      </c>
      <c r="B272" s="38" t="s">
        <v>377</v>
      </c>
      <c r="C272" s="122">
        <v>3</v>
      </c>
      <c r="D272" s="122">
        <v>927</v>
      </c>
      <c r="E272" s="33">
        <v>807904</v>
      </c>
      <c r="F272" s="34">
        <v>103</v>
      </c>
      <c r="G272" s="69">
        <v>927103</v>
      </c>
      <c r="H272" s="119">
        <v>26.65</v>
      </c>
      <c r="I272" s="101"/>
      <c r="J272" s="100">
        <v>26.65</v>
      </c>
      <c r="K272" s="22" t="s">
        <v>137</v>
      </c>
      <c r="L272" s="11" t="s">
        <v>138</v>
      </c>
      <c r="M272" s="23" t="s">
        <v>149</v>
      </c>
      <c r="N272" s="122" t="s">
        <v>255</v>
      </c>
      <c r="O272" s="122">
        <v>2</v>
      </c>
      <c r="P272" s="24" t="s">
        <v>379</v>
      </c>
      <c r="Q272" s="25">
        <v>25200</v>
      </c>
      <c r="R272" s="26" t="s">
        <v>142</v>
      </c>
      <c r="S272" s="27" t="s">
        <v>159</v>
      </c>
      <c r="T272" s="27" t="s">
        <v>160</v>
      </c>
      <c r="U272" s="124" t="s">
        <v>255</v>
      </c>
      <c r="V272" s="39">
        <v>3</v>
      </c>
      <c r="W272" s="29">
        <v>3997.5</v>
      </c>
      <c r="X272" s="29" t="s">
        <v>380</v>
      </c>
      <c r="Y272" s="29"/>
      <c r="Z272" s="30">
        <v>26.65</v>
      </c>
      <c r="AA272" s="136" t="s">
        <v>381</v>
      </c>
      <c r="AB272" s="136">
        <v>2</v>
      </c>
      <c r="AC272" s="21" t="s">
        <v>146</v>
      </c>
      <c r="AD272" s="31">
        <v>1.75</v>
      </c>
      <c r="AE272" s="32" t="s">
        <v>194</v>
      </c>
    </row>
    <row r="273" spans="1:31">
      <c r="A273" s="135">
        <v>2</v>
      </c>
      <c r="B273" s="38" t="s">
        <v>377</v>
      </c>
      <c r="C273" s="122">
        <v>4</v>
      </c>
      <c r="D273" s="122">
        <v>927</v>
      </c>
      <c r="E273" s="33">
        <v>807903</v>
      </c>
      <c r="F273" s="34">
        <v>104</v>
      </c>
      <c r="G273" s="69">
        <v>927104</v>
      </c>
      <c r="H273" s="119">
        <v>19.100000000000001</v>
      </c>
      <c r="I273" s="101"/>
      <c r="J273" s="100">
        <v>19.100000000000001</v>
      </c>
      <c r="K273" s="22" t="s">
        <v>137</v>
      </c>
      <c r="L273" s="11" t="s">
        <v>138</v>
      </c>
      <c r="M273" s="23" t="s">
        <v>149</v>
      </c>
      <c r="N273" s="122" t="s">
        <v>255</v>
      </c>
      <c r="O273" s="122">
        <v>2</v>
      </c>
      <c r="P273" s="24" t="s">
        <v>379</v>
      </c>
      <c r="Q273" s="25">
        <v>25200</v>
      </c>
      <c r="R273" s="26" t="s">
        <v>142</v>
      </c>
      <c r="S273" s="27" t="s">
        <v>159</v>
      </c>
      <c r="T273" s="27" t="s">
        <v>160</v>
      </c>
      <c r="U273" s="124" t="s">
        <v>255</v>
      </c>
      <c r="V273" s="39">
        <v>3</v>
      </c>
      <c r="W273" s="29">
        <v>2865</v>
      </c>
      <c r="X273" s="29" t="s">
        <v>380</v>
      </c>
      <c r="Y273" s="29"/>
      <c r="Z273" s="30">
        <v>19.100000000000001</v>
      </c>
      <c r="AA273" s="136" t="s">
        <v>381</v>
      </c>
      <c r="AB273" s="136">
        <v>2</v>
      </c>
      <c r="AC273" s="21" t="s">
        <v>146</v>
      </c>
      <c r="AD273" s="31">
        <v>1.75</v>
      </c>
      <c r="AE273" s="32" t="s">
        <v>194</v>
      </c>
    </row>
    <row r="274" spans="1:31">
      <c r="A274" s="135">
        <v>2</v>
      </c>
      <c r="B274" s="38" t="s">
        <v>377</v>
      </c>
      <c r="C274" s="122">
        <v>5</v>
      </c>
      <c r="D274" s="122">
        <v>927</v>
      </c>
      <c r="E274" s="33">
        <v>807907</v>
      </c>
      <c r="F274" s="34">
        <v>105</v>
      </c>
      <c r="G274" s="69">
        <v>927105</v>
      </c>
      <c r="H274" s="119">
        <v>33.78</v>
      </c>
      <c r="I274" s="101">
        <v>33.78</v>
      </c>
      <c r="J274" s="100"/>
      <c r="K274" s="58" t="s">
        <v>148</v>
      </c>
      <c r="L274" s="6" t="s">
        <v>148</v>
      </c>
      <c r="M274" s="23" t="s">
        <v>149</v>
      </c>
      <c r="N274" s="122" t="s">
        <v>255</v>
      </c>
      <c r="O274" s="122">
        <v>2</v>
      </c>
      <c r="P274" s="24" t="s">
        <v>383</v>
      </c>
      <c r="Q274" s="25">
        <v>25200</v>
      </c>
      <c r="R274" s="26" t="s">
        <v>384</v>
      </c>
      <c r="S274" s="27" t="s">
        <v>385</v>
      </c>
      <c r="T274" s="27" t="s">
        <v>219</v>
      </c>
      <c r="U274" s="124" t="s">
        <v>255</v>
      </c>
      <c r="V274" s="39">
        <v>3</v>
      </c>
      <c r="W274" s="124"/>
      <c r="X274" s="124"/>
      <c r="Y274" s="124"/>
      <c r="Z274" s="124"/>
      <c r="AA274" s="40"/>
      <c r="AB274" s="40"/>
      <c r="AC274" s="21" t="s">
        <v>155</v>
      </c>
      <c r="AD274" s="31">
        <v>1.85</v>
      </c>
      <c r="AE274" s="32" t="s">
        <v>194</v>
      </c>
    </row>
    <row r="275" spans="1:31">
      <c r="A275" s="135">
        <v>2</v>
      </c>
      <c r="B275" s="38" t="s">
        <v>377</v>
      </c>
      <c r="C275" s="122">
        <v>6</v>
      </c>
      <c r="D275" s="122">
        <v>927</v>
      </c>
      <c r="E275" s="33">
        <v>807906</v>
      </c>
      <c r="F275" s="34">
        <v>106</v>
      </c>
      <c r="G275" s="69">
        <v>927106</v>
      </c>
      <c r="H275" s="119">
        <v>61.03</v>
      </c>
      <c r="I275" s="101"/>
      <c r="J275" s="100">
        <v>61.03</v>
      </c>
      <c r="K275" s="22" t="s">
        <v>137</v>
      </c>
      <c r="L275" s="11" t="s">
        <v>138</v>
      </c>
      <c r="M275" s="23" t="s">
        <v>245</v>
      </c>
      <c r="N275" s="122" t="s">
        <v>255</v>
      </c>
      <c r="O275" s="122">
        <v>2</v>
      </c>
      <c r="P275" s="24" t="s">
        <v>379</v>
      </c>
      <c r="Q275" s="25">
        <v>25200</v>
      </c>
      <c r="R275" s="26" t="s">
        <v>142</v>
      </c>
      <c r="S275" s="27" t="s">
        <v>159</v>
      </c>
      <c r="T275" s="27" t="s">
        <v>160</v>
      </c>
      <c r="U275" s="124" t="s">
        <v>255</v>
      </c>
      <c r="V275" s="39">
        <v>3</v>
      </c>
      <c r="W275" s="29">
        <v>9154.5</v>
      </c>
      <c r="X275" s="29" t="s">
        <v>380</v>
      </c>
      <c r="Y275" s="29"/>
      <c r="Z275" s="30">
        <v>61.03</v>
      </c>
      <c r="AA275" s="136" t="s">
        <v>381</v>
      </c>
      <c r="AB275" s="136">
        <v>2</v>
      </c>
      <c r="AC275" s="21" t="s">
        <v>155</v>
      </c>
      <c r="AD275" s="31">
        <v>1.85</v>
      </c>
      <c r="AE275" s="32" t="s">
        <v>194</v>
      </c>
    </row>
    <row r="276" spans="1:31">
      <c r="A276" s="135">
        <v>2</v>
      </c>
      <c r="B276" s="38" t="s">
        <v>377</v>
      </c>
      <c r="C276" s="122">
        <v>7</v>
      </c>
      <c r="D276" s="122">
        <v>927</v>
      </c>
      <c r="E276" s="33">
        <v>807914</v>
      </c>
      <c r="F276" s="34">
        <v>107</v>
      </c>
      <c r="G276" s="69">
        <v>927107</v>
      </c>
      <c r="H276" s="119">
        <v>18.86</v>
      </c>
      <c r="I276" s="100"/>
      <c r="J276" s="100">
        <v>18.86</v>
      </c>
      <c r="K276" s="22" t="s">
        <v>137</v>
      </c>
      <c r="L276" s="11" t="s">
        <v>138</v>
      </c>
      <c r="M276" s="23" t="s">
        <v>149</v>
      </c>
      <c r="N276" s="122" t="s">
        <v>255</v>
      </c>
      <c r="O276" s="122">
        <v>2</v>
      </c>
      <c r="P276" s="24" t="s">
        <v>379</v>
      </c>
      <c r="Q276" s="25">
        <v>25200</v>
      </c>
      <c r="R276" s="26" t="s">
        <v>142</v>
      </c>
      <c r="S276" s="27" t="s">
        <v>159</v>
      </c>
      <c r="T276" s="27" t="s">
        <v>160</v>
      </c>
      <c r="U276" s="124" t="s">
        <v>255</v>
      </c>
      <c r="V276" s="39">
        <v>3</v>
      </c>
      <c r="W276" s="29">
        <v>2829</v>
      </c>
      <c r="X276" s="29" t="s">
        <v>380</v>
      </c>
      <c r="Y276" s="29"/>
      <c r="Z276" s="30">
        <v>18.86</v>
      </c>
      <c r="AA276" s="136" t="s">
        <v>381</v>
      </c>
      <c r="AB276" s="136">
        <v>2</v>
      </c>
      <c r="AC276" s="21" t="s">
        <v>146</v>
      </c>
      <c r="AD276" s="31">
        <v>1.75</v>
      </c>
      <c r="AE276" s="32" t="s">
        <v>147</v>
      </c>
    </row>
    <row r="277" spans="1:31">
      <c r="A277" s="135">
        <v>2</v>
      </c>
      <c r="B277" s="38" t="s">
        <v>377</v>
      </c>
      <c r="C277" s="122">
        <v>8</v>
      </c>
      <c r="D277" s="122">
        <v>927</v>
      </c>
      <c r="E277" s="33">
        <v>807917</v>
      </c>
      <c r="F277" s="34">
        <v>108</v>
      </c>
      <c r="G277" s="69">
        <v>927108</v>
      </c>
      <c r="H277" s="119">
        <v>7.11</v>
      </c>
      <c r="I277" s="101"/>
      <c r="J277" s="100">
        <v>7.11</v>
      </c>
      <c r="K277" s="22" t="s">
        <v>172</v>
      </c>
      <c r="L277" s="23" t="s">
        <v>86</v>
      </c>
      <c r="M277" s="23" t="s">
        <v>165</v>
      </c>
      <c r="N277" s="122" t="s">
        <v>255</v>
      </c>
      <c r="O277" s="122">
        <v>2</v>
      </c>
      <c r="P277" s="24" t="s">
        <v>379</v>
      </c>
      <c r="Q277" s="25">
        <v>25200</v>
      </c>
      <c r="R277" s="26" t="s">
        <v>142</v>
      </c>
      <c r="S277" s="27" t="s">
        <v>159</v>
      </c>
      <c r="T277" s="27" t="s">
        <v>160</v>
      </c>
      <c r="U277" s="124" t="s">
        <v>255</v>
      </c>
      <c r="V277" s="39">
        <v>3</v>
      </c>
      <c r="W277" s="29">
        <v>1066.5</v>
      </c>
      <c r="X277" s="29" t="s">
        <v>380</v>
      </c>
      <c r="Y277" s="29"/>
      <c r="Z277" s="30">
        <v>7.11</v>
      </c>
      <c r="AA277" s="136" t="s">
        <v>381</v>
      </c>
      <c r="AB277" s="136">
        <v>2</v>
      </c>
      <c r="AC277" s="122" t="s">
        <v>155</v>
      </c>
      <c r="AD277" s="31">
        <v>1.85</v>
      </c>
      <c r="AE277" s="32" t="s">
        <v>147</v>
      </c>
    </row>
    <row r="278" spans="1:31">
      <c r="A278" s="135">
        <v>2</v>
      </c>
      <c r="B278" s="38" t="s">
        <v>377</v>
      </c>
      <c r="C278" s="122">
        <v>9</v>
      </c>
      <c r="D278" s="122">
        <v>927</v>
      </c>
      <c r="E278" s="33">
        <v>807918</v>
      </c>
      <c r="F278" s="34">
        <v>109</v>
      </c>
      <c r="G278" s="69">
        <v>927109</v>
      </c>
      <c r="H278" s="119">
        <v>18.34</v>
      </c>
      <c r="I278" s="100"/>
      <c r="J278" s="100">
        <v>18.34</v>
      </c>
      <c r="K278" s="22" t="s">
        <v>172</v>
      </c>
      <c r="L278" s="11" t="s">
        <v>86</v>
      </c>
      <c r="M278" s="23" t="s">
        <v>165</v>
      </c>
      <c r="N278" s="122" t="s">
        <v>140</v>
      </c>
      <c r="O278" s="122">
        <v>5</v>
      </c>
      <c r="P278" s="24" t="s">
        <v>386</v>
      </c>
      <c r="Q278" s="25">
        <v>14040</v>
      </c>
      <c r="R278" s="26" t="s">
        <v>142</v>
      </c>
      <c r="S278" s="27" t="s">
        <v>143</v>
      </c>
      <c r="T278" s="27" t="s">
        <v>160</v>
      </c>
      <c r="U278" s="124" t="s">
        <v>255</v>
      </c>
      <c r="V278" s="39">
        <v>4</v>
      </c>
      <c r="W278" s="29">
        <v>3668</v>
      </c>
      <c r="X278" s="29" t="s">
        <v>380</v>
      </c>
      <c r="Y278" s="29"/>
      <c r="Z278" s="30">
        <v>18.34</v>
      </c>
      <c r="AA278" s="136" t="s">
        <v>381</v>
      </c>
      <c r="AB278" s="136">
        <v>2</v>
      </c>
      <c r="AC278" s="122" t="s">
        <v>155</v>
      </c>
      <c r="AD278" s="31">
        <v>1.85</v>
      </c>
      <c r="AE278" s="32" t="s">
        <v>194</v>
      </c>
    </row>
    <row r="279" spans="1:31">
      <c r="A279" s="135">
        <v>2</v>
      </c>
      <c r="B279" s="38" t="s">
        <v>377</v>
      </c>
      <c r="C279" s="122">
        <v>10</v>
      </c>
      <c r="D279" s="122">
        <v>927</v>
      </c>
      <c r="E279" s="33">
        <v>807919</v>
      </c>
      <c r="F279" s="34">
        <v>110</v>
      </c>
      <c r="G279" s="69">
        <v>927110</v>
      </c>
      <c r="H279" s="119">
        <v>34.5</v>
      </c>
      <c r="I279" s="100"/>
      <c r="J279" s="100">
        <v>34.5</v>
      </c>
      <c r="K279" s="22" t="s">
        <v>172</v>
      </c>
      <c r="L279" s="11" t="s">
        <v>86</v>
      </c>
      <c r="M279" s="23" t="s">
        <v>149</v>
      </c>
      <c r="N279" s="122" t="s">
        <v>140</v>
      </c>
      <c r="O279" s="122">
        <v>5</v>
      </c>
      <c r="P279" s="24" t="s">
        <v>386</v>
      </c>
      <c r="Q279" s="25">
        <v>14040</v>
      </c>
      <c r="R279" s="26" t="s">
        <v>142</v>
      </c>
      <c r="S279" s="27" t="s">
        <v>143</v>
      </c>
      <c r="T279" s="27" t="s">
        <v>160</v>
      </c>
      <c r="U279" s="124" t="s">
        <v>255</v>
      </c>
      <c r="V279" s="39">
        <v>4</v>
      </c>
      <c r="W279" s="29">
        <v>6900</v>
      </c>
      <c r="X279" s="29" t="s">
        <v>380</v>
      </c>
      <c r="Y279" s="29"/>
      <c r="Z279" s="30">
        <v>34.5</v>
      </c>
      <c r="AA279" s="136" t="s">
        <v>381</v>
      </c>
      <c r="AB279" s="136">
        <v>2</v>
      </c>
      <c r="AC279" s="122" t="s">
        <v>155</v>
      </c>
      <c r="AD279" s="31">
        <v>1.85</v>
      </c>
      <c r="AE279" s="32" t="s">
        <v>194</v>
      </c>
    </row>
    <row r="280" spans="1:31">
      <c r="A280" s="135">
        <v>2</v>
      </c>
      <c r="B280" s="38" t="s">
        <v>377</v>
      </c>
      <c r="C280" s="122">
        <v>8</v>
      </c>
      <c r="D280" s="122">
        <v>927</v>
      </c>
      <c r="E280" s="33">
        <v>807930</v>
      </c>
      <c r="F280" s="34">
        <v>111</v>
      </c>
      <c r="G280" s="69">
        <v>927111</v>
      </c>
      <c r="H280" s="119">
        <v>9.33</v>
      </c>
      <c r="I280" s="101"/>
      <c r="J280" s="100">
        <v>9.33</v>
      </c>
      <c r="K280" s="22" t="s">
        <v>137</v>
      </c>
      <c r="L280" s="11" t="s">
        <v>138</v>
      </c>
      <c r="M280" s="23" t="s">
        <v>149</v>
      </c>
      <c r="N280" s="122" t="s">
        <v>255</v>
      </c>
      <c r="O280" s="122">
        <v>2</v>
      </c>
      <c r="P280" s="24" t="s">
        <v>386</v>
      </c>
      <c r="Q280" s="25">
        <v>14040</v>
      </c>
      <c r="R280" s="26" t="s">
        <v>142</v>
      </c>
      <c r="S280" s="27" t="s">
        <v>143</v>
      </c>
      <c r="T280" s="27" t="s">
        <v>160</v>
      </c>
      <c r="U280" s="124" t="s">
        <v>255</v>
      </c>
      <c r="V280" s="39">
        <v>4</v>
      </c>
      <c r="W280" s="29">
        <v>1866</v>
      </c>
      <c r="X280" s="29" t="s">
        <v>380</v>
      </c>
      <c r="Y280" s="29"/>
      <c r="Z280" s="30">
        <v>9.33</v>
      </c>
      <c r="AA280" s="136" t="s">
        <v>381</v>
      </c>
      <c r="AB280" s="136">
        <v>2</v>
      </c>
      <c r="AC280" s="21" t="s">
        <v>146</v>
      </c>
      <c r="AD280" s="31">
        <v>1.75</v>
      </c>
      <c r="AE280" s="32" t="s">
        <v>147</v>
      </c>
    </row>
    <row r="281" spans="1:31">
      <c r="A281" s="135">
        <v>2</v>
      </c>
      <c r="B281" s="38" t="s">
        <v>377</v>
      </c>
      <c r="C281" s="122">
        <v>9</v>
      </c>
      <c r="D281" s="122">
        <v>927</v>
      </c>
      <c r="E281" s="33">
        <v>807931</v>
      </c>
      <c r="F281" s="34">
        <v>112</v>
      </c>
      <c r="G281" s="69">
        <v>927112</v>
      </c>
      <c r="H281" s="119">
        <v>8.44</v>
      </c>
      <c r="I281" s="100"/>
      <c r="J281" s="101">
        <v>8.44</v>
      </c>
      <c r="K281" s="22" t="s">
        <v>137</v>
      </c>
      <c r="L281" s="11" t="s">
        <v>138</v>
      </c>
      <c r="M281" s="23" t="s">
        <v>149</v>
      </c>
      <c r="N281" s="122" t="s">
        <v>255</v>
      </c>
      <c r="O281" s="122">
        <v>2</v>
      </c>
      <c r="P281" s="24" t="s">
        <v>386</v>
      </c>
      <c r="Q281" s="25">
        <v>14040</v>
      </c>
      <c r="R281" s="26" t="s">
        <v>142</v>
      </c>
      <c r="S281" s="27" t="s">
        <v>143</v>
      </c>
      <c r="T281" s="27" t="s">
        <v>160</v>
      </c>
      <c r="U281" s="124" t="s">
        <v>255</v>
      </c>
      <c r="V281" s="39">
        <v>4</v>
      </c>
      <c r="W281" s="29">
        <v>1688</v>
      </c>
      <c r="X281" s="29" t="s">
        <v>380</v>
      </c>
      <c r="Y281" s="29"/>
      <c r="Z281" s="30">
        <v>8.44</v>
      </c>
      <c r="AA281" s="136" t="s">
        <v>381</v>
      </c>
      <c r="AB281" s="136">
        <v>2</v>
      </c>
      <c r="AC281" s="122" t="s">
        <v>155</v>
      </c>
      <c r="AD281" s="31">
        <v>0.85</v>
      </c>
      <c r="AE281" s="32" t="s">
        <v>147</v>
      </c>
    </row>
    <row r="282" spans="1:31">
      <c r="A282" s="135">
        <v>2</v>
      </c>
      <c r="B282" s="38" t="s">
        <v>377</v>
      </c>
      <c r="C282" s="122">
        <v>10</v>
      </c>
      <c r="D282" s="122">
        <v>927</v>
      </c>
      <c r="E282" s="33">
        <v>807922</v>
      </c>
      <c r="F282" s="34">
        <v>113</v>
      </c>
      <c r="G282" s="69">
        <v>927113</v>
      </c>
      <c r="H282" s="119">
        <v>4.0599999999999996</v>
      </c>
      <c r="I282" s="100"/>
      <c r="J282" s="101">
        <v>4.0599999999999996</v>
      </c>
      <c r="K282" s="22" t="s">
        <v>137</v>
      </c>
      <c r="L282" s="11" t="s">
        <v>138</v>
      </c>
      <c r="M282" s="23" t="s">
        <v>245</v>
      </c>
      <c r="N282" s="122" t="s">
        <v>140</v>
      </c>
      <c r="O282" s="122">
        <v>5</v>
      </c>
      <c r="P282" s="24" t="s">
        <v>387</v>
      </c>
      <c r="Q282" s="25">
        <v>22600</v>
      </c>
      <c r="R282" s="26" t="s">
        <v>142</v>
      </c>
      <c r="S282" s="27" t="s">
        <v>206</v>
      </c>
      <c r="T282" s="27" t="s">
        <v>160</v>
      </c>
      <c r="U282" s="124" t="s">
        <v>255</v>
      </c>
      <c r="V282" s="39">
        <v>2</v>
      </c>
      <c r="W282" s="29">
        <v>405.99999999999994</v>
      </c>
      <c r="X282" s="29" t="s">
        <v>380</v>
      </c>
      <c r="Y282" s="29"/>
      <c r="Z282" s="30">
        <v>4.0599999999999996</v>
      </c>
      <c r="AA282" s="136" t="s">
        <v>381</v>
      </c>
      <c r="AB282" s="136">
        <v>5</v>
      </c>
      <c r="AC282" s="122" t="s">
        <v>155</v>
      </c>
      <c r="AD282" s="31">
        <v>1.85</v>
      </c>
      <c r="AE282" s="32" t="s">
        <v>147</v>
      </c>
    </row>
    <row r="283" spans="1:31">
      <c r="A283" s="135">
        <v>2</v>
      </c>
      <c r="B283" s="38" t="s">
        <v>377</v>
      </c>
      <c r="C283" s="122">
        <v>11</v>
      </c>
      <c r="D283" s="122">
        <v>927</v>
      </c>
      <c r="E283" s="33">
        <v>807923</v>
      </c>
      <c r="F283" s="34">
        <v>114</v>
      </c>
      <c r="G283" s="69">
        <v>927114</v>
      </c>
      <c r="H283" s="119">
        <v>24.69</v>
      </c>
      <c r="I283" s="101"/>
      <c r="J283" s="101">
        <v>24.69</v>
      </c>
      <c r="K283" s="125" t="s">
        <v>137</v>
      </c>
      <c r="L283" s="11" t="s">
        <v>138</v>
      </c>
      <c r="M283" s="23" t="s">
        <v>245</v>
      </c>
      <c r="N283" s="122" t="s">
        <v>140</v>
      </c>
      <c r="O283" s="122">
        <v>5</v>
      </c>
      <c r="P283" s="24" t="s">
        <v>388</v>
      </c>
      <c r="Q283" s="25">
        <v>22600</v>
      </c>
      <c r="R283" s="26" t="s">
        <v>389</v>
      </c>
      <c r="S283" s="27" t="s">
        <v>206</v>
      </c>
      <c r="T283" s="27" t="s">
        <v>390</v>
      </c>
      <c r="U283" s="124" t="s">
        <v>140</v>
      </c>
      <c r="V283" s="39">
        <v>6</v>
      </c>
      <c r="W283" s="29">
        <v>7407</v>
      </c>
      <c r="X283" s="29" t="s">
        <v>380</v>
      </c>
      <c r="Y283" s="29"/>
      <c r="Z283" s="30">
        <v>24.69</v>
      </c>
      <c r="AA283" s="136" t="s">
        <v>381</v>
      </c>
      <c r="AB283" s="136">
        <v>5</v>
      </c>
      <c r="AC283" s="122" t="s">
        <v>155</v>
      </c>
      <c r="AD283" s="31">
        <v>1.85</v>
      </c>
      <c r="AE283" s="32" t="s">
        <v>147</v>
      </c>
    </row>
    <row r="284" spans="1:31">
      <c r="A284" s="135">
        <v>2</v>
      </c>
      <c r="B284" s="38" t="s">
        <v>377</v>
      </c>
      <c r="C284" s="122">
        <v>12</v>
      </c>
      <c r="D284" s="122">
        <v>927</v>
      </c>
      <c r="E284" s="33">
        <v>807925</v>
      </c>
      <c r="F284" s="34">
        <v>115</v>
      </c>
      <c r="G284" s="69">
        <v>927115</v>
      </c>
      <c r="H284" s="119">
        <v>19</v>
      </c>
      <c r="I284" s="101"/>
      <c r="J284" s="101">
        <v>19</v>
      </c>
      <c r="K284" s="125" t="s">
        <v>137</v>
      </c>
      <c r="L284" s="11" t="s">
        <v>138</v>
      </c>
      <c r="M284" s="23" t="s">
        <v>245</v>
      </c>
      <c r="N284" s="122" t="s">
        <v>140</v>
      </c>
      <c r="O284" s="122">
        <v>5</v>
      </c>
      <c r="P284" s="24" t="s">
        <v>388</v>
      </c>
      <c r="Q284" s="25">
        <v>22600</v>
      </c>
      <c r="R284" s="26" t="s">
        <v>389</v>
      </c>
      <c r="S284" s="27" t="s">
        <v>214</v>
      </c>
      <c r="T284" s="27" t="s">
        <v>390</v>
      </c>
      <c r="U284" s="124" t="s">
        <v>140</v>
      </c>
      <c r="V284" s="39">
        <v>6</v>
      </c>
      <c r="W284" s="29">
        <v>5700</v>
      </c>
      <c r="X284" s="29" t="s">
        <v>380</v>
      </c>
      <c r="Y284" s="29"/>
      <c r="Z284" s="30">
        <v>19</v>
      </c>
      <c r="AA284" s="136" t="s">
        <v>381</v>
      </c>
      <c r="AB284" s="136">
        <v>5</v>
      </c>
      <c r="AC284" s="122" t="s">
        <v>155</v>
      </c>
      <c r="AD284" s="32">
        <v>1.85</v>
      </c>
      <c r="AE284" s="32" t="s">
        <v>147</v>
      </c>
    </row>
    <row r="285" spans="1:31">
      <c r="A285" s="135">
        <v>2</v>
      </c>
      <c r="B285" s="38" t="s">
        <v>377</v>
      </c>
      <c r="C285" s="122">
        <v>13</v>
      </c>
      <c r="D285" s="122">
        <v>927</v>
      </c>
      <c r="E285" s="33">
        <v>807926</v>
      </c>
      <c r="F285" s="34">
        <v>116</v>
      </c>
      <c r="G285" s="69">
        <v>927116</v>
      </c>
      <c r="H285" s="119">
        <v>53.09</v>
      </c>
      <c r="I285" s="100">
        <v>53.09</v>
      </c>
      <c r="J285" s="101"/>
      <c r="K285" s="58" t="s">
        <v>148</v>
      </c>
      <c r="L285" s="6" t="s">
        <v>148</v>
      </c>
      <c r="M285" s="23" t="s">
        <v>149</v>
      </c>
      <c r="N285" s="122" t="s">
        <v>140</v>
      </c>
      <c r="O285" s="122">
        <v>5</v>
      </c>
      <c r="P285" s="24" t="s">
        <v>391</v>
      </c>
      <c r="Q285" s="25">
        <v>22600</v>
      </c>
      <c r="R285" s="26" t="s">
        <v>389</v>
      </c>
      <c r="S285" s="27" t="s">
        <v>206</v>
      </c>
      <c r="T285" s="27" t="s">
        <v>390</v>
      </c>
      <c r="U285" s="124" t="s">
        <v>140</v>
      </c>
      <c r="V285" s="39">
        <v>6</v>
      </c>
      <c r="W285" s="124"/>
      <c r="X285" s="29"/>
      <c r="Y285" s="29"/>
      <c r="Z285" s="124"/>
      <c r="AA285" s="40"/>
      <c r="AB285" s="40"/>
      <c r="AC285" s="122" t="s">
        <v>155</v>
      </c>
      <c r="AD285" s="31">
        <v>1.85</v>
      </c>
      <c r="AE285" s="32" t="s">
        <v>147</v>
      </c>
    </row>
    <row r="286" spans="1:31">
      <c r="A286" s="135">
        <v>2</v>
      </c>
      <c r="B286" s="38" t="s">
        <v>377</v>
      </c>
      <c r="C286" s="122">
        <v>14</v>
      </c>
      <c r="D286" s="122">
        <v>927</v>
      </c>
      <c r="E286" s="33">
        <v>807927</v>
      </c>
      <c r="F286" s="34">
        <v>117</v>
      </c>
      <c r="G286" s="69">
        <v>927117</v>
      </c>
      <c r="H286" s="119">
        <v>17.14</v>
      </c>
      <c r="I286" s="100"/>
      <c r="J286" s="101">
        <v>17.14</v>
      </c>
      <c r="K286" s="125" t="s">
        <v>137</v>
      </c>
      <c r="L286" s="11" t="s">
        <v>138</v>
      </c>
      <c r="M286" s="23" t="s">
        <v>245</v>
      </c>
      <c r="N286" s="122" t="s">
        <v>140</v>
      </c>
      <c r="O286" s="122">
        <v>5</v>
      </c>
      <c r="P286" s="24" t="s">
        <v>387</v>
      </c>
      <c r="Q286" s="25">
        <v>22600</v>
      </c>
      <c r="R286" s="26" t="s">
        <v>142</v>
      </c>
      <c r="S286" s="27" t="s">
        <v>206</v>
      </c>
      <c r="T286" s="27" t="s">
        <v>390</v>
      </c>
      <c r="U286" s="124" t="s">
        <v>255</v>
      </c>
      <c r="V286" s="39">
        <v>4</v>
      </c>
      <c r="W286" s="29">
        <v>3428</v>
      </c>
      <c r="X286" s="29" t="s">
        <v>380</v>
      </c>
      <c r="Y286" s="29"/>
      <c r="Z286" s="30">
        <v>17.14</v>
      </c>
      <c r="AA286" s="136" t="s">
        <v>381</v>
      </c>
      <c r="AB286" s="136">
        <v>5</v>
      </c>
      <c r="AC286" s="122" t="s">
        <v>155</v>
      </c>
      <c r="AD286" s="31">
        <v>1.85</v>
      </c>
      <c r="AE286" s="32" t="s">
        <v>147</v>
      </c>
    </row>
    <row r="287" spans="1:31">
      <c r="A287" s="135">
        <v>2</v>
      </c>
      <c r="B287" s="38" t="s">
        <v>377</v>
      </c>
      <c r="C287" s="122">
        <v>15</v>
      </c>
      <c r="D287" s="122">
        <v>927</v>
      </c>
      <c r="E287" s="33" t="s">
        <v>392</v>
      </c>
      <c r="F287" s="34">
        <v>118</v>
      </c>
      <c r="G287" s="69">
        <v>927118</v>
      </c>
      <c r="H287" s="119">
        <v>30.54</v>
      </c>
      <c r="I287" s="100"/>
      <c r="J287" s="101">
        <v>30.54</v>
      </c>
      <c r="K287" s="125" t="s">
        <v>137</v>
      </c>
      <c r="L287" s="11" t="s">
        <v>138</v>
      </c>
      <c r="M287" s="23" t="s">
        <v>245</v>
      </c>
      <c r="N287" s="122" t="s">
        <v>140</v>
      </c>
      <c r="O287" s="122">
        <v>5</v>
      </c>
      <c r="P287" s="24" t="s">
        <v>387</v>
      </c>
      <c r="Q287" s="25">
        <v>22600</v>
      </c>
      <c r="R287" s="26" t="s">
        <v>142</v>
      </c>
      <c r="S287" s="27" t="s">
        <v>206</v>
      </c>
      <c r="T287" s="27" t="s">
        <v>390</v>
      </c>
      <c r="U287" s="124" t="s">
        <v>255</v>
      </c>
      <c r="V287" s="39">
        <v>4</v>
      </c>
      <c r="W287" s="29">
        <v>6108</v>
      </c>
      <c r="X287" s="29" t="s">
        <v>380</v>
      </c>
      <c r="Y287" s="29"/>
      <c r="Z287" s="30">
        <v>30.54</v>
      </c>
      <c r="AA287" s="136" t="s">
        <v>381</v>
      </c>
      <c r="AB287" s="136">
        <v>5</v>
      </c>
      <c r="AC287" s="122" t="s">
        <v>155</v>
      </c>
      <c r="AD287" s="31">
        <v>1.85</v>
      </c>
      <c r="AE287" s="32" t="s">
        <v>147</v>
      </c>
    </row>
    <row r="288" spans="1:31">
      <c r="A288" s="135">
        <v>2</v>
      </c>
      <c r="B288" s="38" t="s">
        <v>377</v>
      </c>
      <c r="C288" s="122">
        <v>16</v>
      </c>
      <c r="D288" s="122">
        <v>927</v>
      </c>
      <c r="E288" s="33">
        <v>807933</v>
      </c>
      <c r="F288" s="34">
        <v>119</v>
      </c>
      <c r="G288" s="69">
        <v>927119</v>
      </c>
      <c r="H288" s="119">
        <v>18.52</v>
      </c>
      <c r="I288" s="100"/>
      <c r="J288" s="101">
        <v>18.52</v>
      </c>
      <c r="K288" s="22" t="s">
        <v>137</v>
      </c>
      <c r="L288" s="11" t="s">
        <v>138</v>
      </c>
      <c r="M288" s="23" t="s">
        <v>245</v>
      </c>
      <c r="N288" s="122" t="s">
        <v>140</v>
      </c>
      <c r="O288" s="122">
        <v>5</v>
      </c>
      <c r="P288" s="24" t="s">
        <v>387</v>
      </c>
      <c r="Q288" s="25">
        <v>22600</v>
      </c>
      <c r="R288" s="26" t="s">
        <v>142</v>
      </c>
      <c r="S288" s="27" t="s">
        <v>206</v>
      </c>
      <c r="T288" s="27" t="s">
        <v>390</v>
      </c>
      <c r="U288" s="124" t="s">
        <v>255</v>
      </c>
      <c r="V288" s="39">
        <v>4</v>
      </c>
      <c r="W288" s="29">
        <v>3704</v>
      </c>
      <c r="X288" s="29" t="s">
        <v>380</v>
      </c>
      <c r="Y288" s="29"/>
      <c r="Z288" s="30">
        <v>18.52</v>
      </c>
      <c r="AA288" s="136" t="s">
        <v>381</v>
      </c>
      <c r="AB288" s="136">
        <v>5</v>
      </c>
      <c r="AC288" s="122" t="s">
        <v>155</v>
      </c>
      <c r="AD288" s="31">
        <v>1.85</v>
      </c>
      <c r="AE288" s="32" t="s">
        <v>147</v>
      </c>
    </row>
    <row r="289" spans="1:31">
      <c r="A289" s="135">
        <v>2</v>
      </c>
      <c r="B289" s="38" t="s">
        <v>377</v>
      </c>
      <c r="C289" s="122">
        <v>17</v>
      </c>
      <c r="D289" s="122">
        <v>927</v>
      </c>
      <c r="E289" s="33">
        <v>807934</v>
      </c>
      <c r="F289" s="34">
        <v>120</v>
      </c>
      <c r="G289" s="69">
        <v>927120</v>
      </c>
      <c r="H289" s="119">
        <v>18.239999999999998</v>
      </c>
      <c r="I289" s="101"/>
      <c r="J289" s="100">
        <v>18.239999999999998</v>
      </c>
      <c r="K289" s="22" t="s">
        <v>170</v>
      </c>
      <c r="L289" s="11" t="s">
        <v>86</v>
      </c>
      <c r="M289" s="23" t="s">
        <v>178</v>
      </c>
      <c r="N289" s="122" t="s">
        <v>140</v>
      </c>
      <c r="O289" s="122">
        <v>5</v>
      </c>
      <c r="P289" s="24" t="s">
        <v>387</v>
      </c>
      <c r="Q289" s="25">
        <v>22600</v>
      </c>
      <c r="R289" s="26" t="s">
        <v>142</v>
      </c>
      <c r="S289" s="27" t="s">
        <v>206</v>
      </c>
      <c r="T289" s="27" t="s">
        <v>160</v>
      </c>
      <c r="U289" s="124" t="s">
        <v>255</v>
      </c>
      <c r="V289" s="39">
        <v>2</v>
      </c>
      <c r="W289" s="29">
        <v>1823.9999999999998</v>
      </c>
      <c r="X289" s="29" t="s">
        <v>380</v>
      </c>
      <c r="Y289" s="29"/>
      <c r="Z289" s="30">
        <v>18.239999999999998</v>
      </c>
      <c r="AA289" s="136" t="s">
        <v>381</v>
      </c>
      <c r="AB289" s="136">
        <v>5</v>
      </c>
      <c r="AC289" s="21" t="s">
        <v>155</v>
      </c>
      <c r="AD289" s="31">
        <v>1.85</v>
      </c>
      <c r="AE289" s="32" t="s">
        <v>147</v>
      </c>
    </row>
    <row r="290" spans="1:31">
      <c r="A290" s="135">
        <v>2</v>
      </c>
      <c r="B290" s="38" t="s">
        <v>377</v>
      </c>
      <c r="C290" s="122">
        <v>18</v>
      </c>
      <c r="D290" s="122">
        <v>927</v>
      </c>
      <c r="E290" s="33">
        <v>807935</v>
      </c>
      <c r="F290" s="34">
        <v>121</v>
      </c>
      <c r="G290" s="34">
        <v>927121</v>
      </c>
      <c r="H290" s="119">
        <v>20.55</v>
      </c>
      <c r="I290" s="100"/>
      <c r="J290" s="100">
        <v>20.55</v>
      </c>
      <c r="K290" s="22" t="s">
        <v>170</v>
      </c>
      <c r="L290" s="11" t="s">
        <v>86</v>
      </c>
      <c r="M290" s="23" t="s">
        <v>393</v>
      </c>
      <c r="N290" s="122" t="s">
        <v>255</v>
      </c>
      <c r="O290" s="122">
        <v>2</v>
      </c>
      <c r="P290" s="24" t="s">
        <v>387</v>
      </c>
      <c r="Q290" s="25">
        <v>22600</v>
      </c>
      <c r="R290" s="26" t="s">
        <v>142</v>
      </c>
      <c r="S290" s="27" t="s">
        <v>206</v>
      </c>
      <c r="T290" s="27" t="s">
        <v>160</v>
      </c>
      <c r="U290" s="124" t="s">
        <v>255</v>
      </c>
      <c r="V290" s="39">
        <v>2</v>
      </c>
      <c r="W290" s="29">
        <v>2055</v>
      </c>
      <c r="X290" s="29" t="s">
        <v>380</v>
      </c>
      <c r="Y290" s="29"/>
      <c r="Z290" s="30">
        <v>20.55</v>
      </c>
      <c r="AA290" s="136" t="s">
        <v>381</v>
      </c>
      <c r="AB290" s="136">
        <v>5</v>
      </c>
      <c r="AC290" s="21" t="s">
        <v>155</v>
      </c>
      <c r="AD290" s="31">
        <v>1.85</v>
      </c>
      <c r="AE290" s="32" t="s">
        <v>147</v>
      </c>
    </row>
    <row r="291" spans="1:31">
      <c r="A291" s="135">
        <v>2</v>
      </c>
      <c r="B291" s="38" t="s">
        <v>377</v>
      </c>
      <c r="C291" s="122">
        <v>19</v>
      </c>
      <c r="D291" s="122">
        <v>927</v>
      </c>
      <c r="E291" s="33">
        <v>807939</v>
      </c>
      <c r="F291" s="34">
        <v>122</v>
      </c>
      <c r="G291" s="34">
        <v>927122</v>
      </c>
      <c r="H291" s="119">
        <v>13.17</v>
      </c>
      <c r="I291" s="100">
        <v>13.17</v>
      </c>
      <c r="J291" s="100"/>
      <c r="K291" s="22" t="s">
        <v>148</v>
      </c>
      <c r="L291" s="22" t="s">
        <v>148</v>
      </c>
      <c r="M291" s="23" t="s">
        <v>149</v>
      </c>
      <c r="N291" s="122" t="s">
        <v>140</v>
      </c>
      <c r="O291" s="122"/>
      <c r="P291" s="24" t="s">
        <v>394</v>
      </c>
      <c r="Q291" s="25" t="s">
        <v>395</v>
      </c>
      <c r="R291" s="26" t="s">
        <v>142</v>
      </c>
      <c r="S291" s="27" t="s">
        <v>159</v>
      </c>
      <c r="T291" s="27" t="s">
        <v>219</v>
      </c>
      <c r="U291" s="124" t="s">
        <v>255</v>
      </c>
      <c r="V291" s="39">
        <v>2</v>
      </c>
      <c r="W291" s="124"/>
      <c r="X291" s="29"/>
      <c r="Y291" s="29"/>
      <c r="Z291" s="124"/>
      <c r="AA291" s="136" t="s">
        <v>381</v>
      </c>
      <c r="AB291" s="136"/>
      <c r="AC291" s="21" t="s">
        <v>155</v>
      </c>
      <c r="AD291" s="31">
        <v>1.85</v>
      </c>
      <c r="AE291" s="32" t="s">
        <v>147</v>
      </c>
    </row>
    <row r="292" spans="1:31">
      <c r="A292" s="135">
        <v>2</v>
      </c>
      <c r="B292" s="38" t="s">
        <v>377</v>
      </c>
      <c r="C292" s="122">
        <v>20</v>
      </c>
      <c r="D292" s="122">
        <v>927</v>
      </c>
      <c r="E292" s="33">
        <v>807940</v>
      </c>
      <c r="F292" s="34">
        <v>123</v>
      </c>
      <c r="G292" s="34">
        <v>927123</v>
      </c>
      <c r="H292" s="119">
        <v>26.47</v>
      </c>
      <c r="I292" s="100">
        <v>26.47</v>
      </c>
      <c r="J292" s="100"/>
      <c r="K292" s="22" t="s">
        <v>148</v>
      </c>
      <c r="L292" s="22" t="s">
        <v>148</v>
      </c>
      <c r="M292" s="23" t="s">
        <v>149</v>
      </c>
      <c r="N292" s="122" t="s">
        <v>140</v>
      </c>
      <c r="O292" s="122"/>
      <c r="P292" s="24" t="s">
        <v>324</v>
      </c>
      <c r="Q292" s="25">
        <v>9600</v>
      </c>
      <c r="R292" s="26" t="s">
        <v>142</v>
      </c>
      <c r="S292" s="27" t="s">
        <v>159</v>
      </c>
      <c r="T292" s="27" t="s">
        <v>219</v>
      </c>
      <c r="U292" s="124" t="s">
        <v>140</v>
      </c>
      <c r="V292" s="39">
        <v>7</v>
      </c>
      <c r="W292" s="70"/>
      <c r="X292" s="29"/>
      <c r="Y292" s="29"/>
      <c r="Z292" s="70"/>
      <c r="AA292" s="7"/>
      <c r="AB292" s="7"/>
      <c r="AC292" s="21" t="s">
        <v>155</v>
      </c>
      <c r="AD292" s="31">
        <v>1.85</v>
      </c>
      <c r="AE292" s="32" t="s">
        <v>147</v>
      </c>
    </row>
    <row r="293" spans="1:31">
      <c r="A293" s="135">
        <v>2</v>
      </c>
      <c r="B293" s="38" t="s">
        <v>377</v>
      </c>
      <c r="C293" s="122">
        <v>21</v>
      </c>
      <c r="D293" s="122">
        <v>927</v>
      </c>
      <c r="E293" s="33">
        <v>807945</v>
      </c>
      <c r="F293" s="34">
        <v>124</v>
      </c>
      <c r="G293" s="34">
        <v>927124</v>
      </c>
      <c r="H293" s="119">
        <v>14.24</v>
      </c>
      <c r="I293" s="100"/>
      <c r="J293" s="100">
        <v>14.24</v>
      </c>
      <c r="K293" s="22" t="s">
        <v>172</v>
      </c>
      <c r="L293" s="11" t="s">
        <v>86</v>
      </c>
      <c r="M293" s="23" t="s">
        <v>178</v>
      </c>
      <c r="N293" s="122" t="s">
        <v>255</v>
      </c>
      <c r="O293" s="122">
        <v>2</v>
      </c>
      <c r="P293" s="24" t="s">
        <v>396</v>
      </c>
      <c r="Q293" s="25">
        <v>5760</v>
      </c>
      <c r="R293" s="26" t="s">
        <v>142</v>
      </c>
      <c r="S293" s="27" t="s">
        <v>143</v>
      </c>
      <c r="T293" s="27" t="s">
        <v>160</v>
      </c>
      <c r="U293" s="124" t="s">
        <v>140</v>
      </c>
      <c r="V293" s="39">
        <v>8</v>
      </c>
      <c r="W293" s="29">
        <v>5696</v>
      </c>
      <c r="X293" s="29" t="s">
        <v>380</v>
      </c>
      <c r="Y293" s="29"/>
      <c r="Z293" s="30">
        <v>14.24</v>
      </c>
      <c r="AA293" s="136" t="s">
        <v>381</v>
      </c>
      <c r="AB293" s="136">
        <v>2</v>
      </c>
      <c r="AC293" s="21" t="s">
        <v>155</v>
      </c>
      <c r="AD293" s="31">
        <v>1.85</v>
      </c>
      <c r="AE293" s="32" t="s">
        <v>147</v>
      </c>
    </row>
    <row r="294" spans="1:31">
      <c r="A294" s="135">
        <v>2</v>
      </c>
      <c r="B294" s="38" t="s">
        <v>377</v>
      </c>
      <c r="C294" s="122">
        <v>22</v>
      </c>
      <c r="D294" s="122">
        <v>927</v>
      </c>
      <c r="E294" s="33">
        <v>807946</v>
      </c>
      <c r="F294" s="34">
        <v>125</v>
      </c>
      <c r="G294" s="34">
        <v>927125</v>
      </c>
      <c r="H294" s="119">
        <v>26.4</v>
      </c>
      <c r="I294" s="101"/>
      <c r="J294" s="107">
        <v>26.4</v>
      </c>
      <c r="K294" s="22" t="s">
        <v>172</v>
      </c>
      <c r="L294" s="11" t="s">
        <v>86</v>
      </c>
      <c r="M294" s="23" t="s">
        <v>149</v>
      </c>
      <c r="N294" s="122" t="s">
        <v>255</v>
      </c>
      <c r="O294" s="122">
        <v>2</v>
      </c>
      <c r="P294" s="24" t="s">
        <v>326</v>
      </c>
      <c r="Q294" s="25">
        <v>9600</v>
      </c>
      <c r="R294" s="26"/>
      <c r="S294" s="27" t="s">
        <v>385</v>
      </c>
      <c r="T294" s="27" t="s">
        <v>160</v>
      </c>
      <c r="U294" s="124" t="s">
        <v>140</v>
      </c>
      <c r="V294" s="39">
        <v>7</v>
      </c>
      <c r="W294" s="29">
        <v>9240</v>
      </c>
      <c r="X294" s="29" t="s">
        <v>380</v>
      </c>
      <c r="Y294" s="29"/>
      <c r="Z294" s="30">
        <v>26.4</v>
      </c>
      <c r="AA294" s="136" t="s">
        <v>381</v>
      </c>
      <c r="AB294" s="136">
        <v>2</v>
      </c>
      <c r="AC294" s="21" t="s">
        <v>155</v>
      </c>
      <c r="AD294" s="31">
        <v>1.85</v>
      </c>
      <c r="AE294" s="32" t="s">
        <v>147</v>
      </c>
    </row>
    <row r="295" spans="1:31">
      <c r="A295" s="135">
        <v>2</v>
      </c>
      <c r="B295" s="38" t="s">
        <v>377</v>
      </c>
      <c r="C295" s="122">
        <v>23</v>
      </c>
      <c r="D295" s="122">
        <v>927</v>
      </c>
      <c r="E295" s="33">
        <v>807947</v>
      </c>
      <c r="F295" s="34">
        <v>126</v>
      </c>
      <c r="G295" s="34">
        <v>927126</v>
      </c>
      <c r="H295" s="119">
        <v>28.41</v>
      </c>
      <c r="I295" s="100"/>
      <c r="J295" s="107">
        <v>28.41</v>
      </c>
      <c r="K295" s="125" t="s">
        <v>137</v>
      </c>
      <c r="L295" s="11" t="s">
        <v>138</v>
      </c>
      <c r="M295" s="23" t="s">
        <v>397</v>
      </c>
      <c r="N295" s="122" t="s">
        <v>140</v>
      </c>
      <c r="O295" s="122">
        <v>5</v>
      </c>
      <c r="P295" s="24" t="s">
        <v>327</v>
      </c>
      <c r="Q295" s="25">
        <v>9600</v>
      </c>
      <c r="R295" s="26"/>
      <c r="S295" s="27" t="s">
        <v>385</v>
      </c>
      <c r="T295" s="27" t="s">
        <v>160</v>
      </c>
      <c r="U295" s="124" t="s">
        <v>140</v>
      </c>
      <c r="V295" s="39">
        <v>6</v>
      </c>
      <c r="W295" s="29">
        <v>8523</v>
      </c>
      <c r="X295" s="29" t="s">
        <v>380</v>
      </c>
      <c r="Y295" s="29"/>
      <c r="Z295" s="30">
        <v>28.41</v>
      </c>
      <c r="AA295" s="136" t="s">
        <v>381</v>
      </c>
      <c r="AB295" s="136">
        <v>2</v>
      </c>
      <c r="AC295" s="21" t="s">
        <v>155</v>
      </c>
      <c r="AD295" s="31">
        <v>1.85</v>
      </c>
      <c r="AE295" s="32" t="s">
        <v>147</v>
      </c>
    </row>
    <row r="296" spans="1:31">
      <c r="A296" s="135">
        <v>2</v>
      </c>
      <c r="B296" s="38" t="s">
        <v>377</v>
      </c>
      <c r="C296" s="122">
        <v>24</v>
      </c>
      <c r="D296" s="122">
        <v>927</v>
      </c>
      <c r="E296" s="33" t="s">
        <v>78</v>
      </c>
      <c r="F296" s="34">
        <v>127</v>
      </c>
      <c r="G296" s="34">
        <v>927127</v>
      </c>
      <c r="H296" s="119">
        <v>14.22</v>
      </c>
      <c r="I296" s="100"/>
      <c r="J296" s="107">
        <v>14.22</v>
      </c>
      <c r="K296" s="125" t="s">
        <v>137</v>
      </c>
      <c r="L296" s="11" t="s">
        <v>138</v>
      </c>
      <c r="M296" s="23" t="s">
        <v>149</v>
      </c>
      <c r="N296" s="122" t="s">
        <v>255</v>
      </c>
      <c r="O296" s="122">
        <v>2</v>
      </c>
      <c r="P296" s="24" t="s">
        <v>398</v>
      </c>
      <c r="Q296" s="25">
        <v>9600</v>
      </c>
      <c r="R296" s="26"/>
      <c r="S296" s="27" t="s">
        <v>312</v>
      </c>
      <c r="T296" s="27" t="s">
        <v>160</v>
      </c>
      <c r="U296" s="70" t="s">
        <v>140</v>
      </c>
      <c r="V296" s="39">
        <v>13</v>
      </c>
      <c r="W296" s="29">
        <v>9243</v>
      </c>
      <c r="X296" s="29" t="s">
        <v>380</v>
      </c>
      <c r="Y296" s="29"/>
      <c r="Z296" s="30">
        <v>14.22</v>
      </c>
      <c r="AA296" s="136" t="s">
        <v>381</v>
      </c>
      <c r="AB296" s="136">
        <v>7</v>
      </c>
      <c r="AC296" s="21" t="s">
        <v>146</v>
      </c>
      <c r="AD296" s="31">
        <v>1.75</v>
      </c>
      <c r="AE296" s="32" t="s">
        <v>147</v>
      </c>
    </row>
    <row r="297" spans="1:31">
      <c r="A297" s="135">
        <v>2</v>
      </c>
      <c r="B297" s="38" t="s">
        <v>377</v>
      </c>
      <c r="C297" s="122">
        <v>25</v>
      </c>
      <c r="D297" s="122">
        <v>927</v>
      </c>
      <c r="E297" s="33">
        <v>807949</v>
      </c>
      <c r="F297" s="34">
        <v>128</v>
      </c>
      <c r="G297" s="34">
        <v>927128</v>
      </c>
      <c r="H297" s="119">
        <v>4.87</v>
      </c>
      <c r="I297" s="100"/>
      <c r="J297" s="100">
        <v>4.87</v>
      </c>
      <c r="K297" s="125" t="s">
        <v>137</v>
      </c>
      <c r="L297" s="11" t="s">
        <v>138</v>
      </c>
      <c r="M297" s="23" t="s">
        <v>399</v>
      </c>
      <c r="N297" s="122" t="s">
        <v>140</v>
      </c>
      <c r="O297" s="122">
        <v>5</v>
      </c>
      <c r="P297" s="24" t="s">
        <v>400</v>
      </c>
      <c r="Q297" s="25"/>
      <c r="R297" s="26"/>
      <c r="S297" s="27" t="s">
        <v>159</v>
      </c>
      <c r="T297" s="27" t="s">
        <v>160</v>
      </c>
      <c r="U297" s="124" t="s">
        <v>255</v>
      </c>
      <c r="V297" s="39">
        <v>2</v>
      </c>
      <c r="W297" s="29">
        <v>487</v>
      </c>
      <c r="X297" s="29" t="s">
        <v>380</v>
      </c>
      <c r="Y297" s="29"/>
      <c r="Z297" s="30">
        <v>4.87</v>
      </c>
      <c r="AA297" s="136" t="s">
        <v>381</v>
      </c>
      <c r="AB297" s="136">
        <v>2</v>
      </c>
      <c r="AC297" s="21" t="s">
        <v>155</v>
      </c>
      <c r="AD297" s="31">
        <v>1.85</v>
      </c>
      <c r="AE297" s="32" t="s">
        <v>147</v>
      </c>
    </row>
    <row r="298" spans="1:31">
      <c r="A298" s="135">
        <v>2</v>
      </c>
      <c r="B298" s="38" t="s">
        <v>401</v>
      </c>
      <c r="C298" s="122">
        <v>1</v>
      </c>
      <c r="D298" s="122">
        <v>900</v>
      </c>
      <c r="E298" s="33">
        <v>117</v>
      </c>
      <c r="F298" s="34">
        <v>101</v>
      </c>
      <c r="G298" s="34">
        <v>900101</v>
      </c>
      <c r="H298" s="119">
        <v>24.43</v>
      </c>
      <c r="I298" s="105">
        <v>24.43</v>
      </c>
      <c r="J298" s="101"/>
      <c r="K298" s="22" t="s">
        <v>148</v>
      </c>
      <c r="L298" s="11" t="s">
        <v>148</v>
      </c>
      <c r="M298" s="23" t="s">
        <v>403</v>
      </c>
      <c r="N298" s="122" t="s">
        <v>140</v>
      </c>
      <c r="O298" s="122"/>
      <c r="P298" s="24" t="s">
        <v>404</v>
      </c>
      <c r="Q298" s="25">
        <v>45000</v>
      </c>
      <c r="R298" s="26" t="s">
        <v>142</v>
      </c>
      <c r="S298" s="27" t="s">
        <v>159</v>
      </c>
      <c r="T298" s="27" t="s">
        <v>219</v>
      </c>
      <c r="U298" s="124" t="s">
        <v>255</v>
      </c>
      <c r="V298" s="39">
        <v>4</v>
      </c>
      <c r="W298" s="124"/>
      <c r="X298" s="124"/>
      <c r="Y298" s="124"/>
      <c r="Z298" s="124"/>
      <c r="AA298" s="40"/>
      <c r="AB298" s="40"/>
      <c r="AC298" s="71" t="s">
        <v>155</v>
      </c>
      <c r="AD298" s="128">
        <v>1.75</v>
      </c>
      <c r="AE298" s="72" t="s">
        <v>194</v>
      </c>
    </row>
    <row r="299" spans="1:31">
      <c r="A299" s="135">
        <v>2</v>
      </c>
      <c r="B299" s="38" t="s">
        <v>401</v>
      </c>
      <c r="C299" s="122">
        <v>2</v>
      </c>
      <c r="D299" s="122">
        <v>900</v>
      </c>
      <c r="E299" s="33">
        <v>125</v>
      </c>
      <c r="F299" s="34">
        <v>102</v>
      </c>
      <c r="G299" s="34">
        <v>900102</v>
      </c>
      <c r="H299" s="119">
        <v>28.74</v>
      </c>
      <c r="I299" s="105">
        <v>28.74</v>
      </c>
      <c r="J299" s="101"/>
      <c r="K299" s="125" t="s">
        <v>148</v>
      </c>
      <c r="L299" s="11" t="s">
        <v>148</v>
      </c>
      <c r="M299" s="23" t="s">
        <v>405</v>
      </c>
      <c r="N299" s="122" t="s">
        <v>140</v>
      </c>
      <c r="O299" s="122"/>
      <c r="P299" s="24" t="s">
        <v>404</v>
      </c>
      <c r="Q299" s="25">
        <v>45000</v>
      </c>
      <c r="R299" s="26" t="s">
        <v>142</v>
      </c>
      <c r="S299" s="27" t="s">
        <v>159</v>
      </c>
      <c r="T299" s="27" t="s">
        <v>219</v>
      </c>
      <c r="U299" s="124" t="s">
        <v>255</v>
      </c>
      <c r="V299" s="39">
        <v>4</v>
      </c>
      <c r="W299" s="124"/>
      <c r="X299" s="124"/>
      <c r="Y299" s="124"/>
      <c r="Z299" s="124"/>
      <c r="AA299" s="40"/>
      <c r="AB299" s="40"/>
      <c r="AC299" s="71" t="s">
        <v>155</v>
      </c>
      <c r="AD299" s="128">
        <v>1.75</v>
      </c>
      <c r="AE299" s="72" t="s">
        <v>194</v>
      </c>
    </row>
    <row r="300" spans="1:31">
      <c r="A300" s="135">
        <v>2</v>
      </c>
      <c r="B300" s="38" t="s">
        <v>401</v>
      </c>
      <c r="C300" s="122">
        <v>3</v>
      </c>
      <c r="D300" s="122">
        <v>900</v>
      </c>
      <c r="E300" s="33">
        <v>128</v>
      </c>
      <c r="F300" s="34">
        <v>104</v>
      </c>
      <c r="G300" s="34">
        <v>900104</v>
      </c>
      <c r="H300" s="119">
        <v>53.35</v>
      </c>
      <c r="I300" s="108">
        <v>53.35</v>
      </c>
      <c r="J300" s="100"/>
      <c r="K300" s="22" t="s">
        <v>148</v>
      </c>
      <c r="L300" s="125" t="s">
        <v>148</v>
      </c>
      <c r="M300" s="23" t="s">
        <v>245</v>
      </c>
      <c r="N300" s="122" t="s">
        <v>140</v>
      </c>
      <c r="O300" s="122"/>
      <c r="P300" s="24" t="s">
        <v>404</v>
      </c>
      <c r="Q300" s="25">
        <v>45000</v>
      </c>
      <c r="R300" s="26" t="s">
        <v>142</v>
      </c>
      <c r="S300" s="27" t="s">
        <v>159</v>
      </c>
      <c r="T300" s="27" t="s">
        <v>219</v>
      </c>
      <c r="U300" s="124" t="s">
        <v>255</v>
      </c>
      <c r="V300" s="39">
        <v>4</v>
      </c>
      <c r="W300" s="124"/>
      <c r="X300" s="124"/>
      <c r="Y300" s="124"/>
      <c r="Z300" s="124"/>
      <c r="AA300" s="40"/>
      <c r="AB300" s="40"/>
      <c r="AC300" s="71" t="s">
        <v>146</v>
      </c>
      <c r="AD300" s="128">
        <v>1.75</v>
      </c>
      <c r="AE300" s="72" t="s">
        <v>194</v>
      </c>
    </row>
    <row r="301" spans="1:31">
      <c r="A301" s="135">
        <v>2</v>
      </c>
      <c r="B301" s="38" t="s">
        <v>401</v>
      </c>
      <c r="C301" s="122">
        <v>4</v>
      </c>
      <c r="D301" s="122">
        <v>900</v>
      </c>
      <c r="E301" s="33">
        <v>133</v>
      </c>
      <c r="F301" s="34">
        <v>105</v>
      </c>
      <c r="G301" s="34">
        <v>900105</v>
      </c>
      <c r="H301" s="119">
        <v>18.59</v>
      </c>
      <c r="I301" s="100">
        <v>18.59</v>
      </c>
      <c r="J301" s="101"/>
      <c r="K301" s="125" t="s">
        <v>148</v>
      </c>
      <c r="L301" s="22" t="s">
        <v>148</v>
      </c>
      <c r="M301" s="23" t="s">
        <v>406</v>
      </c>
      <c r="N301" s="122" t="s">
        <v>255</v>
      </c>
      <c r="O301" s="122"/>
      <c r="P301" s="24" t="s">
        <v>404</v>
      </c>
      <c r="Q301" s="25">
        <v>45000</v>
      </c>
      <c r="R301" s="26" t="s">
        <v>142</v>
      </c>
      <c r="S301" s="27" t="s">
        <v>159</v>
      </c>
      <c r="T301" s="27" t="s">
        <v>219</v>
      </c>
      <c r="U301" s="124" t="s">
        <v>255</v>
      </c>
      <c r="V301" s="39">
        <v>4</v>
      </c>
      <c r="W301" s="124"/>
      <c r="X301" s="124"/>
      <c r="Y301" s="124"/>
      <c r="Z301" s="124"/>
      <c r="AA301" s="40"/>
      <c r="AB301" s="40"/>
      <c r="AC301" s="71" t="s">
        <v>155</v>
      </c>
      <c r="AD301" s="128">
        <v>1.85</v>
      </c>
      <c r="AE301" s="72" t="s">
        <v>194</v>
      </c>
    </row>
    <row r="302" spans="1:31">
      <c r="A302" s="135">
        <v>2</v>
      </c>
      <c r="B302" s="38" t="s">
        <v>401</v>
      </c>
      <c r="C302" s="122">
        <v>5</v>
      </c>
      <c r="D302" s="122">
        <v>900</v>
      </c>
      <c r="E302" s="33">
        <v>129</v>
      </c>
      <c r="F302" s="34">
        <v>106</v>
      </c>
      <c r="G302" s="34">
        <v>900106</v>
      </c>
      <c r="H302" s="119">
        <v>23.34</v>
      </c>
      <c r="I302" s="100"/>
      <c r="J302" s="101">
        <v>23.34</v>
      </c>
      <c r="K302" s="125" t="s">
        <v>172</v>
      </c>
      <c r="L302" s="11" t="s">
        <v>86</v>
      </c>
      <c r="M302" s="23" t="s">
        <v>149</v>
      </c>
      <c r="N302" s="122" t="s">
        <v>140</v>
      </c>
      <c r="O302" s="122">
        <v>4</v>
      </c>
      <c r="P302" s="24" t="s">
        <v>404</v>
      </c>
      <c r="Q302" s="25">
        <v>45000</v>
      </c>
      <c r="R302" s="26" t="s">
        <v>142</v>
      </c>
      <c r="S302" s="27" t="s">
        <v>159</v>
      </c>
      <c r="T302" s="27" t="s">
        <v>160</v>
      </c>
      <c r="U302" s="124" t="s">
        <v>255</v>
      </c>
      <c r="V302" s="39">
        <v>4</v>
      </c>
      <c r="W302" s="29">
        <v>4668</v>
      </c>
      <c r="X302" s="124" t="s">
        <v>407</v>
      </c>
      <c r="Y302" s="29"/>
      <c r="Z302" s="30">
        <v>23.34</v>
      </c>
      <c r="AA302" s="136" t="s">
        <v>408</v>
      </c>
      <c r="AB302" s="136">
        <v>2</v>
      </c>
      <c r="AC302" s="71" t="s">
        <v>155</v>
      </c>
      <c r="AD302" s="128">
        <v>1.85</v>
      </c>
      <c r="AE302" s="72" t="s">
        <v>194</v>
      </c>
    </row>
    <row r="303" spans="1:31">
      <c r="A303" s="135">
        <v>2</v>
      </c>
      <c r="B303" s="38" t="s">
        <v>401</v>
      </c>
      <c r="C303" s="122">
        <v>6</v>
      </c>
      <c r="D303" s="122">
        <v>900</v>
      </c>
      <c r="E303" s="33">
        <v>123</v>
      </c>
      <c r="F303" s="34">
        <v>107</v>
      </c>
      <c r="G303" s="34">
        <v>900107</v>
      </c>
      <c r="H303" s="119">
        <v>39.520000000000003</v>
      </c>
      <c r="I303" s="105">
        <v>39.520000000000003</v>
      </c>
      <c r="J303" s="101"/>
      <c r="K303" s="125" t="s">
        <v>148</v>
      </c>
      <c r="L303" s="22" t="s">
        <v>148</v>
      </c>
      <c r="M303" s="23" t="s">
        <v>245</v>
      </c>
      <c r="N303" s="122" t="s">
        <v>140</v>
      </c>
      <c r="O303" s="122"/>
      <c r="P303" s="24" t="s">
        <v>404</v>
      </c>
      <c r="Q303" s="25">
        <v>45000</v>
      </c>
      <c r="R303" s="26" t="s">
        <v>142</v>
      </c>
      <c r="S303" s="27" t="s">
        <v>159</v>
      </c>
      <c r="T303" s="27" t="s">
        <v>219</v>
      </c>
      <c r="U303" s="124" t="s">
        <v>255</v>
      </c>
      <c r="V303" s="39">
        <v>4</v>
      </c>
      <c r="W303" s="124"/>
      <c r="X303" s="124"/>
      <c r="Y303" s="124"/>
      <c r="Z303" s="124"/>
      <c r="AA303" s="40"/>
      <c r="AB303" s="40"/>
      <c r="AC303" s="71" t="s">
        <v>146</v>
      </c>
      <c r="AD303" s="128">
        <v>1.75</v>
      </c>
      <c r="AE303" s="72" t="s">
        <v>194</v>
      </c>
    </row>
    <row r="304" spans="1:31">
      <c r="A304" s="135">
        <v>2</v>
      </c>
      <c r="B304" s="38" t="s">
        <v>401</v>
      </c>
      <c r="C304" s="122">
        <v>7</v>
      </c>
      <c r="D304" s="122">
        <v>900</v>
      </c>
      <c r="E304" s="33">
        <v>118</v>
      </c>
      <c r="F304" s="34">
        <v>108</v>
      </c>
      <c r="G304" s="34">
        <v>900108</v>
      </c>
      <c r="H304" s="119">
        <v>31.87</v>
      </c>
      <c r="I304" s="100"/>
      <c r="J304" s="101">
        <v>31.87</v>
      </c>
      <c r="K304" s="125" t="s">
        <v>137</v>
      </c>
      <c r="L304" s="11" t="s">
        <v>138</v>
      </c>
      <c r="M304" s="23" t="s">
        <v>403</v>
      </c>
      <c r="N304" s="122" t="s">
        <v>140</v>
      </c>
      <c r="O304" s="122">
        <v>4</v>
      </c>
      <c r="P304" s="24" t="s">
        <v>404</v>
      </c>
      <c r="Q304" s="25">
        <v>45000</v>
      </c>
      <c r="R304" s="26" t="s">
        <v>142</v>
      </c>
      <c r="S304" s="27" t="s">
        <v>159</v>
      </c>
      <c r="T304" s="27" t="s">
        <v>160</v>
      </c>
      <c r="U304" s="124" t="s">
        <v>255</v>
      </c>
      <c r="V304" s="39">
        <v>4</v>
      </c>
      <c r="W304" s="29">
        <v>6374</v>
      </c>
      <c r="X304" s="124" t="s">
        <v>407</v>
      </c>
      <c r="Y304" s="29"/>
      <c r="Z304" s="30">
        <v>31.87</v>
      </c>
      <c r="AA304" s="136" t="s">
        <v>408</v>
      </c>
      <c r="AB304" s="136">
        <v>2</v>
      </c>
      <c r="AC304" s="71" t="s">
        <v>155</v>
      </c>
      <c r="AD304" s="128">
        <v>1.75</v>
      </c>
      <c r="AE304" s="72" t="s">
        <v>194</v>
      </c>
    </row>
    <row r="305" spans="1:31">
      <c r="A305" s="135">
        <v>2</v>
      </c>
      <c r="B305" s="38" t="s">
        <v>401</v>
      </c>
      <c r="C305" s="122">
        <v>8</v>
      </c>
      <c r="D305" s="122">
        <v>900</v>
      </c>
      <c r="E305" s="33">
        <v>120</v>
      </c>
      <c r="F305" s="34">
        <v>109</v>
      </c>
      <c r="G305" s="34">
        <v>900109</v>
      </c>
      <c r="H305" s="119">
        <v>72.88</v>
      </c>
      <c r="I305" s="100"/>
      <c r="J305" s="101">
        <v>72.88</v>
      </c>
      <c r="K305" s="22" t="s">
        <v>172</v>
      </c>
      <c r="L305" s="11" t="s">
        <v>86</v>
      </c>
      <c r="M305" s="23" t="s">
        <v>149</v>
      </c>
      <c r="N305" s="122" t="s">
        <v>255</v>
      </c>
      <c r="O305" s="122">
        <v>3</v>
      </c>
      <c r="P305" s="24" t="s">
        <v>409</v>
      </c>
      <c r="Q305" s="25"/>
      <c r="R305" s="26"/>
      <c r="S305" s="27"/>
      <c r="T305" s="27"/>
      <c r="U305" s="124" t="s">
        <v>255</v>
      </c>
      <c r="V305" s="73">
        <v>2</v>
      </c>
      <c r="W305" s="29">
        <v>7288</v>
      </c>
      <c r="X305" s="124"/>
      <c r="Y305" s="124"/>
      <c r="Z305" s="30"/>
      <c r="AA305" s="136"/>
      <c r="AB305" s="136"/>
      <c r="AC305" s="122" t="s">
        <v>155</v>
      </c>
      <c r="AD305" s="31">
        <v>1.65</v>
      </c>
      <c r="AE305" s="32" t="s">
        <v>194</v>
      </c>
    </row>
    <row r="306" spans="1:31">
      <c r="A306" s="135">
        <v>2</v>
      </c>
      <c r="B306" s="38" t="s">
        <v>401</v>
      </c>
      <c r="C306" s="122">
        <v>9</v>
      </c>
      <c r="D306" s="122">
        <v>900</v>
      </c>
      <c r="E306" s="33">
        <v>121</v>
      </c>
      <c r="F306" s="34">
        <v>110</v>
      </c>
      <c r="G306" s="34">
        <v>900110</v>
      </c>
      <c r="H306" s="119">
        <v>24.47</v>
      </c>
      <c r="I306" s="101"/>
      <c r="J306" s="100">
        <v>24.47</v>
      </c>
      <c r="K306" s="22" t="s">
        <v>172</v>
      </c>
      <c r="L306" s="23" t="s">
        <v>86</v>
      </c>
      <c r="M306" s="23" t="s">
        <v>149</v>
      </c>
      <c r="N306" s="122" t="s">
        <v>255</v>
      </c>
      <c r="O306" s="122">
        <v>3</v>
      </c>
      <c r="P306" s="24" t="s">
        <v>410</v>
      </c>
      <c r="Q306" s="25"/>
      <c r="R306" s="26"/>
      <c r="S306" s="27"/>
      <c r="T306" s="27"/>
      <c r="U306" s="124" t="s">
        <v>255</v>
      </c>
      <c r="V306" s="73">
        <v>2</v>
      </c>
      <c r="W306" s="29">
        <v>2447</v>
      </c>
      <c r="X306" s="124"/>
      <c r="Y306" s="124"/>
      <c r="Z306" s="30"/>
      <c r="AA306" s="136"/>
      <c r="AB306" s="136"/>
      <c r="AC306" s="122" t="s">
        <v>155</v>
      </c>
      <c r="AD306" s="31">
        <v>1.85</v>
      </c>
      <c r="AE306" s="32" t="s">
        <v>194</v>
      </c>
    </row>
    <row r="307" spans="1:31">
      <c r="A307" s="135">
        <v>2</v>
      </c>
      <c r="B307" s="38" t="s">
        <v>401</v>
      </c>
      <c r="C307" s="122">
        <v>10</v>
      </c>
      <c r="D307" s="122">
        <v>900</v>
      </c>
      <c r="E307" s="33">
        <v>418</v>
      </c>
      <c r="F307" s="34">
        <v>111</v>
      </c>
      <c r="G307" s="34">
        <v>900111</v>
      </c>
      <c r="H307" s="119">
        <v>10.7</v>
      </c>
      <c r="I307" s="101">
        <v>10.7</v>
      </c>
      <c r="J307" s="100"/>
      <c r="K307" s="22" t="s">
        <v>148</v>
      </c>
      <c r="L307" s="125" t="s">
        <v>148</v>
      </c>
      <c r="M307" s="23" t="s">
        <v>169</v>
      </c>
      <c r="N307" s="122" t="s">
        <v>255</v>
      </c>
      <c r="O307" s="122"/>
      <c r="P307" s="24" t="s">
        <v>410</v>
      </c>
      <c r="Q307" s="25">
        <v>10800</v>
      </c>
      <c r="R307" s="26" t="s">
        <v>142</v>
      </c>
      <c r="S307" s="27" t="s">
        <v>159</v>
      </c>
      <c r="T307" s="27" t="s">
        <v>160</v>
      </c>
      <c r="U307" s="124" t="s">
        <v>255</v>
      </c>
      <c r="V307" s="39">
        <v>4</v>
      </c>
      <c r="W307" s="124"/>
      <c r="X307" s="124"/>
      <c r="Y307" s="124"/>
      <c r="Z307" s="124"/>
      <c r="AA307" s="40"/>
      <c r="AB307" s="40"/>
      <c r="AC307" s="71" t="s">
        <v>155</v>
      </c>
      <c r="AD307" s="128">
        <v>1.75</v>
      </c>
      <c r="AE307" s="72" t="s">
        <v>194</v>
      </c>
    </row>
    <row r="308" spans="1:31">
      <c r="A308" s="135">
        <v>2</v>
      </c>
      <c r="B308" s="38" t="s">
        <v>401</v>
      </c>
      <c r="C308" s="122">
        <v>11</v>
      </c>
      <c r="D308" s="122">
        <v>900</v>
      </c>
      <c r="E308" s="33">
        <v>408</v>
      </c>
      <c r="F308" s="34">
        <v>112</v>
      </c>
      <c r="G308" s="34">
        <v>900112</v>
      </c>
      <c r="H308" s="119">
        <v>49.29</v>
      </c>
      <c r="I308" s="101"/>
      <c r="J308" s="100">
        <v>49.29</v>
      </c>
      <c r="K308" s="22" t="s">
        <v>172</v>
      </c>
      <c r="L308" s="23" t="s">
        <v>86</v>
      </c>
      <c r="M308" s="23" t="s">
        <v>149</v>
      </c>
      <c r="N308" s="122" t="s">
        <v>255</v>
      </c>
      <c r="O308" s="122">
        <v>3</v>
      </c>
      <c r="P308" s="24" t="s">
        <v>410</v>
      </c>
      <c r="Q308" s="25"/>
      <c r="R308" s="26"/>
      <c r="S308" s="27"/>
      <c r="T308" s="27"/>
      <c r="U308" s="124" t="s">
        <v>255</v>
      </c>
      <c r="V308" s="73">
        <v>2</v>
      </c>
      <c r="W308" s="29">
        <v>4929</v>
      </c>
      <c r="X308" s="124"/>
      <c r="Y308" s="124"/>
      <c r="Z308" s="30"/>
      <c r="AA308" s="136"/>
      <c r="AB308" s="136"/>
      <c r="AC308" s="122" t="s">
        <v>155</v>
      </c>
      <c r="AD308" s="31">
        <v>1.85</v>
      </c>
      <c r="AE308" s="32" t="s">
        <v>194</v>
      </c>
    </row>
    <row r="309" spans="1:31">
      <c r="A309" s="135">
        <v>2</v>
      </c>
      <c r="B309" s="38" t="s">
        <v>401</v>
      </c>
      <c r="C309" s="122">
        <v>12</v>
      </c>
      <c r="D309" s="122">
        <v>900</v>
      </c>
      <c r="E309" s="33">
        <v>406</v>
      </c>
      <c r="F309" s="34">
        <v>113</v>
      </c>
      <c r="G309" s="34">
        <v>900113</v>
      </c>
      <c r="H309" s="119">
        <v>21.19</v>
      </c>
      <c r="I309" s="101">
        <v>21.19</v>
      </c>
      <c r="J309" s="100"/>
      <c r="K309" s="22" t="s">
        <v>148</v>
      </c>
      <c r="L309" s="125" t="s">
        <v>148</v>
      </c>
      <c r="M309" s="23" t="s">
        <v>169</v>
      </c>
      <c r="N309" s="122" t="s">
        <v>255</v>
      </c>
      <c r="O309" s="122"/>
      <c r="P309" s="24" t="s">
        <v>410</v>
      </c>
      <c r="Q309" s="25">
        <v>10800</v>
      </c>
      <c r="R309" s="26" t="s">
        <v>142</v>
      </c>
      <c r="S309" s="27" t="s">
        <v>159</v>
      </c>
      <c r="T309" s="27" t="s">
        <v>160</v>
      </c>
      <c r="U309" s="124" t="s">
        <v>255</v>
      </c>
      <c r="V309" s="39">
        <v>4</v>
      </c>
      <c r="W309" s="124"/>
      <c r="X309" s="124"/>
      <c r="Y309" s="124"/>
      <c r="Z309" s="124"/>
      <c r="AA309" s="40"/>
      <c r="AB309" s="40"/>
      <c r="AC309" s="71" t="s">
        <v>155</v>
      </c>
      <c r="AD309" s="72">
        <v>1.75</v>
      </c>
      <c r="AE309" s="72" t="s">
        <v>194</v>
      </c>
    </row>
    <row r="310" spans="1:31">
      <c r="A310" s="135">
        <v>2</v>
      </c>
      <c r="B310" s="38" t="s">
        <v>401</v>
      </c>
      <c r="C310" s="122">
        <v>13</v>
      </c>
      <c r="D310" s="122">
        <v>900</v>
      </c>
      <c r="E310" s="33">
        <v>402</v>
      </c>
      <c r="F310" s="34">
        <v>114</v>
      </c>
      <c r="G310" s="34">
        <v>900114</v>
      </c>
      <c r="H310" s="119">
        <v>20.45</v>
      </c>
      <c r="I310" s="101">
        <v>20.45</v>
      </c>
      <c r="J310" s="100"/>
      <c r="K310" s="125" t="s">
        <v>148</v>
      </c>
      <c r="L310" s="22" t="s">
        <v>148</v>
      </c>
      <c r="M310" s="23" t="s">
        <v>245</v>
      </c>
      <c r="N310" s="122" t="s">
        <v>255</v>
      </c>
      <c r="O310" s="122"/>
      <c r="P310" s="24" t="s">
        <v>410</v>
      </c>
      <c r="Q310" s="25">
        <v>10800</v>
      </c>
      <c r="R310" s="26" t="s">
        <v>142</v>
      </c>
      <c r="S310" s="27" t="s">
        <v>159</v>
      </c>
      <c r="T310" s="27" t="s">
        <v>160</v>
      </c>
      <c r="U310" s="124" t="s">
        <v>255</v>
      </c>
      <c r="V310" s="39">
        <v>4</v>
      </c>
      <c r="W310" s="124"/>
      <c r="X310" s="124"/>
      <c r="Y310" s="124"/>
      <c r="Z310" s="124"/>
      <c r="AA310" s="40"/>
      <c r="AB310" s="40"/>
      <c r="AC310" s="71" t="s">
        <v>146</v>
      </c>
      <c r="AD310" s="128">
        <v>1.75</v>
      </c>
      <c r="AE310" s="72" t="s">
        <v>194</v>
      </c>
    </row>
    <row r="311" spans="1:31">
      <c r="A311" s="135">
        <v>2</v>
      </c>
      <c r="B311" s="38" t="s">
        <v>401</v>
      </c>
      <c r="C311" s="122">
        <v>14</v>
      </c>
      <c r="D311" s="122">
        <v>900</v>
      </c>
      <c r="E311" s="33" t="s">
        <v>76</v>
      </c>
      <c r="F311" s="34">
        <v>115</v>
      </c>
      <c r="G311" s="34">
        <v>900115</v>
      </c>
      <c r="H311" s="119">
        <v>54.56</v>
      </c>
      <c r="I311" s="100"/>
      <c r="J311" s="100">
        <v>54.56</v>
      </c>
      <c r="K311" s="22" t="s">
        <v>172</v>
      </c>
      <c r="L311" s="11" t="s">
        <v>86</v>
      </c>
      <c r="M311" s="23" t="s">
        <v>149</v>
      </c>
      <c r="N311" s="122" t="s">
        <v>255</v>
      </c>
      <c r="O311" s="122">
        <v>3</v>
      </c>
      <c r="P311" s="24" t="s">
        <v>411</v>
      </c>
      <c r="Q311" s="25">
        <v>5500</v>
      </c>
      <c r="R311" s="26" t="s">
        <v>142</v>
      </c>
      <c r="S311" s="27" t="s">
        <v>159</v>
      </c>
      <c r="T311" s="27" t="s">
        <v>160</v>
      </c>
      <c r="U311" s="124" t="s">
        <v>255</v>
      </c>
      <c r="V311" s="39">
        <v>2</v>
      </c>
      <c r="W311" s="29">
        <v>5456</v>
      </c>
      <c r="X311" s="124" t="s">
        <v>407</v>
      </c>
      <c r="Y311" s="29"/>
      <c r="Z311" s="30">
        <v>54.56</v>
      </c>
      <c r="AA311" s="136" t="s">
        <v>408</v>
      </c>
      <c r="AB311" s="136">
        <v>2</v>
      </c>
      <c r="AC311" s="71" t="s">
        <v>155</v>
      </c>
      <c r="AD311" s="128">
        <v>1.85</v>
      </c>
      <c r="AE311" s="72" t="s">
        <v>194</v>
      </c>
    </row>
    <row r="312" spans="1:31">
      <c r="A312" s="135">
        <v>2</v>
      </c>
      <c r="B312" s="38" t="s">
        <v>401</v>
      </c>
      <c r="C312" s="122">
        <v>16</v>
      </c>
      <c r="D312" s="122">
        <v>900</v>
      </c>
      <c r="E312" s="33">
        <v>445</v>
      </c>
      <c r="F312" s="34">
        <v>117</v>
      </c>
      <c r="G312" s="34">
        <v>900117</v>
      </c>
      <c r="H312" s="119">
        <v>11.25</v>
      </c>
      <c r="I312" s="101"/>
      <c r="J312" s="100">
        <v>11.25</v>
      </c>
      <c r="K312" s="125" t="s">
        <v>172</v>
      </c>
      <c r="L312" s="11" t="s">
        <v>86</v>
      </c>
      <c r="M312" s="23" t="s">
        <v>149</v>
      </c>
      <c r="N312" s="122" t="s">
        <v>278</v>
      </c>
      <c r="O312" s="122"/>
      <c r="P312" s="24" t="s">
        <v>411</v>
      </c>
      <c r="Q312" s="25"/>
      <c r="R312" s="26"/>
      <c r="S312" s="27"/>
      <c r="T312" s="27"/>
      <c r="U312" s="124" t="s">
        <v>255</v>
      </c>
      <c r="V312" s="73">
        <v>2</v>
      </c>
      <c r="W312" s="29">
        <v>1125</v>
      </c>
      <c r="X312" s="124"/>
      <c r="Y312" s="124"/>
      <c r="Z312" s="30"/>
      <c r="AA312" s="136"/>
      <c r="AB312" s="136"/>
      <c r="AC312" s="122" t="s">
        <v>155</v>
      </c>
      <c r="AD312" s="32">
        <v>1.85</v>
      </c>
      <c r="AE312" s="32" t="s">
        <v>194</v>
      </c>
    </row>
    <row r="313" spans="1:31">
      <c r="A313" s="135">
        <v>2</v>
      </c>
      <c r="B313" s="38" t="s">
        <v>401</v>
      </c>
      <c r="C313" s="122">
        <v>17</v>
      </c>
      <c r="D313" s="122">
        <v>900</v>
      </c>
      <c r="E313" s="33">
        <v>446</v>
      </c>
      <c r="F313" s="34">
        <v>118</v>
      </c>
      <c r="G313" s="34">
        <v>900118</v>
      </c>
      <c r="H313" s="119">
        <v>40.75</v>
      </c>
      <c r="I313" s="100">
        <v>40.75</v>
      </c>
      <c r="J313" s="100"/>
      <c r="K313" s="22" t="s">
        <v>148</v>
      </c>
      <c r="L313" s="22" t="s">
        <v>148</v>
      </c>
      <c r="M313" s="23" t="s">
        <v>169</v>
      </c>
      <c r="N313" s="122" t="s">
        <v>278</v>
      </c>
      <c r="O313" s="122"/>
      <c r="P313" s="24" t="s">
        <v>412</v>
      </c>
      <c r="Q313" s="25">
        <v>4020</v>
      </c>
      <c r="R313" s="26" t="s">
        <v>142</v>
      </c>
      <c r="S313" s="27" t="s">
        <v>159</v>
      </c>
      <c r="T313" s="27" t="s">
        <v>219</v>
      </c>
      <c r="U313" s="124" t="s">
        <v>255</v>
      </c>
      <c r="V313" s="39">
        <v>2</v>
      </c>
      <c r="W313" s="124"/>
      <c r="X313" s="124"/>
      <c r="Y313" s="124"/>
      <c r="Z313" s="124"/>
      <c r="AA313" s="40"/>
      <c r="AB313" s="40"/>
      <c r="AC313" s="71" t="s">
        <v>155</v>
      </c>
      <c r="AD313" s="72">
        <v>1.75</v>
      </c>
      <c r="AE313" s="72" t="s">
        <v>194</v>
      </c>
    </row>
    <row r="314" spans="1:31">
      <c r="A314" s="135">
        <v>2</v>
      </c>
      <c r="B314" s="38" t="s">
        <v>401</v>
      </c>
      <c r="C314" s="122">
        <v>18</v>
      </c>
      <c r="D314" s="122">
        <v>900</v>
      </c>
      <c r="E314" s="33">
        <v>110</v>
      </c>
      <c r="F314" s="34">
        <v>119</v>
      </c>
      <c r="G314" s="34">
        <v>900119</v>
      </c>
      <c r="H314" s="119">
        <v>44.02</v>
      </c>
      <c r="I314" s="101">
        <v>44.02</v>
      </c>
      <c r="J314" s="100"/>
      <c r="K314" s="22" t="s">
        <v>148</v>
      </c>
      <c r="L314" s="22" t="s">
        <v>148</v>
      </c>
      <c r="M314" s="23" t="s">
        <v>245</v>
      </c>
      <c r="N314" s="122" t="s">
        <v>278</v>
      </c>
      <c r="O314" s="122"/>
      <c r="P314" s="11"/>
      <c r="Q314" s="11"/>
      <c r="R314" s="21"/>
      <c r="S314" s="46"/>
      <c r="T314" s="46"/>
      <c r="U314" s="47" t="s">
        <v>255</v>
      </c>
      <c r="V314" s="48"/>
      <c r="W314" s="47"/>
      <c r="X314" s="124"/>
      <c r="Y314" s="124"/>
      <c r="Z314" s="47"/>
      <c r="AA314" s="49"/>
      <c r="AB314" s="49"/>
      <c r="AC314" s="122" t="s">
        <v>146</v>
      </c>
      <c r="AD314" s="31">
        <v>1.75</v>
      </c>
      <c r="AE314" s="32" t="s">
        <v>194</v>
      </c>
    </row>
    <row r="315" spans="1:31">
      <c r="A315" s="135">
        <v>2</v>
      </c>
      <c r="B315" s="38" t="s">
        <v>401</v>
      </c>
      <c r="C315" s="122">
        <v>19</v>
      </c>
      <c r="D315" s="122">
        <v>900</v>
      </c>
      <c r="E315" s="33">
        <v>105</v>
      </c>
      <c r="F315" s="34">
        <v>120</v>
      </c>
      <c r="G315" s="34">
        <v>900120</v>
      </c>
      <c r="H315" s="119">
        <v>25.04</v>
      </c>
      <c r="I315" s="100">
        <v>25.04</v>
      </c>
      <c r="J315" s="101"/>
      <c r="K315" s="125" t="s">
        <v>148</v>
      </c>
      <c r="L315" s="22" t="s">
        <v>148</v>
      </c>
      <c r="M315" s="53" t="s">
        <v>310</v>
      </c>
      <c r="N315" s="122" t="s">
        <v>278</v>
      </c>
      <c r="O315" s="122"/>
      <c r="P315" s="11"/>
      <c r="Q315" s="11"/>
      <c r="R315" s="21"/>
      <c r="S315" s="46"/>
      <c r="T315" s="46"/>
      <c r="U315" s="47" t="s">
        <v>278</v>
      </c>
      <c r="V315" s="48"/>
      <c r="W315" s="47"/>
      <c r="X315" s="124"/>
      <c r="Y315" s="124"/>
      <c r="Z315" s="47"/>
      <c r="AA315" s="49"/>
      <c r="AB315" s="49"/>
      <c r="AC315" s="122" t="s">
        <v>155</v>
      </c>
      <c r="AD315" s="31">
        <v>1.75</v>
      </c>
      <c r="AE315" s="32" t="s">
        <v>194</v>
      </c>
    </row>
    <row r="316" spans="1:31">
      <c r="A316" s="135">
        <v>2</v>
      </c>
      <c r="B316" s="38" t="s">
        <v>401</v>
      </c>
      <c r="C316" s="122">
        <v>20</v>
      </c>
      <c r="D316" s="122">
        <v>900</v>
      </c>
      <c r="E316" s="33">
        <v>102</v>
      </c>
      <c r="F316" s="34">
        <v>121</v>
      </c>
      <c r="G316" s="34">
        <v>900121</v>
      </c>
      <c r="H316" s="119">
        <v>12.56</v>
      </c>
      <c r="I316" s="101"/>
      <c r="J316" s="100">
        <v>12.56</v>
      </c>
      <c r="K316" s="22" t="s">
        <v>172</v>
      </c>
      <c r="L316" s="23" t="s">
        <v>86</v>
      </c>
      <c r="M316" s="23" t="s">
        <v>290</v>
      </c>
      <c r="N316" s="122" t="s">
        <v>278</v>
      </c>
      <c r="O316" s="122">
        <v>0</v>
      </c>
      <c r="P316" s="24"/>
      <c r="Q316" s="25"/>
      <c r="R316" s="26"/>
      <c r="S316" s="27"/>
      <c r="T316" s="27"/>
      <c r="U316" s="124" t="s">
        <v>278</v>
      </c>
      <c r="V316" s="39">
        <v>0</v>
      </c>
      <c r="W316" s="29">
        <v>0</v>
      </c>
      <c r="X316" s="124"/>
      <c r="Y316" s="124"/>
      <c r="Z316" s="30"/>
      <c r="AA316" s="136"/>
      <c r="AB316" s="136"/>
      <c r="AC316" s="122" t="s">
        <v>155</v>
      </c>
      <c r="AD316" s="31">
        <v>1.75</v>
      </c>
      <c r="AE316" s="32" t="s">
        <v>194</v>
      </c>
    </row>
    <row r="317" spans="1:31">
      <c r="A317" s="135">
        <v>2</v>
      </c>
      <c r="B317" s="38" t="s">
        <v>401</v>
      </c>
      <c r="C317" s="122">
        <v>21</v>
      </c>
      <c r="D317" s="122">
        <v>900</v>
      </c>
      <c r="E317" s="33">
        <v>101</v>
      </c>
      <c r="F317" s="34">
        <v>122</v>
      </c>
      <c r="G317" s="34">
        <v>900122</v>
      </c>
      <c r="H317" s="119">
        <v>23.74</v>
      </c>
      <c r="I317" s="100"/>
      <c r="J317" s="101">
        <v>23.74</v>
      </c>
      <c r="K317" s="125" t="s">
        <v>172</v>
      </c>
      <c r="L317" s="11" t="s">
        <v>86</v>
      </c>
      <c r="M317" s="23" t="s">
        <v>346</v>
      </c>
      <c r="N317" s="122" t="s">
        <v>278</v>
      </c>
      <c r="O317" s="122">
        <v>0</v>
      </c>
      <c r="P317" s="24"/>
      <c r="Q317" s="25"/>
      <c r="R317" s="26"/>
      <c r="S317" s="27"/>
      <c r="T317" s="27"/>
      <c r="U317" s="124" t="s">
        <v>278</v>
      </c>
      <c r="V317" s="39">
        <v>0</v>
      </c>
      <c r="W317" s="29">
        <v>0</v>
      </c>
      <c r="X317" s="124"/>
      <c r="Y317" s="124"/>
      <c r="Z317" s="30"/>
      <c r="AA317" s="136"/>
      <c r="AB317" s="136"/>
      <c r="AC317" s="122" t="s">
        <v>155</v>
      </c>
      <c r="AD317" s="31">
        <v>1.75</v>
      </c>
      <c r="AE317" s="32" t="s">
        <v>194</v>
      </c>
    </row>
    <row r="318" spans="1:31">
      <c r="A318" s="135">
        <v>2</v>
      </c>
      <c r="B318" s="38" t="s">
        <v>401</v>
      </c>
      <c r="C318" s="122">
        <v>36</v>
      </c>
      <c r="D318" s="122">
        <v>900</v>
      </c>
      <c r="E318" s="33">
        <v>401</v>
      </c>
      <c r="F318" s="34">
        <v>409</v>
      </c>
      <c r="G318" s="34">
        <v>900409</v>
      </c>
      <c r="H318" s="119">
        <v>49.58</v>
      </c>
      <c r="I318" s="100"/>
      <c r="J318" s="100">
        <v>49.58</v>
      </c>
      <c r="K318" s="22" t="s">
        <v>172</v>
      </c>
      <c r="L318" s="11" t="s">
        <v>86</v>
      </c>
      <c r="M318" s="23"/>
      <c r="N318" s="122" t="s">
        <v>278</v>
      </c>
      <c r="O318" s="122"/>
      <c r="P318" s="24" t="s">
        <v>411</v>
      </c>
      <c r="Q318" s="25"/>
      <c r="R318" s="26"/>
      <c r="S318" s="43"/>
      <c r="T318" s="43"/>
      <c r="U318" s="124" t="s">
        <v>255</v>
      </c>
      <c r="V318" s="39">
        <v>2</v>
      </c>
      <c r="W318" s="29">
        <v>4958</v>
      </c>
      <c r="X318" s="124"/>
      <c r="Y318" s="124"/>
      <c r="Z318" s="30"/>
      <c r="AA318" s="136"/>
      <c r="AB318" s="136"/>
      <c r="AC318" s="122" t="s">
        <v>155</v>
      </c>
      <c r="AD318" s="31">
        <v>1.75</v>
      </c>
      <c r="AE318" s="32" t="s">
        <v>194</v>
      </c>
    </row>
    <row r="319" spans="1:31">
      <c r="A319" s="135">
        <v>2</v>
      </c>
      <c r="B319" s="38" t="s">
        <v>413</v>
      </c>
      <c r="C319" s="122">
        <v>1</v>
      </c>
      <c r="D319" s="122">
        <v>928</v>
      </c>
      <c r="E319" s="117">
        <v>806815</v>
      </c>
      <c r="F319" s="138">
        <v>101</v>
      </c>
      <c r="G319" s="34">
        <v>928101</v>
      </c>
      <c r="H319" s="119">
        <v>23.12</v>
      </c>
      <c r="I319" s="101"/>
      <c r="J319" s="100">
        <v>23.12</v>
      </c>
      <c r="K319" s="22" t="s">
        <v>170</v>
      </c>
      <c r="L319" s="23" t="s">
        <v>86</v>
      </c>
      <c r="M319" s="23" t="s">
        <v>149</v>
      </c>
      <c r="N319" s="122" t="s">
        <v>140</v>
      </c>
      <c r="O319" s="122">
        <v>5</v>
      </c>
      <c r="P319" s="24" t="s">
        <v>414</v>
      </c>
      <c r="Q319" s="25">
        <v>43650</v>
      </c>
      <c r="R319" s="26" t="s">
        <v>415</v>
      </c>
      <c r="S319" s="27" t="s">
        <v>206</v>
      </c>
      <c r="T319" s="27" t="s">
        <v>390</v>
      </c>
      <c r="U319" s="124" t="s">
        <v>140</v>
      </c>
      <c r="V319" s="39">
        <v>6</v>
      </c>
      <c r="W319" s="29">
        <v>6936</v>
      </c>
      <c r="X319" s="139" t="s">
        <v>416</v>
      </c>
      <c r="Y319" s="139">
        <v>1</v>
      </c>
      <c r="Z319" s="30">
        <v>23.12</v>
      </c>
      <c r="AA319" s="51" t="s">
        <v>417</v>
      </c>
      <c r="AB319" s="51">
        <v>6</v>
      </c>
      <c r="AC319" s="122" t="s">
        <v>155</v>
      </c>
      <c r="AD319" s="31">
        <v>1.85</v>
      </c>
      <c r="AE319" s="32" t="s">
        <v>194</v>
      </c>
    </row>
    <row r="320" spans="1:31">
      <c r="A320" s="135">
        <v>2</v>
      </c>
      <c r="B320" s="38" t="s">
        <v>413</v>
      </c>
      <c r="C320" s="122">
        <v>2</v>
      </c>
      <c r="D320" s="122">
        <v>928</v>
      </c>
      <c r="E320" s="117">
        <v>806816</v>
      </c>
      <c r="F320" s="138">
        <v>102</v>
      </c>
      <c r="G320" s="34">
        <v>928102</v>
      </c>
      <c r="H320" s="119">
        <v>25.98</v>
      </c>
      <c r="I320" s="101"/>
      <c r="J320" s="100">
        <v>25.98</v>
      </c>
      <c r="K320" s="22" t="s">
        <v>161</v>
      </c>
      <c r="L320" s="23" t="s">
        <v>138</v>
      </c>
      <c r="M320" s="23" t="s">
        <v>149</v>
      </c>
      <c r="N320" s="122" t="s">
        <v>140</v>
      </c>
      <c r="O320" s="122">
        <v>5</v>
      </c>
      <c r="P320" s="24" t="s">
        <v>414</v>
      </c>
      <c r="Q320" s="25">
        <v>43650</v>
      </c>
      <c r="R320" s="26" t="s">
        <v>142</v>
      </c>
      <c r="S320" s="27" t="s">
        <v>206</v>
      </c>
      <c r="T320" s="27" t="s">
        <v>390</v>
      </c>
      <c r="U320" s="124" t="s">
        <v>140</v>
      </c>
      <c r="V320" s="39">
        <v>6</v>
      </c>
      <c r="W320" s="29">
        <v>7794</v>
      </c>
      <c r="X320" s="139" t="s">
        <v>416</v>
      </c>
      <c r="Y320" s="139"/>
      <c r="Z320" s="30">
        <v>25.98</v>
      </c>
      <c r="AA320" s="51" t="s">
        <v>417</v>
      </c>
      <c r="AB320" s="51">
        <v>6</v>
      </c>
      <c r="AC320" s="122" t="s">
        <v>155</v>
      </c>
      <c r="AD320" s="31">
        <v>1.85</v>
      </c>
      <c r="AE320" s="32" t="s">
        <v>194</v>
      </c>
    </row>
    <row r="321" spans="1:31">
      <c r="A321" s="135">
        <v>2</v>
      </c>
      <c r="B321" s="38" t="s">
        <v>413</v>
      </c>
      <c r="C321" s="122">
        <v>3</v>
      </c>
      <c r="D321" s="122">
        <v>928</v>
      </c>
      <c r="E321" s="117">
        <v>806817</v>
      </c>
      <c r="F321" s="138">
        <v>103</v>
      </c>
      <c r="G321" s="34">
        <v>928103</v>
      </c>
      <c r="H321" s="119">
        <v>31.47</v>
      </c>
      <c r="I321" s="101"/>
      <c r="J321" s="100">
        <v>31.47</v>
      </c>
      <c r="K321" s="22" t="s">
        <v>137</v>
      </c>
      <c r="L321" s="23" t="s">
        <v>138</v>
      </c>
      <c r="M321" s="23" t="s">
        <v>245</v>
      </c>
      <c r="N321" s="122" t="s">
        <v>140</v>
      </c>
      <c r="O321" s="122">
        <v>5</v>
      </c>
      <c r="P321" s="24" t="s">
        <v>414</v>
      </c>
      <c r="Q321" s="25">
        <v>43650</v>
      </c>
      <c r="R321" s="26" t="s">
        <v>142</v>
      </c>
      <c r="S321" s="27" t="s">
        <v>206</v>
      </c>
      <c r="T321" s="27" t="s">
        <v>390</v>
      </c>
      <c r="U321" s="124" t="s">
        <v>140</v>
      </c>
      <c r="V321" s="39">
        <v>6</v>
      </c>
      <c r="W321" s="29">
        <v>9441</v>
      </c>
      <c r="X321" s="139" t="s">
        <v>416</v>
      </c>
      <c r="Y321" s="139"/>
      <c r="Z321" s="30">
        <v>31.47</v>
      </c>
      <c r="AA321" s="51" t="s">
        <v>417</v>
      </c>
      <c r="AB321" s="51">
        <v>6</v>
      </c>
      <c r="AC321" s="122" t="s">
        <v>146</v>
      </c>
      <c r="AD321" s="31">
        <v>1.75</v>
      </c>
      <c r="AE321" s="32" t="s">
        <v>194</v>
      </c>
    </row>
    <row r="322" spans="1:31">
      <c r="A322" s="135">
        <v>2</v>
      </c>
      <c r="B322" s="38" t="s">
        <v>413</v>
      </c>
      <c r="C322" s="122">
        <v>4</v>
      </c>
      <c r="D322" s="122">
        <v>928</v>
      </c>
      <c r="E322" s="117">
        <v>806825</v>
      </c>
      <c r="F322" s="138">
        <v>104</v>
      </c>
      <c r="G322" s="34">
        <v>928104</v>
      </c>
      <c r="H322" s="119">
        <v>30.05</v>
      </c>
      <c r="I322" s="101"/>
      <c r="J322" s="100">
        <v>30.05</v>
      </c>
      <c r="K322" s="22" t="s">
        <v>137</v>
      </c>
      <c r="L322" s="23" t="s">
        <v>138</v>
      </c>
      <c r="M322" s="23" t="s">
        <v>245</v>
      </c>
      <c r="N322" s="122" t="s">
        <v>140</v>
      </c>
      <c r="O322" s="122">
        <v>5</v>
      </c>
      <c r="P322" s="24" t="s">
        <v>414</v>
      </c>
      <c r="Q322" s="25">
        <v>43650</v>
      </c>
      <c r="R322" s="26" t="s">
        <v>142</v>
      </c>
      <c r="S322" s="27" t="s">
        <v>206</v>
      </c>
      <c r="T322" s="27" t="s">
        <v>390</v>
      </c>
      <c r="U322" s="124" t="s">
        <v>140</v>
      </c>
      <c r="V322" s="39">
        <v>6</v>
      </c>
      <c r="W322" s="29">
        <v>9015</v>
      </c>
      <c r="X322" s="139" t="s">
        <v>416</v>
      </c>
      <c r="Y322" s="139"/>
      <c r="Z322" s="30">
        <v>30.05</v>
      </c>
      <c r="AA322" s="51" t="s">
        <v>417</v>
      </c>
      <c r="AB322" s="51">
        <v>6</v>
      </c>
      <c r="AC322" s="122" t="s">
        <v>146</v>
      </c>
      <c r="AD322" s="31">
        <v>1.75</v>
      </c>
      <c r="AE322" s="32" t="s">
        <v>194</v>
      </c>
    </row>
    <row r="323" spans="1:31">
      <c r="A323" s="135">
        <v>2</v>
      </c>
      <c r="B323" s="38" t="s">
        <v>413</v>
      </c>
      <c r="C323" s="122">
        <v>5</v>
      </c>
      <c r="D323" s="122">
        <v>928</v>
      </c>
      <c r="E323" s="117">
        <v>806818</v>
      </c>
      <c r="F323" s="138">
        <v>105</v>
      </c>
      <c r="G323" s="34">
        <v>928105</v>
      </c>
      <c r="H323" s="119">
        <v>13.33</v>
      </c>
      <c r="I323" s="101"/>
      <c r="J323" s="100">
        <v>13.33</v>
      </c>
      <c r="K323" s="22" t="s">
        <v>137</v>
      </c>
      <c r="L323" s="23" t="s">
        <v>138</v>
      </c>
      <c r="M323" s="23" t="s">
        <v>245</v>
      </c>
      <c r="N323" s="122" t="s">
        <v>140</v>
      </c>
      <c r="O323" s="122">
        <v>5</v>
      </c>
      <c r="P323" s="24" t="s">
        <v>414</v>
      </c>
      <c r="Q323" s="25">
        <v>43650</v>
      </c>
      <c r="R323" s="26" t="s">
        <v>142</v>
      </c>
      <c r="S323" s="27" t="s">
        <v>206</v>
      </c>
      <c r="T323" s="27" t="s">
        <v>390</v>
      </c>
      <c r="U323" s="124" t="s">
        <v>140</v>
      </c>
      <c r="V323" s="39">
        <v>6</v>
      </c>
      <c r="W323" s="29">
        <v>3999</v>
      </c>
      <c r="X323" s="139" t="s">
        <v>416</v>
      </c>
      <c r="Y323" s="139"/>
      <c r="Z323" s="30">
        <v>13.33</v>
      </c>
      <c r="AA323" s="51" t="s">
        <v>417</v>
      </c>
      <c r="AB323" s="51">
        <v>6</v>
      </c>
      <c r="AC323" s="122" t="s">
        <v>146</v>
      </c>
      <c r="AD323" s="32">
        <v>1.75</v>
      </c>
      <c r="AE323" s="32" t="s">
        <v>194</v>
      </c>
    </row>
    <row r="324" spans="1:31">
      <c r="A324" s="135">
        <v>2</v>
      </c>
      <c r="B324" s="38" t="s">
        <v>413</v>
      </c>
      <c r="C324" s="122">
        <v>6</v>
      </c>
      <c r="D324" s="122">
        <v>928</v>
      </c>
      <c r="E324" s="117">
        <v>806819</v>
      </c>
      <c r="F324" s="138">
        <v>106</v>
      </c>
      <c r="G324" s="34">
        <v>928106</v>
      </c>
      <c r="H324" s="119">
        <v>9.3699999999999992</v>
      </c>
      <c r="I324" s="101"/>
      <c r="J324" s="100">
        <v>9.3699999999999992</v>
      </c>
      <c r="K324" s="22" t="s">
        <v>137</v>
      </c>
      <c r="L324" s="23" t="s">
        <v>138</v>
      </c>
      <c r="M324" s="23" t="s">
        <v>245</v>
      </c>
      <c r="N324" s="122" t="s">
        <v>140</v>
      </c>
      <c r="O324" s="122">
        <v>4</v>
      </c>
      <c r="P324" s="24" t="s">
        <v>414</v>
      </c>
      <c r="Q324" s="25">
        <v>43650</v>
      </c>
      <c r="R324" s="26" t="s">
        <v>142</v>
      </c>
      <c r="S324" s="27" t="s">
        <v>206</v>
      </c>
      <c r="T324" s="27" t="s">
        <v>390</v>
      </c>
      <c r="U324" s="124" t="s">
        <v>140</v>
      </c>
      <c r="V324" s="39">
        <v>6</v>
      </c>
      <c r="W324" s="29">
        <v>2810.9999999999995</v>
      </c>
      <c r="X324" s="139" t="s">
        <v>416</v>
      </c>
      <c r="Y324" s="139"/>
      <c r="Z324" s="30">
        <v>9.3699999999999992</v>
      </c>
      <c r="AA324" s="51" t="s">
        <v>417</v>
      </c>
      <c r="AB324" s="51">
        <v>6</v>
      </c>
      <c r="AC324" s="122" t="s">
        <v>146</v>
      </c>
      <c r="AD324" s="31">
        <v>1.75</v>
      </c>
      <c r="AE324" s="32" t="s">
        <v>194</v>
      </c>
    </row>
    <row r="325" spans="1:31">
      <c r="A325" s="135">
        <v>2</v>
      </c>
      <c r="B325" s="38" t="s">
        <v>413</v>
      </c>
      <c r="C325" s="122">
        <v>7</v>
      </c>
      <c r="D325" s="122">
        <v>928</v>
      </c>
      <c r="E325" s="117">
        <v>806820</v>
      </c>
      <c r="F325" s="138">
        <v>107</v>
      </c>
      <c r="G325" s="34">
        <v>928107</v>
      </c>
      <c r="H325" s="119">
        <v>31.89</v>
      </c>
      <c r="I325" s="101">
        <v>31.89</v>
      </c>
      <c r="J325" s="100"/>
      <c r="K325" s="22" t="s">
        <v>148</v>
      </c>
      <c r="L325" s="125" t="s">
        <v>148</v>
      </c>
      <c r="M325" s="23" t="s">
        <v>310</v>
      </c>
      <c r="N325" s="122" t="s">
        <v>140</v>
      </c>
      <c r="O325" s="122"/>
      <c r="P325" s="24" t="s">
        <v>414</v>
      </c>
      <c r="Q325" s="25">
        <v>43650</v>
      </c>
      <c r="R325" s="26" t="s">
        <v>142</v>
      </c>
      <c r="S325" s="27" t="s">
        <v>206</v>
      </c>
      <c r="T325" s="27" t="s">
        <v>390</v>
      </c>
      <c r="U325" s="124" t="s">
        <v>140</v>
      </c>
      <c r="V325" s="39">
        <v>6</v>
      </c>
      <c r="W325" s="124"/>
      <c r="X325" s="66" t="s">
        <v>362</v>
      </c>
      <c r="Y325" s="66"/>
      <c r="Z325" s="29">
        <v>0</v>
      </c>
      <c r="AA325" s="51" t="s">
        <v>362</v>
      </c>
      <c r="AB325" s="51"/>
      <c r="AC325" s="122" t="s">
        <v>155</v>
      </c>
      <c r="AD325" s="31">
        <v>1.75</v>
      </c>
      <c r="AE325" s="32" t="s">
        <v>194</v>
      </c>
    </row>
    <row r="326" spans="1:31">
      <c r="A326" s="135">
        <v>2</v>
      </c>
      <c r="B326" s="38" t="s">
        <v>413</v>
      </c>
      <c r="C326" s="122">
        <v>8</v>
      </c>
      <c r="D326" s="122">
        <v>928</v>
      </c>
      <c r="E326" s="117">
        <v>806821</v>
      </c>
      <c r="F326" s="138">
        <v>108</v>
      </c>
      <c r="G326" s="34">
        <v>928108</v>
      </c>
      <c r="H326" s="119">
        <v>25.87</v>
      </c>
      <c r="I326" s="101"/>
      <c r="J326" s="100">
        <v>25.87</v>
      </c>
      <c r="K326" s="22" t="s">
        <v>172</v>
      </c>
      <c r="L326" s="23" t="s">
        <v>86</v>
      </c>
      <c r="M326" s="23"/>
      <c r="N326" s="122" t="s">
        <v>255</v>
      </c>
      <c r="O326" s="122">
        <v>3</v>
      </c>
      <c r="P326" s="24" t="s">
        <v>418</v>
      </c>
      <c r="Q326" s="25">
        <v>14400</v>
      </c>
      <c r="R326" s="26" t="s">
        <v>142</v>
      </c>
      <c r="S326" s="27" t="s">
        <v>159</v>
      </c>
      <c r="T326" s="27" t="s">
        <v>160</v>
      </c>
      <c r="U326" s="124" t="s">
        <v>255</v>
      </c>
      <c r="V326" s="39">
        <v>3</v>
      </c>
      <c r="W326" s="29">
        <v>3880.5</v>
      </c>
      <c r="X326" s="139" t="s">
        <v>419</v>
      </c>
      <c r="Y326" s="139">
        <v>1</v>
      </c>
      <c r="Z326" s="30">
        <v>25.87</v>
      </c>
      <c r="AA326" s="51" t="s">
        <v>420</v>
      </c>
      <c r="AB326" s="51">
        <v>2</v>
      </c>
      <c r="AC326" s="122" t="s">
        <v>155</v>
      </c>
      <c r="AD326" s="31">
        <v>1.85</v>
      </c>
      <c r="AE326" s="32" t="s">
        <v>194</v>
      </c>
    </row>
    <row r="327" spans="1:31">
      <c r="A327" s="135">
        <v>2</v>
      </c>
      <c r="B327" s="38" t="s">
        <v>413</v>
      </c>
      <c r="C327" s="122">
        <v>9</v>
      </c>
      <c r="D327" s="122">
        <v>928</v>
      </c>
      <c r="E327" s="117">
        <v>806822</v>
      </c>
      <c r="F327" s="138">
        <v>109</v>
      </c>
      <c r="G327" s="34">
        <v>928109</v>
      </c>
      <c r="H327" s="119">
        <v>17.28</v>
      </c>
      <c r="I327" s="101">
        <v>17.28</v>
      </c>
      <c r="J327" s="100"/>
      <c r="K327" s="22" t="s">
        <v>148</v>
      </c>
      <c r="L327" s="125" t="s">
        <v>148</v>
      </c>
      <c r="M327" s="23" t="s">
        <v>328</v>
      </c>
      <c r="N327" s="122" t="s">
        <v>255</v>
      </c>
      <c r="O327" s="122">
        <v>3</v>
      </c>
      <c r="P327" s="24" t="s">
        <v>418</v>
      </c>
      <c r="Q327" s="25">
        <v>14400</v>
      </c>
      <c r="R327" s="26"/>
      <c r="S327" s="27" t="s">
        <v>159</v>
      </c>
      <c r="T327" s="27" t="s">
        <v>219</v>
      </c>
      <c r="U327" s="124" t="s">
        <v>255</v>
      </c>
      <c r="V327" s="39">
        <v>0</v>
      </c>
      <c r="W327" s="124"/>
      <c r="X327" s="66" t="s">
        <v>362</v>
      </c>
      <c r="Y327" s="66"/>
      <c r="Z327" s="29">
        <v>0</v>
      </c>
      <c r="AA327" s="51" t="s">
        <v>362</v>
      </c>
      <c r="AB327" s="51"/>
      <c r="AC327" s="122" t="s">
        <v>155</v>
      </c>
      <c r="AD327" s="32">
        <v>1.85</v>
      </c>
      <c r="AE327" s="32" t="s">
        <v>194</v>
      </c>
    </row>
    <row r="328" spans="1:31">
      <c r="A328" s="135">
        <v>2</v>
      </c>
      <c r="B328" s="38" t="s">
        <v>413</v>
      </c>
      <c r="C328" s="122">
        <v>10</v>
      </c>
      <c r="D328" s="122">
        <v>928</v>
      </c>
      <c r="E328" s="117">
        <v>806828</v>
      </c>
      <c r="F328" s="138">
        <v>110</v>
      </c>
      <c r="G328" s="34">
        <v>928110</v>
      </c>
      <c r="H328" s="119">
        <v>24.61</v>
      </c>
      <c r="I328" s="101"/>
      <c r="J328" s="100">
        <v>24.61</v>
      </c>
      <c r="K328" s="22" t="s">
        <v>137</v>
      </c>
      <c r="L328" s="23" t="s">
        <v>138</v>
      </c>
      <c r="M328" s="23" t="s">
        <v>245</v>
      </c>
      <c r="N328" s="122" t="s">
        <v>140</v>
      </c>
      <c r="O328" s="122">
        <v>4</v>
      </c>
      <c r="P328" s="24" t="s">
        <v>421</v>
      </c>
      <c r="Q328" s="25">
        <v>9400</v>
      </c>
      <c r="R328" s="26" t="s">
        <v>422</v>
      </c>
      <c r="S328" s="27" t="s">
        <v>385</v>
      </c>
      <c r="T328" s="27" t="s">
        <v>144</v>
      </c>
      <c r="U328" s="124" t="s">
        <v>255</v>
      </c>
      <c r="V328" s="39">
        <v>4</v>
      </c>
      <c r="W328" s="29">
        <v>4922</v>
      </c>
      <c r="X328" s="139" t="s">
        <v>416</v>
      </c>
      <c r="Y328" s="139"/>
      <c r="Z328" s="30">
        <v>24.61</v>
      </c>
      <c r="AA328" s="51" t="s">
        <v>423</v>
      </c>
      <c r="AB328" s="51">
        <v>4</v>
      </c>
      <c r="AC328" s="21" t="s">
        <v>146</v>
      </c>
      <c r="AD328" s="31">
        <v>1.75</v>
      </c>
      <c r="AE328" s="32" t="s">
        <v>194</v>
      </c>
    </row>
    <row r="329" spans="1:31">
      <c r="A329" s="135">
        <v>2</v>
      </c>
      <c r="B329" s="38" t="s">
        <v>413</v>
      </c>
      <c r="C329" s="122">
        <v>11</v>
      </c>
      <c r="D329" s="122">
        <v>928</v>
      </c>
      <c r="E329" s="117">
        <v>806829</v>
      </c>
      <c r="F329" s="138">
        <v>111</v>
      </c>
      <c r="G329" s="34">
        <v>928111</v>
      </c>
      <c r="H329" s="119">
        <v>20.45</v>
      </c>
      <c r="I329" s="101"/>
      <c r="J329" s="100">
        <v>20.45</v>
      </c>
      <c r="K329" s="22" t="s">
        <v>137</v>
      </c>
      <c r="L329" s="23" t="s">
        <v>138</v>
      </c>
      <c r="M329" s="53" t="s">
        <v>245</v>
      </c>
      <c r="N329" s="122" t="s">
        <v>140</v>
      </c>
      <c r="O329" s="122">
        <v>5</v>
      </c>
      <c r="P329" s="24" t="s">
        <v>421</v>
      </c>
      <c r="Q329" s="25">
        <v>9400</v>
      </c>
      <c r="R329" s="26" t="s">
        <v>422</v>
      </c>
      <c r="S329" s="27" t="s">
        <v>385</v>
      </c>
      <c r="T329" s="27" t="s">
        <v>144</v>
      </c>
      <c r="U329" s="124" t="s">
        <v>255</v>
      </c>
      <c r="V329" s="39">
        <v>4</v>
      </c>
      <c r="W329" s="29">
        <v>4090</v>
      </c>
      <c r="X329" s="139" t="s">
        <v>416</v>
      </c>
      <c r="Y329" s="139"/>
      <c r="Z329" s="30">
        <v>20.45</v>
      </c>
      <c r="AA329" s="51" t="s">
        <v>423</v>
      </c>
      <c r="AB329" s="51">
        <v>4</v>
      </c>
      <c r="AC329" s="21" t="s">
        <v>146</v>
      </c>
      <c r="AD329" s="31">
        <v>1.75</v>
      </c>
      <c r="AE329" s="32" t="s">
        <v>194</v>
      </c>
    </row>
    <row r="330" spans="1:31">
      <c r="A330" s="135">
        <v>2</v>
      </c>
      <c r="B330" s="38" t="s">
        <v>413</v>
      </c>
      <c r="C330" s="122">
        <v>12</v>
      </c>
      <c r="D330" s="122">
        <v>928</v>
      </c>
      <c r="E330" s="117">
        <v>806832</v>
      </c>
      <c r="F330" s="138">
        <v>112</v>
      </c>
      <c r="G330" s="34">
        <v>928112</v>
      </c>
      <c r="H330" s="119">
        <v>27.76</v>
      </c>
      <c r="I330" s="101"/>
      <c r="J330" s="100">
        <v>27.76</v>
      </c>
      <c r="K330" s="22" t="s">
        <v>170</v>
      </c>
      <c r="L330" s="23" t="s">
        <v>86</v>
      </c>
      <c r="M330" s="23" t="s">
        <v>178</v>
      </c>
      <c r="N330" s="122" t="s">
        <v>140</v>
      </c>
      <c r="O330" s="122">
        <v>5</v>
      </c>
      <c r="P330" s="24" t="s">
        <v>424</v>
      </c>
      <c r="Q330" s="25">
        <v>7400</v>
      </c>
      <c r="R330" s="26" t="s">
        <v>142</v>
      </c>
      <c r="S330" s="27" t="s">
        <v>159</v>
      </c>
      <c r="T330" s="27" t="s">
        <v>160</v>
      </c>
      <c r="U330" s="124" t="s">
        <v>255</v>
      </c>
      <c r="V330" s="39">
        <v>2</v>
      </c>
      <c r="W330" s="29">
        <v>2776</v>
      </c>
      <c r="X330" s="139" t="s">
        <v>419</v>
      </c>
      <c r="Y330" s="139"/>
      <c r="Z330" s="30">
        <v>27.76</v>
      </c>
      <c r="AA330" s="51" t="s">
        <v>420</v>
      </c>
      <c r="AB330" s="51">
        <v>2</v>
      </c>
      <c r="AC330" s="21" t="s">
        <v>155</v>
      </c>
      <c r="AD330" s="31">
        <v>1.85</v>
      </c>
      <c r="AE330" s="32" t="s">
        <v>194</v>
      </c>
    </row>
    <row r="331" spans="1:31">
      <c r="A331" s="135">
        <v>2</v>
      </c>
      <c r="B331" s="38" t="s">
        <v>413</v>
      </c>
      <c r="C331" s="122">
        <v>13</v>
      </c>
      <c r="D331" s="122">
        <v>928</v>
      </c>
      <c r="E331" s="117">
        <v>806833</v>
      </c>
      <c r="F331" s="138">
        <v>113</v>
      </c>
      <c r="G331" s="34">
        <v>928113</v>
      </c>
      <c r="H331" s="119">
        <v>25</v>
      </c>
      <c r="I331" s="101"/>
      <c r="J331" s="100">
        <v>25</v>
      </c>
      <c r="K331" s="22" t="s">
        <v>170</v>
      </c>
      <c r="L331" s="23" t="s">
        <v>86</v>
      </c>
      <c r="M331" s="23" t="s">
        <v>149</v>
      </c>
      <c r="N331" s="122" t="s">
        <v>140</v>
      </c>
      <c r="O331" s="122">
        <v>5</v>
      </c>
      <c r="P331" s="24" t="s">
        <v>424</v>
      </c>
      <c r="Q331" s="25">
        <v>7400</v>
      </c>
      <c r="R331" s="26" t="s">
        <v>142</v>
      </c>
      <c r="S331" s="27" t="s">
        <v>159</v>
      </c>
      <c r="T331" s="27" t="s">
        <v>160</v>
      </c>
      <c r="U331" s="124" t="s">
        <v>255</v>
      </c>
      <c r="V331" s="39">
        <v>2</v>
      </c>
      <c r="W331" s="29">
        <v>2500</v>
      </c>
      <c r="X331" s="139" t="s">
        <v>419</v>
      </c>
      <c r="Y331" s="139"/>
      <c r="Z331" s="30">
        <v>25</v>
      </c>
      <c r="AA331" s="51" t="s">
        <v>420</v>
      </c>
      <c r="AB331" s="51">
        <v>2</v>
      </c>
      <c r="AC331" s="122" t="s">
        <v>155</v>
      </c>
      <c r="AD331" s="32">
        <v>1.85</v>
      </c>
      <c r="AE331" s="32" t="s">
        <v>194</v>
      </c>
    </row>
    <row r="332" spans="1:31">
      <c r="A332" s="135">
        <v>2</v>
      </c>
      <c r="B332" s="38" t="s">
        <v>413</v>
      </c>
      <c r="C332" s="122">
        <v>14</v>
      </c>
      <c r="D332" s="122">
        <v>928</v>
      </c>
      <c r="E332" s="117">
        <v>806834</v>
      </c>
      <c r="F332" s="138">
        <v>114</v>
      </c>
      <c r="G332" s="34">
        <v>928114</v>
      </c>
      <c r="H332" s="119">
        <v>20.67</v>
      </c>
      <c r="I332" s="101"/>
      <c r="J332" s="100">
        <v>20.67</v>
      </c>
      <c r="K332" s="22" t="s">
        <v>170</v>
      </c>
      <c r="L332" s="23" t="s">
        <v>86</v>
      </c>
      <c r="M332" s="23" t="s">
        <v>149</v>
      </c>
      <c r="N332" s="122" t="s">
        <v>140</v>
      </c>
      <c r="O332" s="122">
        <v>5</v>
      </c>
      <c r="P332" s="24" t="s">
        <v>424</v>
      </c>
      <c r="Q332" s="25">
        <v>7400</v>
      </c>
      <c r="R332" s="26" t="s">
        <v>142</v>
      </c>
      <c r="S332" s="27" t="s">
        <v>159</v>
      </c>
      <c r="T332" s="27" t="s">
        <v>160</v>
      </c>
      <c r="U332" s="124" t="s">
        <v>255</v>
      </c>
      <c r="V332" s="39">
        <v>2</v>
      </c>
      <c r="W332" s="29">
        <v>2067</v>
      </c>
      <c r="X332" s="139" t="s">
        <v>419</v>
      </c>
      <c r="Y332" s="139"/>
      <c r="Z332" s="30">
        <v>20.67</v>
      </c>
      <c r="AA332" s="51" t="s">
        <v>420</v>
      </c>
      <c r="AB332" s="51">
        <v>2</v>
      </c>
      <c r="AC332" s="122" t="s">
        <v>155</v>
      </c>
      <c r="AD332" s="31">
        <v>1.85</v>
      </c>
      <c r="AE332" s="32" t="s">
        <v>194</v>
      </c>
    </row>
    <row r="333" spans="1:31">
      <c r="A333" s="135">
        <v>2</v>
      </c>
      <c r="B333" s="38" t="s">
        <v>413</v>
      </c>
      <c r="C333" s="122">
        <v>19</v>
      </c>
      <c r="D333" s="122">
        <v>928</v>
      </c>
      <c r="E333" s="33">
        <v>151</v>
      </c>
      <c r="F333" s="34">
        <v>119</v>
      </c>
      <c r="G333" s="34">
        <v>928119</v>
      </c>
      <c r="H333" s="119">
        <v>25.36</v>
      </c>
      <c r="I333" s="101"/>
      <c r="J333" s="100">
        <v>25.36</v>
      </c>
      <c r="K333" s="22" t="s">
        <v>137</v>
      </c>
      <c r="L333" s="11" t="s">
        <v>138</v>
      </c>
      <c r="M333" s="23" t="s">
        <v>245</v>
      </c>
      <c r="N333" s="122" t="s">
        <v>255</v>
      </c>
      <c r="O333" s="122">
        <v>3</v>
      </c>
      <c r="P333" s="24" t="s">
        <v>425</v>
      </c>
      <c r="Q333" s="25">
        <v>16000</v>
      </c>
      <c r="R333" s="26" t="s">
        <v>142</v>
      </c>
      <c r="S333" s="27" t="s">
        <v>159</v>
      </c>
      <c r="T333" s="27" t="s">
        <v>160</v>
      </c>
      <c r="U333" s="124" t="s">
        <v>255</v>
      </c>
      <c r="V333" s="39">
        <v>2</v>
      </c>
      <c r="W333" s="29">
        <v>2536</v>
      </c>
      <c r="X333" s="139" t="s">
        <v>419</v>
      </c>
      <c r="Y333" s="139"/>
      <c r="Z333" s="30">
        <v>25.36</v>
      </c>
      <c r="AA333" s="51" t="s">
        <v>420</v>
      </c>
      <c r="AB333" s="51">
        <v>2</v>
      </c>
      <c r="AC333" s="21" t="s">
        <v>146</v>
      </c>
      <c r="AD333" s="31">
        <v>1.75</v>
      </c>
      <c r="AE333" s="32" t="s">
        <v>194</v>
      </c>
    </row>
    <row r="334" spans="1:31">
      <c r="A334" s="135">
        <v>2</v>
      </c>
      <c r="B334" s="38" t="s">
        <v>413</v>
      </c>
      <c r="C334" s="122">
        <v>20</v>
      </c>
      <c r="D334" s="122">
        <v>928</v>
      </c>
      <c r="E334" s="33">
        <v>152</v>
      </c>
      <c r="F334" s="34">
        <v>120</v>
      </c>
      <c r="G334" s="34">
        <v>928120</v>
      </c>
      <c r="H334" s="119">
        <v>47.92</v>
      </c>
      <c r="I334" s="101"/>
      <c r="J334" s="100">
        <v>47.92</v>
      </c>
      <c r="K334" s="125" t="s">
        <v>172</v>
      </c>
      <c r="L334" s="11" t="s">
        <v>86</v>
      </c>
      <c r="M334" s="23"/>
      <c r="N334" s="122" t="s">
        <v>255</v>
      </c>
      <c r="O334" s="122">
        <v>3</v>
      </c>
      <c r="P334" s="24" t="s">
        <v>425</v>
      </c>
      <c r="Q334" s="25">
        <v>16000</v>
      </c>
      <c r="R334" s="26" t="s">
        <v>142</v>
      </c>
      <c r="S334" s="27" t="s">
        <v>159</v>
      </c>
      <c r="T334" s="27" t="s">
        <v>160</v>
      </c>
      <c r="U334" s="124" t="s">
        <v>255</v>
      </c>
      <c r="V334" s="39">
        <v>2</v>
      </c>
      <c r="W334" s="29">
        <v>4792</v>
      </c>
      <c r="X334" s="139" t="s">
        <v>419</v>
      </c>
      <c r="Y334" s="139"/>
      <c r="Z334" s="30">
        <v>47.92</v>
      </c>
      <c r="AA334" s="51" t="s">
        <v>420</v>
      </c>
      <c r="AB334" s="51">
        <v>2</v>
      </c>
      <c r="AC334" s="21"/>
      <c r="AD334" s="31"/>
      <c r="AE334" s="32" t="s">
        <v>194</v>
      </c>
    </row>
    <row r="335" spans="1:31">
      <c r="A335" s="135">
        <v>2</v>
      </c>
      <c r="B335" s="38" t="s">
        <v>413</v>
      </c>
      <c r="C335" s="122">
        <v>21</v>
      </c>
      <c r="D335" s="122">
        <v>928</v>
      </c>
      <c r="E335" s="33">
        <v>154</v>
      </c>
      <c r="F335" s="34">
        <v>121</v>
      </c>
      <c r="G335" s="34">
        <v>928121</v>
      </c>
      <c r="H335" s="119">
        <v>28.29</v>
      </c>
      <c r="I335" s="101"/>
      <c r="J335" s="100">
        <v>28.29</v>
      </c>
      <c r="K335" s="22" t="s">
        <v>172</v>
      </c>
      <c r="L335" s="11" t="s">
        <v>86</v>
      </c>
      <c r="M335" s="23"/>
      <c r="N335" s="122" t="s">
        <v>255</v>
      </c>
      <c r="O335" s="122">
        <v>3</v>
      </c>
      <c r="P335" s="24" t="s">
        <v>425</v>
      </c>
      <c r="Q335" s="25">
        <v>16000</v>
      </c>
      <c r="R335" s="26" t="s">
        <v>142</v>
      </c>
      <c r="S335" s="27" t="s">
        <v>159</v>
      </c>
      <c r="T335" s="27" t="s">
        <v>160</v>
      </c>
      <c r="U335" s="124" t="s">
        <v>255</v>
      </c>
      <c r="V335" s="39">
        <v>2</v>
      </c>
      <c r="W335" s="29">
        <v>2829</v>
      </c>
      <c r="X335" s="139" t="s">
        <v>419</v>
      </c>
      <c r="Y335" s="139"/>
      <c r="Z335" s="30">
        <v>28.29</v>
      </c>
      <c r="AA335" s="51" t="s">
        <v>420</v>
      </c>
      <c r="AB335" s="51">
        <v>2</v>
      </c>
      <c r="AC335" s="21"/>
      <c r="AD335" s="31"/>
      <c r="AE335" s="32" t="s">
        <v>194</v>
      </c>
    </row>
    <row r="336" spans="1:31">
      <c r="A336" s="135">
        <v>2</v>
      </c>
      <c r="B336" s="38" t="s">
        <v>413</v>
      </c>
      <c r="C336" s="122">
        <v>22</v>
      </c>
      <c r="D336" s="122">
        <v>928</v>
      </c>
      <c r="E336" s="33">
        <v>155</v>
      </c>
      <c r="F336" s="34">
        <v>122</v>
      </c>
      <c r="G336" s="34">
        <v>928122</v>
      </c>
      <c r="H336" s="119">
        <v>31.2</v>
      </c>
      <c r="I336" s="101"/>
      <c r="J336" s="100">
        <v>31.2</v>
      </c>
      <c r="K336" s="22" t="s">
        <v>172</v>
      </c>
      <c r="L336" s="11" t="s">
        <v>86</v>
      </c>
      <c r="M336" s="23"/>
      <c r="N336" s="122" t="s">
        <v>255</v>
      </c>
      <c r="O336" s="122">
        <v>3</v>
      </c>
      <c r="P336" s="24" t="s">
        <v>425</v>
      </c>
      <c r="Q336" s="25">
        <v>16000</v>
      </c>
      <c r="R336" s="26" t="s">
        <v>142</v>
      </c>
      <c r="S336" s="27" t="s">
        <v>159</v>
      </c>
      <c r="T336" s="27" t="s">
        <v>160</v>
      </c>
      <c r="U336" s="124" t="s">
        <v>255</v>
      </c>
      <c r="V336" s="39">
        <v>2</v>
      </c>
      <c r="W336" s="29">
        <v>3120</v>
      </c>
      <c r="X336" s="139" t="s">
        <v>419</v>
      </c>
      <c r="Y336" s="139"/>
      <c r="Z336" s="30">
        <v>31.2</v>
      </c>
      <c r="AA336" s="51" t="s">
        <v>420</v>
      </c>
      <c r="AB336" s="51">
        <v>2</v>
      </c>
      <c r="AC336" s="21"/>
      <c r="AD336" s="31"/>
      <c r="AE336" s="32" t="s">
        <v>194</v>
      </c>
    </row>
    <row r="337" spans="1:31">
      <c r="A337" s="135">
        <v>2</v>
      </c>
      <c r="B337" s="38" t="s">
        <v>413</v>
      </c>
      <c r="C337" s="122">
        <v>23</v>
      </c>
      <c r="D337" s="122">
        <v>928</v>
      </c>
      <c r="E337" s="33">
        <v>156</v>
      </c>
      <c r="F337" s="34">
        <v>123</v>
      </c>
      <c r="G337" s="34">
        <v>928123</v>
      </c>
      <c r="H337" s="119">
        <v>15.61</v>
      </c>
      <c r="I337" s="101"/>
      <c r="J337" s="100">
        <v>15.61</v>
      </c>
      <c r="K337" s="125" t="s">
        <v>172</v>
      </c>
      <c r="L337" s="11" t="s">
        <v>86</v>
      </c>
      <c r="M337" s="23"/>
      <c r="N337" s="122" t="s">
        <v>140</v>
      </c>
      <c r="O337" s="122">
        <v>4</v>
      </c>
      <c r="P337" s="24" t="s">
        <v>425</v>
      </c>
      <c r="Q337" s="25">
        <v>16000</v>
      </c>
      <c r="R337" s="26" t="s">
        <v>142</v>
      </c>
      <c r="S337" s="27" t="s">
        <v>159</v>
      </c>
      <c r="T337" s="27" t="s">
        <v>160</v>
      </c>
      <c r="U337" s="124" t="s">
        <v>255</v>
      </c>
      <c r="V337" s="39">
        <v>2</v>
      </c>
      <c r="W337" s="29">
        <v>1561</v>
      </c>
      <c r="X337" s="139" t="s">
        <v>419</v>
      </c>
      <c r="Y337" s="139"/>
      <c r="Z337" s="30">
        <v>15.61</v>
      </c>
      <c r="AA337" s="51" t="s">
        <v>420</v>
      </c>
      <c r="AB337" s="51">
        <v>2</v>
      </c>
      <c r="AC337" s="21"/>
      <c r="AD337" s="31"/>
      <c r="AE337" s="32" t="s">
        <v>194</v>
      </c>
    </row>
    <row r="338" spans="1:31">
      <c r="A338" s="135">
        <v>2</v>
      </c>
      <c r="B338" s="38" t="s">
        <v>413</v>
      </c>
      <c r="C338" s="122">
        <v>24</v>
      </c>
      <c r="D338" s="122">
        <v>928</v>
      </c>
      <c r="E338" s="117">
        <v>806840</v>
      </c>
      <c r="F338" s="138">
        <v>124</v>
      </c>
      <c r="G338" s="34">
        <v>928124</v>
      </c>
      <c r="H338" s="119">
        <v>37.54</v>
      </c>
      <c r="I338" s="101"/>
      <c r="J338" s="100">
        <v>37.54</v>
      </c>
      <c r="K338" s="22" t="s">
        <v>137</v>
      </c>
      <c r="L338" s="11" t="s">
        <v>138</v>
      </c>
      <c r="M338" s="23" t="s">
        <v>245</v>
      </c>
      <c r="N338" s="122" t="s">
        <v>140</v>
      </c>
      <c r="O338" s="122">
        <v>5</v>
      </c>
      <c r="P338" s="24" t="s">
        <v>426</v>
      </c>
      <c r="Q338" s="25">
        <v>10160</v>
      </c>
      <c r="R338" s="26" t="s">
        <v>142</v>
      </c>
      <c r="S338" s="27" t="s">
        <v>159</v>
      </c>
      <c r="T338" s="27" t="s">
        <v>160</v>
      </c>
      <c r="U338" s="124" t="s">
        <v>255</v>
      </c>
      <c r="V338" s="39">
        <v>3</v>
      </c>
      <c r="W338" s="29">
        <v>5631</v>
      </c>
      <c r="X338" s="139" t="s">
        <v>419</v>
      </c>
      <c r="Y338" s="139"/>
      <c r="Z338" s="30">
        <v>37.54</v>
      </c>
      <c r="AA338" s="51" t="s">
        <v>420</v>
      </c>
      <c r="AB338" s="51">
        <v>2</v>
      </c>
      <c r="AC338" s="21" t="s">
        <v>146</v>
      </c>
      <c r="AD338" s="31">
        <v>1.75</v>
      </c>
      <c r="AE338" s="32" t="s">
        <v>194</v>
      </c>
    </row>
    <row r="339" spans="1:31">
      <c r="A339" s="135">
        <v>2</v>
      </c>
      <c r="B339" s="38" t="s">
        <v>413</v>
      </c>
      <c r="C339" s="122">
        <v>25</v>
      </c>
      <c r="D339" s="122">
        <v>928</v>
      </c>
      <c r="E339" s="117">
        <v>806803</v>
      </c>
      <c r="F339" s="138">
        <v>125</v>
      </c>
      <c r="G339" s="34">
        <v>928125</v>
      </c>
      <c r="H339" s="119">
        <v>9.6999999999999993</v>
      </c>
      <c r="I339" s="101"/>
      <c r="J339" s="100">
        <v>9.6999999999999993</v>
      </c>
      <c r="K339" s="22" t="s">
        <v>161</v>
      </c>
      <c r="L339" s="11" t="s">
        <v>138</v>
      </c>
      <c r="M339" s="23" t="s">
        <v>149</v>
      </c>
      <c r="N339" s="122" t="s">
        <v>255</v>
      </c>
      <c r="O339" s="122">
        <v>3</v>
      </c>
      <c r="P339" s="24" t="s">
        <v>426</v>
      </c>
      <c r="Q339" s="25">
        <v>10160</v>
      </c>
      <c r="R339" s="26" t="s">
        <v>142</v>
      </c>
      <c r="S339" s="27" t="s">
        <v>159</v>
      </c>
      <c r="T339" s="27" t="s">
        <v>160</v>
      </c>
      <c r="U339" s="124" t="s">
        <v>255</v>
      </c>
      <c r="V339" s="39">
        <v>3</v>
      </c>
      <c r="W339" s="29">
        <v>1455</v>
      </c>
      <c r="X339" s="139" t="s">
        <v>419</v>
      </c>
      <c r="Y339" s="139"/>
      <c r="Z339" s="30">
        <v>9.6999999999999993</v>
      </c>
      <c r="AA339" s="51" t="s">
        <v>420</v>
      </c>
      <c r="AB339" s="51">
        <v>2</v>
      </c>
      <c r="AC339" s="21" t="s">
        <v>155</v>
      </c>
      <c r="AD339" s="31">
        <v>1.75</v>
      </c>
      <c r="AE339" s="32" t="s">
        <v>194</v>
      </c>
    </row>
    <row r="340" spans="1:31">
      <c r="A340" s="135">
        <v>2</v>
      </c>
      <c r="B340" s="38" t="s">
        <v>413</v>
      </c>
      <c r="C340" s="122">
        <v>26</v>
      </c>
      <c r="D340" s="122">
        <v>928</v>
      </c>
      <c r="E340" s="117">
        <v>806804</v>
      </c>
      <c r="F340" s="138">
        <v>126</v>
      </c>
      <c r="G340" s="34">
        <v>928126</v>
      </c>
      <c r="H340" s="119">
        <v>15.38</v>
      </c>
      <c r="I340" s="101"/>
      <c r="J340" s="100">
        <v>15.38</v>
      </c>
      <c r="K340" s="22" t="s">
        <v>161</v>
      </c>
      <c r="L340" s="11" t="s">
        <v>138</v>
      </c>
      <c r="M340" s="23" t="s">
        <v>149</v>
      </c>
      <c r="N340" s="122" t="s">
        <v>255</v>
      </c>
      <c r="O340" s="122">
        <v>3</v>
      </c>
      <c r="P340" s="24" t="s">
        <v>426</v>
      </c>
      <c r="Q340" s="25">
        <v>10160</v>
      </c>
      <c r="R340" s="26" t="s">
        <v>142</v>
      </c>
      <c r="S340" s="27" t="s">
        <v>159</v>
      </c>
      <c r="T340" s="27" t="s">
        <v>160</v>
      </c>
      <c r="U340" s="124" t="s">
        <v>255</v>
      </c>
      <c r="V340" s="39">
        <v>3</v>
      </c>
      <c r="W340" s="29">
        <v>2307</v>
      </c>
      <c r="X340" s="139" t="s">
        <v>419</v>
      </c>
      <c r="Y340" s="139"/>
      <c r="Z340" s="30">
        <v>15.38</v>
      </c>
      <c r="AA340" s="51" t="s">
        <v>420</v>
      </c>
      <c r="AB340" s="51">
        <v>2</v>
      </c>
      <c r="AC340" s="21" t="s">
        <v>155</v>
      </c>
      <c r="AD340" s="31">
        <v>1.75</v>
      </c>
      <c r="AE340" s="32" t="s">
        <v>194</v>
      </c>
    </row>
    <row r="341" spans="1:31">
      <c r="A341" s="135">
        <v>2</v>
      </c>
      <c r="B341" s="38" t="s">
        <v>413</v>
      </c>
      <c r="C341" s="122">
        <v>27</v>
      </c>
      <c r="D341" s="122">
        <v>928</v>
      </c>
      <c r="E341" s="117">
        <v>806805</v>
      </c>
      <c r="F341" s="138">
        <v>127</v>
      </c>
      <c r="G341" s="34">
        <v>928127</v>
      </c>
      <c r="H341" s="119">
        <v>25.44</v>
      </c>
      <c r="I341" s="101">
        <v>25.44</v>
      </c>
      <c r="J341" s="100"/>
      <c r="K341" s="22" t="s">
        <v>148</v>
      </c>
      <c r="L341" s="22" t="s">
        <v>148</v>
      </c>
      <c r="M341" s="23" t="s">
        <v>149</v>
      </c>
      <c r="N341" s="122" t="s">
        <v>255</v>
      </c>
      <c r="O341" s="122"/>
      <c r="P341" s="24" t="s">
        <v>427</v>
      </c>
      <c r="Q341" s="25">
        <v>8400</v>
      </c>
      <c r="R341" s="26" t="s">
        <v>142</v>
      </c>
      <c r="S341" s="27" t="s">
        <v>159</v>
      </c>
      <c r="T341" s="27" t="s">
        <v>219</v>
      </c>
      <c r="U341" s="124" t="s">
        <v>255</v>
      </c>
      <c r="V341" s="39">
        <v>0</v>
      </c>
      <c r="W341" s="124"/>
      <c r="X341" s="66" t="s">
        <v>362</v>
      </c>
      <c r="Y341" s="66"/>
      <c r="Z341" s="29">
        <v>0</v>
      </c>
      <c r="AA341" s="51" t="s">
        <v>362</v>
      </c>
      <c r="AB341" s="51"/>
      <c r="AC341" s="21" t="s">
        <v>155</v>
      </c>
      <c r="AD341" s="31">
        <v>1.75</v>
      </c>
      <c r="AE341" s="32" t="s">
        <v>194</v>
      </c>
    </row>
    <row r="342" spans="1:31">
      <c r="A342" s="135">
        <v>2</v>
      </c>
      <c r="B342" s="38" t="s">
        <v>413</v>
      </c>
      <c r="C342" s="122">
        <v>28</v>
      </c>
      <c r="D342" s="122">
        <v>928</v>
      </c>
      <c r="E342" s="117" t="s">
        <v>428</v>
      </c>
      <c r="F342" s="138">
        <v>128</v>
      </c>
      <c r="G342" s="34">
        <v>928128</v>
      </c>
      <c r="H342" s="119">
        <v>18.87</v>
      </c>
      <c r="I342" s="101"/>
      <c r="J342" s="100">
        <v>18.87</v>
      </c>
      <c r="K342" s="22" t="s">
        <v>172</v>
      </c>
      <c r="L342" s="11" t="s">
        <v>86</v>
      </c>
      <c r="M342" s="23"/>
      <c r="N342" s="122" t="s">
        <v>255</v>
      </c>
      <c r="O342" s="122">
        <v>3</v>
      </c>
      <c r="P342" s="24" t="s">
        <v>427</v>
      </c>
      <c r="Q342" s="25">
        <v>8400</v>
      </c>
      <c r="R342" s="26" t="s">
        <v>142</v>
      </c>
      <c r="S342" s="27" t="s">
        <v>159</v>
      </c>
      <c r="T342" s="27" t="s">
        <v>160</v>
      </c>
      <c r="U342" s="124" t="s">
        <v>140</v>
      </c>
      <c r="V342" s="39">
        <v>8</v>
      </c>
      <c r="W342" s="29">
        <v>7548</v>
      </c>
      <c r="X342" s="139" t="s">
        <v>419</v>
      </c>
      <c r="Y342" s="139"/>
      <c r="Z342" s="30">
        <v>18.87</v>
      </c>
      <c r="AA342" s="51" t="s">
        <v>420</v>
      </c>
      <c r="AB342" s="51">
        <v>2</v>
      </c>
      <c r="AC342" s="21" t="s">
        <v>155</v>
      </c>
      <c r="AD342" s="31">
        <v>1.85</v>
      </c>
      <c r="AE342" s="32" t="s">
        <v>194</v>
      </c>
    </row>
    <row r="343" spans="1:31">
      <c r="A343" s="135">
        <v>2</v>
      </c>
      <c r="B343" s="38" t="s">
        <v>413</v>
      </c>
      <c r="C343" s="122">
        <v>29</v>
      </c>
      <c r="D343" s="122">
        <v>928</v>
      </c>
      <c r="E343" s="117">
        <v>806810</v>
      </c>
      <c r="F343" s="138">
        <v>129</v>
      </c>
      <c r="G343" s="34">
        <v>928129</v>
      </c>
      <c r="H343" s="119">
        <v>8.06</v>
      </c>
      <c r="I343" s="101"/>
      <c r="J343" s="100">
        <v>8.06</v>
      </c>
      <c r="K343" s="22" t="s">
        <v>161</v>
      </c>
      <c r="L343" s="11" t="s">
        <v>138</v>
      </c>
      <c r="M343" s="23" t="s">
        <v>149</v>
      </c>
      <c r="N343" s="122" t="s">
        <v>140</v>
      </c>
      <c r="O343" s="122">
        <v>5</v>
      </c>
      <c r="P343" s="24" t="s">
        <v>429</v>
      </c>
      <c r="Q343" s="25">
        <v>29250</v>
      </c>
      <c r="R343" s="26" t="s">
        <v>142</v>
      </c>
      <c r="S343" s="27" t="s">
        <v>206</v>
      </c>
      <c r="T343" s="27" t="s">
        <v>390</v>
      </c>
      <c r="U343" s="124" t="s">
        <v>255</v>
      </c>
      <c r="V343" s="39">
        <v>3</v>
      </c>
      <c r="W343" s="29">
        <v>1209</v>
      </c>
      <c r="X343" s="139" t="s">
        <v>416</v>
      </c>
      <c r="Y343" s="139"/>
      <c r="Z343" s="30">
        <v>8.06</v>
      </c>
      <c r="AA343" s="51" t="s">
        <v>417</v>
      </c>
      <c r="AB343" s="51">
        <v>6</v>
      </c>
      <c r="AC343" s="21" t="s">
        <v>155</v>
      </c>
      <c r="AD343" s="31">
        <v>1.75</v>
      </c>
      <c r="AE343" s="32" t="s">
        <v>194</v>
      </c>
    </row>
    <row r="344" spans="1:31">
      <c r="A344" s="135">
        <v>2</v>
      </c>
      <c r="B344" s="38" t="s">
        <v>413</v>
      </c>
      <c r="C344" s="122">
        <v>30</v>
      </c>
      <c r="D344" s="122">
        <v>928</v>
      </c>
      <c r="E344" s="117">
        <v>806812</v>
      </c>
      <c r="F344" s="138">
        <v>130</v>
      </c>
      <c r="G344" s="34">
        <v>928130</v>
      </c>
      <c r="H344" s="119">
        <v>12.82</v>
      </c>
      <c r="I344" s="101"/>
      <c r="J344" s="100">
        <v>12.82</v>
      </c>
      <c r="K344" s="22" t="s">
        <v>170</v>
      </c>
      <c r="L344" s="11" t="s">
        <v>86</v>
      </c>
      <c r="M344" s="23" t="s">
        <v>149</v>
      </c>
      <c r="N344" s="122" t="s">
        <v>140</v>
      </c>
      <c r="O344" s="122">
        <v>5</v>
      </c>
      <c r="P344" s="24" t="s">
        <v>429</v>
      </c>
      <c r="Q344" s="25">
        <v>29250</v>
      </c>
      <c r="R344" s="26" t="s">
        <v>142</v>
      </c>
      <c r="S344" s="27" t="s">
        <v>206</v>
      </c>
      <c r="T344" s="27" t="s">
        <v>390</v>
      </c>
      <c r="U344" s="124" t="s">
        <v>255</v>
      </c>
      <c r="V344" s="39">
        <v>3</v>
      </c>
      <c r="W344" s="29">
        <v>1923</v>
      </c>
      <c r="X344" s="139" t="s">
        <v>416</v>
      </c>
      <c r="Y344" s="139"/>
      <c r="Z344" s="30">
        <v>12.82</v>
      </c>
      <c r="AA344" s="51" t="s">
        <v>417</v>
      </c>
      <c r="AB344" s="51">
        <v>6</v>
      </c>
      <c r="AC344" s="21" t="s">
        <v>155</v>
      </c>
      <c r="AD344" s="31">
        <v>1.85</v>
      </c>
      <c r="AE344" s="32" t="s">
        <v>194</v>
      </c>
    </row>
    <row r="345" spans="1:31">
      <c r="A345" s="135">
        <v>2</v>
      </c>
      <c r="B345" s="38" t="s">
        <v>413</v>
      </c>
      <c r="C345" s="122">
        <v>31</v>
      </c>
      <c r="D345" s="122">
        <v>928</v>
      </c>
      <c r="E345" s="117">
        <v>806813</v>
      </c>
      <c r="F345" s="138">
        <v>131</v>
      </c>
      <c r="G345" s="34">
        <v>928131</v>
      </c>
      <c r="H345" s="119">
        <v>16.399999999999999</v>
      </c>
      <c r="I345" s="101"/>
      <c r="J345" s="100">
        <v>16.399999999999999</v>
      </c>
      <c r="K345" s="22" t="s">
        <v>170</v>
      </c>
      <c r="L345" s="11" t="s">
        <v>86</v>
      </c>
      <c r="M345" s="23" t="s">
        <v>178</v>
      </c>
      <c r="N345" s="122" t="s">
        <v>140</v>
      </c>
      <c r="O345" s="122">
        <v>5</v>
      </c>
      <c r="P345" s="24" t="s">
        <v>429</v>
      </c>
      <c r="Q345" s="25">
        <v>29250</v>
      </c>
      <c r="R345" s="26" t="s">
        <v>142</v>
      </c>
      <c r="S345" s="27" t="s">
        <v>206</v>
      </c>
      <c r="T345" s="27" t="s">
        <v>390</v>
      </c>
      <c r="U345" s="124" t="s">
        <v>255</v>
      </c>
      <c r="V345" s="39">
        <v>3</v>
      </c>
      <c r="W345" s="29">
        <v>2460</v>
      </c>
      <c r="X345" s="139" t="s">
        <v>416</v>
      </c>
      <c r="Y345" s="139"/>
      <c r="Z345" s="30">
        <v>16.399999999999999</v>
      </c>
      <c r="AA345" s="51" t="s">
        <v>417</v>
      </c>
      <c r="AB345" s="51">
        <v>6</v>
      </c>
      <c r="AC345" s="21" t="s">
        <v>155</v>
      </c>
      <c r="AD345" s="31">
        <v>1.85</v>
      </c>
      <c r="AE345" s="32" t="s">
        <v>194</v>
      </c>
    </row>
    <row r="346" spans="1:31">
      <c r="A346" s="135">
        <v>2</v>
      </c>
      <c r="B346" s="38" t="s">
        <v>413</v>
      </c>
      <c r="C346" s="122">
        <v>32</v>
      </c>
      <c r="D346" s="122">
        <v>928</v>
      </c>
      <c r="E346" s="117">
        <v>806814</v>
      </c>
      <c r="F346" s="138">
        <v>132</v>
      </c>
      <c r="G346" s="34">
        <v>928132</v>
      </c>
      <c r="H346" s="119">
        <v>19.55</v>
      </c>
      <c r="I346" s="101"/>
      <c r="J346" s="109">
        <v>19.55</v>
      </c>
      <c r="K346" s="22" t="s">
        <v>172</v>
      </c>
      <c r="L346" s="11" t="s">
        <v>86</v>
      </c>
      <c r="M346" s="23" t="s">
        <v>178</v>
      </c>
      <c r="N346" s="122" t="s">
        <v>140</v>
      </c>
      <c r="O346" s="122">
        <v>5</v>
      </c>
      <c r="P346" s="24" t="s">
        <v>429</v>
      </c>
      <c r="Q346" s="25">
        <v>29250</v>
      </c>
      <c r="R346" s="26" t="s">
        <v>142</v>
      </c>
      <c r="S346" s="27" t="s">
        <v>206</v>
      </c>
      <c r="T346" s="27" t="s">
        <v>390</v>
      </c>
      <c r="U346" s="124" t="s">
        <v>255</v>
      </c>
      <c r="V346" s="39">
        <v>3</v>
      </c>
      <c r="W346" s="29">
        <v>2932.5</v>
      </c>
      <c r="X346" s="139" t="s">
        <v>416</v>
      </c>
      <c r="Y346" s="139"/>
      <c r="Z346" s="30">
        <v>19.55</v>
      </c>
      <c r="AA346" s="51" t="s">
        <v>417</v>
      </c>
      <c r="AB346" s="51">
        <v>6</v>
      </c>
      <c r="AC346" s="21" t="s">
        <v>155</v>
      </c>
      <c r="AD346" s="31">
        <v>1.85</v>
      </c>
      <c r="AE346" s="32" t="s">
        <v>194</v>
      </c>
    </row>
    <row r="347" spans="1:31">
      <c r="A347" s="135">
        <v>2</v>
      </c>
      <c r="B347" s="38" t="s">
        <v>413</v>
      </c>
      <c r="C347" s="122">
        <v>33</v>
      </c>
      <c r="D347" s="122">
        <v>928</v>
      </c>
      <c r="E347" s="117">
        <v>806842</v>
      </c>
      <c r="F347" s="138">
        <v>133</v>
      </c>
      <c r="G347" s="34">
        <v>928133</v>
      </c>
      <c r="H347" s="119">
        <v>22.67</v>
      </c>
      <c r="I347" s="100"/>
      <c r="J347" s="100">
        <v>22.67</v>
      </c>
      <c r="K347" s="22" t="s">
        <v>137</v>
      </c>
      <c r="L347" s="11" t="s">
        <v>138</v>
      </c>
      <c r="M347" s="23" t="s">
        <v>430</v>
      </c>
      <c r="N347" s="122" t="s">
        <v>140</v>
      </c>
      <c r="O347" s="122">
        <v>5</v>
      </c>
      <c r="P347" s="24" t="s">
        <v>431</v>
      </c>
      <c r="Q347" s="25">
        <v>20700</v>
      </c>
      <c r="R347" s="26" t="s">
        <v>142</v>
      </c>
      <c r="S347" s="27" t="s">
        <v>206</v>
      </c>
      <c r="T347" s="27" t="s">
        <v>390</v>
      </c>
      <c r="U347" s="124" t="s">
        <v>255</v>
      </c>
      <c r="V347" s="39">
        <v>3</v>
      </c>
      <c r="W347" s="29">
        <v>3400.5000000000005</v>
      </c>
      <c r="X347" s="139" t="s">
        <v>416</v>
      </c>
      <c r="Y347" s="139"/>
      <c r="Z347" s="30">
        <v>22.67</v>
      </c>
      <c r="AA347" s="51" t="s">
        <v>417</v>
      </c>
      <c r="AB347" s="51">
        <v>6</v>
      </c>
      <c r="AC347" s="21" t="s">
        <v>155</v>
      </c>
      <c r="AD347" s="31">
        <v>1.75</v>
      </c>
      <c r="AE347" s="32" t="s">
        <v>194</v>
      </c>
    </row>
    <row r="348" spans="1:31">
      <c r="A348" s="135">
        <v>2</v>
      </c>
      <c r="B348" s="38" t="s">
        <v>413</v>
      </c>
      <c r="C348" s="122">
        <v>34</v>
      </c>
      <c r="D348" s="122">
        <v>928</v>
      </c>
      <c r="E348" s="117">
        <v>806843</v>
      </c>
      <c r="F348" s="138">
        <v>134</v>
      </c>
      <c r="G348" s="34">
        <v>928134</v>
      </c>
      <c r="H348" s="119">
        <v>8.9499999999999993</v>
      </c>
      <c r="I348" s="100"/>
      <c r="J348" s="100">
        <v>8.9499999999999993</v>
      </c>
      <c r="K348" s="125" t="s">
        <v>161</v>
      </c>
      <c r="L348" s="11" t="s">
        <v>138</v>
      </c>
      <c r="M348" s="23" t="s">
        <v>149</v>
      </c>
      <c r="N348" s="122" t="s">
        <v>140</v>
      </c>
      <c r="O348" s="122">
        <v>4</v>
      </c>
      <c r="P348" s="24" t="s">
        <v>431</v>
      </c>
      <c r="Q348" s="25">
        <v>20700</v>
      </c>
      <c r="R348" s="26" t="s">
        <v>142</v>
      </c>
      <c r="S348" s="27" t="s">
        <v>206</v>
      </c>
      <c r="T348" s="27" t="s">
        <v>390</v>
      </c>
      <c r="U348" s="124" t="s">
        <v>255</v>
      </c>
      <c r="V348" s="39">
        <v>3</v>
      </c>
      <c r="W348" s="29">
        <v>1342.5</v>
      </c>
      <c r="X348" s="139" t="s">
        <v>416</v>
      </c>
      <c r="Y348" s="139"/>
      <c r="Z348" s="30">
        <v>8.9499999999999993</v>
      </c>
      <c r="AA348" s="51" t="s">
        <v>417</v>
      </c>
      <c r="AB348" s="51">
        <v>6</v>
      </c>
      <c r="AC348" s="21" t="s">
        <v>155</v>
      </c>
      <c r="AD348" s="31">
        <v>1.85</v>
      </c>
      <c r="AE348" s="32" t="s">
        <v>194</v>
      </c>
    </row>
    <row r="349" spans="1:31">
      <c r="A349" s="135">
        <v>2</v>
      </c>
      <c r="B349" s="38" t="s">
        <v>413</v>
      </c>
      <c r="C349" s="122">
        <v>35</v>
      </c>
      <c r="D349" s="122">
        <v>928</v>
      </c>
      <c r="E349" s="117">
        <v>806844</v>
      </c>
      <c r="F349" s="138">
        <v>135</v>
      </c>
      <c r="G349" s="34">
        <v>928135</v>
      </c>
      <c r="H349" s="119">
        <v>4.62</v>
      </c>
      <c r="I349" s="101">
        <v>4.62</v>
      </c>
      <c r="J349" s="101"/>
      <c r="K349" s="125" t="s">
        <v>148</v>
      </c>
      <c r="L349" s="22" t="s">
        <v>148</v>
      </c>
      <c r="M349" s="23" t="s">
        <v>149</v>
      </c>
      <c r="N349" s="122" t="s">
        <v>140</v>
      </c>
      <c r="O349" s="122"/>
      <c r="P349" s="24" t="s">
        <v>431</v>
      </c>
      <c r="Q349" s="25">
        <v>20700</v>
      </c>
      <c r="R349" s="26" t="s">
        <v>142</v>
      </c>
      <c r="S349" s="27" t="s">
        <v>206</v>
      </c>
      <c r="T349" s="27" t="s">
        <v>390</v>
      </c>
      <c r="U349" s="124" t="s">
        <v>255</v>
      </c>
      <c r="V349" s="39">
        <v>3</v>
      </c>
      <c r="W349" s="124"/>
      <c r="X349" s="66" t="s">
        <v>362</v>
      </c>
      <c r="Y349" s="66"/>
      <c r="Z349" s="29">
        <v>0</v>
      </c>
      <c r="AA349" s="51" t="s">
        <v>362</v>
      </c>
      <c r="AB349" s="51"/>
      <c r="AC349" s="122" t="s">
        <v>155</v>
      </c>
      <c r="AD349" s="31">
        <v>1.85</v>
      </c>
      <c r="AE349" s="32" t="s">
        <v>194</v>
      </c>
    </row>
    <row r="350" spans="1:31">
      <c r="A350" s="135">
        <v>2</v>
      </c>
      <c r="B350" s="38" t="s">
        <v>413</v>
      </c>
      <c r="C350" s="122">
        <v>36</v>
      </c>
      <c r="D350" s="122">
        <v>928</v>
      </c>
      <c r="E350" s="117">
        <v>806845</v>
      </c>
      <c r="F350" s="138">
        <v>136</v>
      </c>
      <c r="G350" s="34">
        <v>928136</v>
      </c>
      <c r="H350" s="119">
        <v>3.3200000000000003</v>
      </c>
      <c r="I350" s="100">
        <v>3.3200000000000003</v>
      </c>
      <c r="J350" s="100"/>
      <c r="K350" s="22" t="s">
        <v>148</v>
      </c>
      <c r="L350" s="22" t="s">
        <v>148</v>
      </c>
      <c r="M350" s="23" t="s">
        <v>149</v>
      </c>
      <c r="N350" s="122" t="s">
        <v>140</v>
      </c>
      <c r="O350" s="122"/>
      <c r="P350" s="24" t="s">
        <v>431</v>
      </c>
      <c r="Q350" s="25">
        <v>20700</v>
      </c>
      <c r="R350" s="26" t="s">
        <v>142</v>
      </c>
      <c r="S350" s="27" t="s">
        <v>206</v>
      </c>
      <c r="T350" s="27" t="s">
        <v>390</v>
      </c>
      <c r="U350" s="124" t="s">
        <v>255</v>
      </c>
      <c r="V350" s="39">
        <v>3</v>
      </c>
      <c r="W350" s="124"/>
      <c r="X350" s="66" t="s">
        <v>362</v>
      </c>
      <c r="Y350" s="66"/>
      <c r="Z350" s="29">
        <v>0</v>
      </c>
      <c r="AA350" s="51" t="s">
        <v>362</v>
      </c>
      <c r="AB350" s="51"/>
      <c r="AC350" s="21" t="s">
        <v>155</v>
      </c>
      <c r="AD350" s="31">
        <v>1.85</v>
      </c>
      <c r="AE350" s="32" t="s">
        <v>194</v>
      </c>
    </row>
    <row r="351" spans="1:31">
      <c r="A351" s="135">
        <v>2</v>
      </c>
      <c r="B351" s="38" t="s">
        <v>413</v>
      </c>
      <c r="C351" s="122">
        <v>37</v>
      </c>
      <c r="D351" s="122">
        <v>928</v>
      </c>
      <c r="E351" s="117">
        <v>806846</v>
      </c>
      <c r="F351" s="138">
        <v>137</v>
      </c>
      <c r="G351" s="34">
        <v>928137</v>
      </c>
      <c r="H351" s="119">
        <v>26.5</v>
      </c>
      <c r="I351" s="101"/>
      <c r="J351" s="100">
        <v>26.5</v>
      </c>
      <c r="K351" s="22" t="s">
        <v>161</v>
      </c>
      <c r="L351" s="11" t="s">
        <v>138</v>
      </c>
      <c r="M351" s="23" t="s">
        <v>149</v>
      </c>
      <c r="N351" s="122" t="s">
        <v>140</v>
      </c>
      <c r="O351" s="122">
        <v>5</v>
      </c>
      <c r="P351" s="24" t="s">
        <v>431</v>
      </c>
      <c r="Q351" s="25">
        <v>20700</v>
      </c>
      <c r="R351" s="26" t="s">
        <v>142</v>
      </c>
      <c r="S351" s="27" t="s">
        <v>206</v>
      </c>
      <c r="T351" s="27" t="s">
        <v>390</v>
      </c>
      <c r="U351" s="124" t="s">
        <v>255</v>
      </c>
      <c r="V351" s="39">
        <v>3</v>
      </c>
      <c r="W351" s="29">
        <v>3975</v>
      </c>
      <c r="X351" s="139" t="s">
        <v>416</v>
      </c>
      <c r="Y351" s="139"/>
      <c r="Z351" s="30">
        <v>26.5</v>
      </c>
      <c r="AA351" s="51" t="s">
        <v>417</v>
      </c>
      <c r="AB351" s="51">
        <v>6</v>
      </c>
      <c r="AC351" s="21" t="s">
        <v>155</v>
      </c>
      <c r="AD351" s="31">
        <v>1.75</v>
      </c>
      <c r="AE351" s="32" t="s">
        <v>194</v>
      </c>
    </row>
    <row r="352" spans="1:31">
      <c r="A352" s="135">
        <v>2</v>
      </c>
      <c r="B352" s="38" t="s">
        <v>413</v>
      </c>
      <c r="C352" s="122">
        <v>38</v>
      </c>
      <c r="D352" s="122">
        <v>928</v>
      </c>
      <c r="E352" s="117">
        <v>806847</v>
      </c>
      <c r="F352" s="138">
        <v>138</v>
      </c>
      <c r="G352" s="34">
        <v>928138</v>
      </c>
      <c r="H352" s="119">
        <v>16</v>
      </c>
      <c r="I352" s="101"/>
      <c r="J352" s="100">
        <v>16</v>
      </c>
      <c r="K352" s="22" t="s">
        <v>161</v>
      </c>
      <c r="L352" s="11" t="s">
        <v>138</v>
      </c>
      <c r="M352" s="23" t="s">
        <v>149</v>
      </c>
      <c r="N352" s="122" t="s">
        <v>140</v>
      </c>
      <c r="O352" s="122">
        <v>4</v>
      </c>
      <c r="P352" s="24" t="s">
        <v>431</v>
      </c>
      <c r="Q352" s="25">
        <v>20700</v>
      </c>
      <c r="R352" s="26" t="s">
        <v>142</v>
      </c>
      <c r="S352" s="27" t="s">
        <v>206</v>
      </c>
      <c r="T352" s="27" t="s">
        <v>390</v>
      </c>
      <c r="U352" s="124" t="s">
        <v>255</v>
      </c>
      <c r="V352" s="39">
        <v>3</v>
      </c>
      <c r="W352" s="29">
        <v>2400</v>
      </c>
      <c r="X352" s="139" t="s">
        <v>416</v>
      </c>
      <c r="Y352" s="139"/>
      <c r="Z352" s="30">
        <v>16</v>
      </c>
      <c r="AA352" s="51" t="s">
        <v>417</v>
      </c>
      <c r="AB352" s="51">
        <v>6</v>
      </c>
      <c r="AC352" s="21" t="s">
        <v>155</v>
      </c>
      <c r="AD352" s="31">
        <v>1.75</v>
      </c>
      <c r="AE352" s="32" t="s">
        <v>194</v>
      </c>
    </row>
    <row r="353" spans="1:31">
      <c r="A353" s="135">
        <v>2</v>
      </c>
      <c r="B353" s="38" t="s">
        <v>413</v>
      </c>
      <c r="C353" s="122">
        <v>39</v>
      </c>
      <c r="D353" s="122">
        <v>928</v>
      </c>
      <c r="E353" s="117">
        <v>806848</v>
      </c>
      <c r="F353" s="138">
        <v>139</v>
      </c>
      <c r="G353" s="34">
        <v>928139</v>
      </c>
      <c r="H353" s="119">
        <v>22.48</v>
      </c>
      <c r="I353" s="101"/>
      <c r="J353" s="100">
        <v>22.48</v>
      </c>
      <c r="K353" s="22" t="s">
        <v>137</v>
      </c>
      <c r="L353" s="23" t="s">
        <v>138</v>
      </c>
      <c r="M353" s="23" t="s">
        <v>310</v>
      </c>
      <c r="N353" s="122" t="s">
        <v>140</v>
      </c>
      <c r="O353" s="122">
        <v>5</v>
      </c>
      <c r="P353" s="24" t="s">
        <v>431</v>
      </c>
      <c r="Q353" s="25">
        <v>20700</v>
      </c>
      <c r="R353" s="26" t="s">
        <v>142</v>
      </c>
      <c r="S353" s="27" t="s">
        <v>206</v>
      </c>
      <c r="T353" s="27" t="s">
        <v>390</v>
      </c>
      <c r="U353" s="124" t="s">
        <v>255</v>
      </c>
      <c r="V353" s="39">
        <v>3</v>
      </c>
      <c r="W353" s="29">
        <v>3372</v>
      </c>
      <c r="X353" s="139" t="s">
        <v>416</v>
      </c>
      <c r="Y353" s="139"/>
      <c r="Z353" s="30">
        <v>22.48</v>
      </c>
      <c r="AA353" s="51" t="s">
        <v>417</v>
      </c>
      <c r="AB353" s="51">
        <v>6</v>
      </c>
      <c r="AC353" s="122" t="s">
        <v>155</v>
      </c>
      <c r="AD353" s="32">
        <v>1.75</v>
      </c>
      <c r="AE353" s="32" t="s">
        <v>194</v>
      </c>
    </row>
    <row r="354" spans="1:31">
      <c r="A354" s="135">
        <v>2</v>
      </c>
      <c r="B354" s="38" t="s">
        <v>413</v>
      </c>
      <c r="C354" s="122">
        <v>40</v>
      </c>
      <c r="D354" s="122">
        <v>928</v>
      </c>
      <c r="E354" s="117">
        <v>806849</v>
      </c>
      <c r="F354" s="138">
        <v>140</v>
      </c>
      <c r="G354" s="34">
        <v>928140</v>
      </c>
      <c r="H354" s="119">
        <v>8.4499999999999993</v>
      </c>
      <c r="I354" s="101"/>
      <c r="J354" s="100">
        <v>8.4499999999999993</v>
      </c>
      <c r="K354" s="22" t="s">
        <v>161</v>
      </c>
      <c r="L354" s="23" t="s">
        <v>138</v>
      </c>
      <c r="M354" s="23" t="s">
        <v>149</v>
      </c>
      <c r="N354" s="122" t="s">
        <v>140</v>
      </c>
      <c r="O354" s="122">
        <v>4</v>
      </c>
      <c r="P354" s="24" t="s">
        <v>431</v>
      </c>
      <c r="Q354" s="25">
        <v>20700</v>
      </c>
      <c r="R354" s="26" t="s">
        <v>142</v>
      </c>
      <c r="S354" s="27" t="s">
        <v>206</v>
      </c>
      <c r="T354" s="27" t="s">
        <v>390</v>
      </c>
      <c r="U354" s="124" t="s">
        <v>255</v>
      </c>
      <c r="V354" s="39">
        <v>3</v>
      </c>
      <c r="W354" s="29">
        <v>1267.5</v>
      </c>
      <c r="X354" s="139" t="s">
        <v>416</v>
      </c>
      <c r="Y354" s="139"/>
      <c r="Z354" s="30">
        <v>8.4499999999999993</v>
      </c>
      <c r="AA354" s="51" t="s">
        <v>417</v>
      </c>
      <c r="AB354" s="51">
        <v>6</v>
      </c>
      <c r="AC354" s="122" t="s">
        <v>155</v>
      </c>
      <c r="AD354" s="32">
        <v>1.75</v>
      </c>
      <c r="AE354" s="32" t="s">
        <v>194</v>
      </c>
    </row>
    <row r="355" spans="1:31">
      <c r="A355" s="135">
        <v>2</v>
      </c>
      <c r="B355" s="38" t="s">
        <v>413</v>
      </c>
      <c r="C355" s="122">
        <v>41</v>
      </c>
      <c r="D355" s="122">
        <v>928</v>
      </c>
      <c r="E355" s="117">
        <v>806850</v>
      </c>
      <c r="F355" s="138">
        <v>141</v>
      </c>
      <c r="G355" s="34">
        <v>928141</v>
      </c>
      <c r="H355" s="119">
        <v>21.51</v>
      </c>
      <c r="I355" s="101"/>
      <c r="J355" s="100">
        <v>21.51</v>
      </c>
      <c r="K355" s="22" t="s">
        <v>137</v>
      </c>
      <c r="L355" s="23" t="s">
        <v>138</v>
      </c>
      <c r="M355" s="23" t="s">
        <v>245</v>
      </c>
      <c r="N355" s="122" t="s">
        <v>140</v>
      </c>
      <c r="O355" s="122">
        <v>5</v>
      </c>
      <c r="P355" s="24" t="s">
        <v>431</v>
      </c>
      <c r="Q355" s="25">
        <v>20700</v>
      </c>
      <c r="R355" s="26" t="s">
        <v>142</v>
      </c>
      <c r="S355" s="27" t="s">
        <v>206</v>
      </c>
      <c r="T355" s="27" t="s">
        <v>390</v>
      </c>
      <c r="U355" s="124" t="s">
        <v>255</v>
      </c>
      <c r="V355" s="39">
        <v>3</v>
      </c>
      <c r="W355" s="29">
        <v>3226.5000000000005</v>
      </c>
      <c r="X355" s="139" t="s">
        <v>416</v>
      </c>
      <c r="Y355" s="139"/>
      <c r="Z355" s="30">
        <v>21.51</v>
      </c>
      <c r="AA355" s="51" t="s">
        <v>417</v>
      </c>
      <c r="AB355" s="51">
        <v>6</v>
      </c>
      <c r="AC355" s="122" t="s">
        <v>146</v>
      </c>
      <c r="AD355" s="32">
        <v>1.75</v>
      </c>
      <c r="AE355" s="32" t="s">
        <v>194</v>
      </c>
    </row>
    <row r="356" spans="1:31">
      <c r="A356" s="135">
        <v>2</v>
      </c>
      <c r="B356" s="38" t="s">
        <v>432</v>
      </c>
      <c r="C356" s="122">
        <v>1</v>
      </c>
      <c r="D356" s="122">
        <v>911</v>
      </c>
      <c r="E356" s="33">
        <v>206</v>
      </c>
      <c r="F356" s="34">
        <v>101</v>
      </c>
      <c r="G356" s="34">
        <v>911101</v>
      </c>
      <c r="H356" s="119">
        <v>30.22</v>
      </c>
      <c r="I356" s="101"/>
      <c r="J356" s="100">
        <v>30.22</v>
      </c>
      <c r="K356" s="22" t="s">
        <v>137</v>
      </c>
      <c r="L356" s="23" t="s">
        <v>138</v>
      </c>
      <c r="M356" s="23" t="s">
        <v>399</v>
      </c>
      <c r="N356" s="122" t="s">
        <v>140</v>
      </c>
      <c r="O356" s="122">
        <v>5</v>
      </c>
      <c r="P356" s="24" t="s">
        <v>433</v>
      </c>
      <c r="Q356" s="25">
        <v>9600</v>
      </c>
      <c r="R356" s="26" t="s">
        <v>142</v>
      </c>
      <c r="S356" s="27" t="s">
        <v>159</v>
      </c>
      <c r="T356" s="27" t="s">
        <v>160</v>
      </c>
      <c r="U356" s="124" t="s">
        <v>255</v>
      </c>
      <c r="V356" s="39">
        <v>3</v>
      </c>
      <c r="W356" s="29">
        <v>4533</v>
      </c>
      <c r="X356" s="29" t="s">
        <v>407</v>
      </c>
      <c r="Y356" s="29"/>
      <c r="Z356" s="30">
        <v>30.22</v>
      </c>
      <c r="AA356" s="136" t="s">
        <v>434</v>
      </c>
      <c r="AB356" s="136">
        <v>2</v>
      </c>
      <c r="AC356" s="122" t="s">
        <v>155</v>
      </c>
      <c r="AD356" s="32">
        <v>1.75</v>
      </c>
      <c r="AE356" s="32" t="s">
        <v>194</v>
      </c>
    </row>
    <row r="357" spans="1:31">
      <c r="A357" s="135">
        <v>2</v>
      </c>
      <c r="B357" s="38" t="s">
        <v>432</v>
      </c>
      <c r="C357" s="122">
        <v>2</v>
      </c>
      <c r="D357" s="122">
        <v>911</v>
      </c>
      <c r="E357" s="33">
        <v>208</v>
      </c>
      <c r="F357" s="34">
        <v>102</v>
      </c>
      <c r="G357" s="34">
        <v>911102</v>
      </c>
      <c r="H357" s="119">
        <v>10.75</v>
      </c>
      <c r="I357" s="101">
        <v>10.75</v>
      </c>
      <c r="J357" s="101"/>
      <c r="K357" s="22" t="s">
        <v>148</v>
      </c>
      <c r="L357" s="22" t="s">
        <v>148</v>
      </c>
      <c r="M357" s="23" t="s">
        <v>399</v>
      </c>
      <c r="N357" s="122" t="s">
        <v>140</v>
      </c>
      <c r="O357" s="122"/>
      <c r="P357" s="11" t="s">
        <v>433</v>
      </c>
      <c r="Q357" s="45"/>
      <c r="R357" s="21"/>
      <c r="S357" s="46"/>
      <c r="T357" s="46"/>
      <c r="U357" s="47" t="s">
        <v>255</v>
      </c>
      <c r="V357" s="48"/>
      <c r="W357" s="47"/>
      <c r="X357" s="47"/>
      <c r="Y357" s="47"/>
      <c r="Z357" s="47"/>
      <c r="AA357" s="49"/>
      <c r="AB357" s="49"/>
      <c r="AC357" s="122" t="s">
        <v>155</v>
      </c>
      <c r="AD357" s="32">
        <v>1.75</v>
      </c>
      <c r="AE357" s="32" t="s">
        <v>194</v>
      </c>
    </row>
    <row r="358" spans="1:31">
      <c r="A358" s="135">
        <v>2</v>
      </c>
      <c r="B358" s="38" t="s">
        <v>432</v>
      </c>
      <c r="C358" s="122">
        <v>3</v>
      </c>
      <c r="D358" s="122">
        <v>911</v>
      </c>
      <c r="E358" s="33">
        <v>209</v>
      </c>
      <c r="F358" s="34">
        <v>103</v>
      </c>
      <c r="G358" s="34">
        <v>911103</v>
      </c>
      <c r="H358" s="119">
        <v>18.21</v>
      </c>
      <c r="I358" s="101">
        <v>18.21</v>
      </c>
      <c r="J358" s="101"/>
      <c r="K358" s="22" t="s">
        <v>148</v>
      </c>
      <c r="L358" s="22" t="s">
        <v>148</v>
      </c>
      <c r="M358" s="23" t="s">
        <v>435</v>
      </c>
      <c r="N358" s="122" t="s">
        <v>140</v>
      </c>
      <c r="O358" s="122"/>
      <c r="P358" s="11" t="s">
        <v>436</v>
      </c>
      <c r="Q358" s="45"/>
      <c r="R358" s="21"/>
      <c r="S358" s="46"/>
      <c r="T358" s="46"/>
      <c r="U358" s="47"/>
      <c r="V358" s="48"/>
      <c r="W358" s="47"/>
      <c r="X358" s="47"/>
      <c r="Y358" s="47"/>
      <c r="Z358" s="47"/>
      <c r="AA358" s="49"/>
      <c r="AB358" s="49"/>
      <c r="AC358" s="122" t="s">
        <v>155</v>
      </c>
      <c r="AD358" s="32">
        <v>1.75</v>
      </c>
      <c r="AE358" s="32" t="s">
        <v>194</v>
      </c>
    </row>
    <row r="359" spans="1:31">
      <c r="A359" s="135">
        <v>2</v>
      </c>
      <c r="B359" s="38" t="s">
        <v>432</v>
      </c>
      <c r="C359" s="122">
        <v>4</v>
      </c>
      <c r="D359" s="122">
        <v>911</v>
      </c>
      <c r="E359" s="33">
        <v>210</v>
      </c>
      <c r="F359" s="34">
        <v>104</v>
      </c>
      <c r="G359" s="34">
        <v>911104</v>
      </c>
      <c r="H359" s="119">
        <v>14.99</v>
      </c>
      <c r="I359" s="101">
        <v>14.99</v>
      </c>
      <c r="J359" s="101"/>
      <c r="K359" s="22" t="s">
        <v>148</v>
      </c>
      <c r="L359" s="22" t="s">
        <v>148</v>
      </c>
      <c r="M359" s="23" t="s">
        <v>437</v>
      </c>
      <c r="N359" s="122" t="s">
        <v>140</v>
      </c>
      <c r="O359" s="122"/>
      <c r="P359" s="11" t="s">
        <v>436</v>
      </c>
      <c r="Q359" s="45"/>
      <c r="R359" s="21"/>
      <c r="S359" s="46"/>
      <c r="T359" s="46"/>
      <c r="U359" s="47"/>
      <c r="V359" s="48"/>
      <c r="W359" s="47"/>
      <c r="X359" s="47"/>
      <c r="Y359" s="47"/>
      <c r="Z359" s="47"/>
      <c r="AA359" s="49"/>
      <c r="AB359" s="49"/>
      <c r="AC359" s="122" t="s">
        <v>155</v>
      </c>
      <c r="AD359" s="32">
        <v>1.75</v>
      </c>
      <c r="AE359" s="32" t="s">
        <v>194</v>
      </c>
    </row>
    <row r="360" spans="1:31">
      <c r="A360" s="135">
        <v>2</v>
      </c>
      <c r="B360" s="38" t="s">
        <v>432</v>
      </c>
      <c r="C360" s="122">
        <v>5</v>
      </c>
      <c r="D360" s="122">
        <v>911</v>
      </c>
      <c r="E360" s="33">
        <v>211</v>
      </c>
      <c r="F360" s="34">
        <v>105</v>
      </c>
      <c r="G360" s="34">
        <v>911105</v>
      </c>
      <c r="H360" s="119">
        <v>12.97</v>
      </c>
      <c r="I360" s="100">
        <v>12.97</v>
      </c>
      <c r="J360" s="100"/>
      <c r="K360" s="58" t="s">
        <v>148</v>
      </c>
      <c r="L360" s="58" t="s">
        <v>148</v>
      </c>
      <c r="M360" s="23" t="s">
        <v>185</v>
      </c>
      <c r="N360" s="122" t="s">
        <v>140</v>
      </c>
      <c r="O360" s="122"/>
      <c r="P360" s="24" t="s">
        <v>436</v>
      </c>
      <c r="Q360" s="25">
        <v>6880</v>
      </c>
      <c r="R360" s="26" t="s">
        <v>142</v>
      </c>
      <c r="S360" s="27"/>
      <c r="T360" s="27"/>
      <c r="U360" s="124" t="s">
        <v>140</v>
      </c>
      <c r="V360" s="39">
        <v>10</v>
      </c>
      <c r="W360" s="29">
        <v>0</v>
      </c>
      <c r="X360" s="29" t="s">
        <v>407</v>
      </c>
      <c r="Y360" s="29"/>
      <c r="Z360" s="29"/>
      <c r="AA360" s="136"/>
      <c r="AB360" s="136"/>
      <c r="AC360" s="122" t="s">
        <v>155</v>
      </c>
      <c r="AD360" s="32">
        <v>1.75</v>
      </c>
      <c r="AE360" s="32" t="s">
        <v>194</v>
      </c>
    </row>
    <row r="361" spans="1:31">
      <c r="A361" s="135">
        <v>2</v>
      </c>
      <c r="B361" s="38" t="s">
        <v>432</v>
      </c>
      <c r="C361" s="122">
        <v>6</v>
      </c>
      <c r="D361" s="122">
        <v>911</v>
      </c>
      <c r="E361" s="33">
        <v>212</v>
      </c>
      <c r="F361" s="34">
        <v>106</v>
      </c>
      <c r="G361" s="34">
        <v>911106</v>
      </c>
      <c r="H361" s="119">
        <v>27.46</v>
      </c>
      <c r="I361" s="101"/>
      <c r="J361" s="101">
        <v>27.46</v>
      </c>
      <c r="K361" s="22" t="s">
        <v>172</v>
      </c>
      <c r="L361" s="11" t="s">
        <v>86</v>
      </c>
      <c r="M361" s="23" t="s">
        <v>438</v>
      </c>
      <c r="N361" s="122" t="s">
        <v>140</v>
      </c>
      <c r="O361" s="122">
        <v>5</v>
      </c>
      <c r="P361" s="24" t="s">
        <v>433</v>
      </c>
      <c r="Q361" s="25">
        <v>9600</v>
      </c>
      <c r="R361" s="26" t="s">
        <v>142</v>
      </c>
      <c r="S361" s="27" t="s">
        <v>206</v>
      </c>
      <c r="T361" s="27" t="s">
        <v>160</v>
      </c>
      <c r="U361" s="124" t="s">
        <v>255</v>
      </c>
      <c r="V361" s="39">
        <v>3</v>
      </c>
      <c r="W361" s="29">
        <v>4119</v>
      </c>
      <c r="X361" s="29" t="s">
        <v>407</v>
      </c>
      <c r="Y361" s="29"/>
      <c r="Z361" s="30">
        <v>27.46</v>
      </c>
      <c r="AA361" s="136" t="s">
        <v>439</v>
      </c>
      <c r="AB361" s="136">
        <v>5</v>
      </c>
      <c r="AC361" s="122" t="s">
        <v>155</v>
      </c>
      <c r="AD361" s="32">
        <v>1.85</v>
      </c>
      <c r="AE361" s="32" t="s">
        <v>194</v>
      </c>
    </row>
    <row r="362" spans="1:31">
      <c r="A362" s="135">
        <v>2</v>
      </c>
      <c r="B362" s="38" t="s">
        <v>432</v>
      </c>
      <c r="C362" s="122">
        <v>7</v>
      </c>
      <c r="D362" s="122">
        <v>911</v>
      </c>
      <c r="E362" s="33">
        <v>214</v>
      </c>
      <c r="F362" s="34">
        <v>107</v>
      </c>
      <c r="G362" s="34">
        <v>911107</v>
      </c>
      <c r="H362" s="119">
        <v>30.63</v>
      </c>
      <c r="I362" s="100">
        <v>30.63</v>
      </c>
      <c r="J362" s="101"/>
      <c r="K362" s="58" t="s">
        <v>148</v>
      </c>
      <c r="L362" s="58" t="s">
        <v>148</v>
      </c>
      <c r="M362" s="23" t="s">
        <v>440</v>
      </c>
      <c r="N362" s="122" t="s">
        <v>255</v>
      </c>
      <c r="O362" s="122"/>
      <c r="P362" s="24" t="s">
        <v>433</v>
      </c>
      <c r="Q362" s="25">
        <v>9600</v>
      </c>
      <c r="R362" s="26" t="s">
        <v>142</v>
      </c>
      <c r="S362" s="27"/>
      <c r="T362" s="27" t="s">
        <v>160</v>
      </c>
      <c r="U362" s="124" t="s">
        <v>255</v>
      </c>
      <c r="V362" s="39">
        <v>3</v>
      </c>
      <c r="W362" s="29">
        <v>0</v>
      </c>
      <c r="X362" s="29" t="s">
        <v>407</v>
      </c>
      <c r="Y362" s="29"/>
      <c r="Z362" s="29"/>
      <c r="AA362" s="136"/>
      <c r="AB362" s="136"/>
      <c r="AC362" s="122" t="s">
        <v>155</v>
      </c>
      <c r="AD362" s="32">
        <v>1.75</v>
      </c>
      <c r="AE362" s="32" t="s">
        <v>194</v>
      </c>
    </row>
    <row r="363" spans="1:31">
      <c r="A363" s="135">
        <v>2</v>
      </c>
      <c r="B363" s="38" t="s">
        <v>432</v>
      </c>
      <c r="C363" s="122">
        <v>8</v>
      </c>
      <c r="D363" s="122">
        <v>911</v>
      </c>
      <c r="E363" s="33">
        <v>215</v>
      </c>
      <c r="F363" s="34">
        <v>108</v>
      </c>
      <c r="G363" s="34">
        <v>911108</v>
      </c>
      <c r="H363" s="119">
        <v>4.6900000000000004</v>
      </c>
      <c r="I363" s="101">
        <v>4.6900000000000004</v>
      </c>
      <c r="J363" s="101"/>
      <c r="K363" s="22" t="s">
        <v>148</v>
      </c>
      <c r="L363" s="22" t="s">
        <v>148</v>
      </c>
      <c r="M363" s="23" t="s">
        <v>438</v>
      </c>
      <c r="N363" s="122" t="s">
        <v>140</v>
      </c>
      <c r="O363" s="122"/>
      <c r="P363" s="11"/>
      <c r="Q363" s="11"/>
      <c r="R363" s="21"/>
      <c r="S363" s="46"/>
      <c r="T363" s="46"/>
      <c r="U363" s="47" t="s">
        <v>140</v>
      </c>
      <c r="V363" s="48">
        <v>0</v>
      </c>
      <c r="W363" s="47"/>
      <c r="X363" s="47"/>
      <c r="Y363" s="47"/>
      <c r="Z363" s="47"/>
      <c r="AA363" s="49"/>
      <c r="AB363" s="49"/>
      <c r="AC363" s="122" t="s">
        <v>155</v>
      </c>
      <c r="AD363" s="32">
        <v>1.85</v>
      </c>
      <c r="AE363" s="32" t="s">
        <v>194</v>
      </c>
    </row>
    <row r="364" spans="1:31">
      <c r="A364" s="135">
        <v>2</v>
      </c>
      <c r="B364" s="38" t="s">
        <v>432</v>
      </c>
      <c r="C364" s="122">
        <v>9</v>
      </c>
      <c r="D364" s="122">
        <v>911</v>
      </c>
      <c r="E364" s="33">
        <v>218</v>
      </c>
      <c r="F364" s="34">
        <v>109</v>
      </c>
      <c r="G364" s="34">
        <v>911109</v>
      </c>
      <c r="H364" s="119">
        <v>39.21</v>
      </c>
      <c r="I364" s="100"/>
      <c r="J364" s="101">
        <v>39.21</v>
      </c>
      <c r="K364" s="125" t="s">
        <v>137</v>
      </c>
      <c r="L364" s="11" t="s">
        <v>138</v>
      </c>
      <c r="M364" s="23" t="s">
        <v>441</v>
      </c>
      <c r="N364" s="122" t="s">
        <v>255</v>
      </c>
      <c r="O364" s="122">
        <v>3</v>
      </c>
      <c r="P364" s="24" t="s">
        <v>442</v>
      </c>
      <c r="Q364" s="25">
        <v>7120</v>
      </c>
      <c r="R364" s="26" t="s">
        <v>142</v>
      </c>
      <c r="S364" s="27" t="s">
        <v>159</v>
      </c>
      <c r="T364" s="27" t="s">
        <v>160</v>
      </c>
      <c r="U364" s="124" t="s">
        <v>255</v>
      </c>
      <c r="V364" s="39">
        <v>4</v>
      </c>
      <c r="W364" s="29">
        <v>7842</v>
      </c>
      <c r="X364" s="29" t="s">
        <v>407</v>
      </c>
      <c r="Y364" s="29"/>
      <c r="Z364" s="30">
        <v>39.21</v>
      </c>
      <c r="AA364" s="136" t="s">
        <v>434</v>
      </c>
      <c r="AB364" s="136">
        <v>2</v>
      </c>
      <c r="AC364" s="122" t="s">
        <v>155</v>
      </c>
      <c r="AD364" s="32">
        <v>1.75</v>
      </c>
      <c r="AE364" s="32" t="s">
        <v>194</v>
      </c>
    </row>
    <row r="365" spans="1:31">
      <c r="A365" s="135">
        <v>2</v>
      </c>
      <c r="B365" s="38" t="s">
        <v>432</v>
      </c>
      <c r="C365" s="122">
        <v>10</v>
      </c>
      <c r="D365" s="122">
        <v>911</v>
      </c>
      <c r="E365" s="33">
        <v>249</v>
      </c>
      <c r="F365" s="34">
        <v>110</v>
      </c>
      <c r="G365" s="34">
        <v>911110</v>
      </c>
      <c r="H365" s="119">
        <v>42.06</v>
      </c>
      <c r="I365" s="100"/>
      <c r="J365" s="100">
        <v>42.06</v>
      </c>
      <c r="K365" s="22" t="s">
        <v>137</v>
      </c>
      <c r="L365" s="11" t="s">
        <v>138</v>
      </c>
      <c r="M365" s="23" t="s">
        <v>245</v>
      </c>
      <c r="N365" s="122" t="s">
        <v>255</v>
      </c>
      <c r="O365" s="122">
        <v>3</v>
      </c>
      <c r="P365" s="24" t="s">
        <v>443</v>
      </c>
      <c r="Q365" s="25"/>
      <c r="R365" s="26" t="s">
        <v>444</v>
      </c>
      <c r="S365" s="27" t="s">
        <v>159</v>
      </c>
      <c r="T365" s="27" t="s">
        <v>160</v>
      </c>
      <c r="U365" s="124" t="s">
        <v>255</v>
      </c>
      <c r="V365" s="39">
        <v>2</v>
      </c>
      <c r="W365" s="29">
        <v>4206</v>
      </c>
      <c r="X365" s="29" t="s">
        <v>407</v>
      </c>
      <c r="Y365" s="29"/>
      <c r="Z365" s="30">
        <v>42.06</v>
      </c>
      <c r="AA365" s="136" t="s">
        <v>434</v>
      </c>
      <c r="AB365" s="136">
        <v>2</v>
      </c>
      <c r="AC365" s="122" t="s">
        <v>146</v>
      </c>
      <c r="AD365" s="32">
        <v>1.75</v>
      </c>
      <c r="AE365" s="32" t="s">
        <v>147</v>
      </c>
    </row>
    <row r="366" spans="1:31">
      <c r="A366" s="135">
        <v>2</v>
      </c>
      <c r="B366" s="38" t="s">
        <v>432</v>
      </c>
      <c r="C366" s="122">
        <v>11</v>
      </c>
      <c r="D366" s="122">
        <v>911</v>
      </c>
      <c r="E366" s="33">
        <v>225</v>
      </c>
      <c r="F366" s="34">
        <v>111</v>
      </c>
      <c r="G366" s="34">
        <v>911111</v>
      </c>
      <c r="H366" s="119">
        <v>20.07</v>
      </c>
      <c r="I366" s="101"/>
      <c r="J366" s="107">
        <v>20.07</v>
      </c>
      <c r="K366" s="125" t="s">
        <v>170</v>
      </c>
      <c r="L366" s="11" t="s">
        <v>86</v>
      </c>
      <c r="M366" s="23" t="s">
        <v>149</v>
      </c>
      <c r="N366" s="122" t="s">
        <v>140</v>
      </c>
      <c r="O366" s="122">
        <v>4</v>
      </c>
      <c r="P366" s="24" t="s">
        <v>445</v>
      </c>
      <c r="Q366" s="25">
        <v>9600</v>
      </c>
      <c r="R366" s="26" t="s">
        <v>142</v>
      </c>
      <c r="S366" s="27" t="s">
        <v>159</v>
      </c>
      <c r="T366" s="27" t="s">
        <v>160</v>
      </c>
      <c r="U366" s="124" t="s">
        <v>140</v>
      </c>
      <c r="V366" s="39">
        <v>9</v>
      </c>
      <c r="W366" s="29">
        <v>9031.5</v>
      </c>
      <c r="X366" s="29" t="s">
        <v>407</v>
      </c>
      <c r="Y366" s="29"/>
      <c r="Z366" s="30">
        <v>20.07</v>
      </c>
      <c r="AA366" s="136" t="s">
        <v>434</v>
      </c>
      <c r="AB366" s="136"/>
      <c r="AC366" s="122" t="s">
        <v>155</v>
      </c>
      <c r="AD366" s="32">
        <v>1.85</v>
      </c>
      <c r="AE366" s="32" t="s">
        <v>147</v>
      </c>
    </row>
    <row r="367" spans="1:31">
      <c r="A367" s="135">
        <v>2</v>
      </c>
      <c r="B367" s="38" t="s">
        <v>432</v>
      </c>
      <c r="C367" s="122">
        <v>12</v>
      </c>
      <c r="D367" s="122">
        <v>911</v>
      </c>
      <c r="E367" s="33">
        <v>228</v>
      </c>
      <c r="F367" s="34">
        <v>112</v>
      </c>
      <c r="G367" s="34">
        <v>911112</v>
      </c>
      <c r="H367" s="119">
        <v>41.26</v>
      </c>
      <c r="I367" s="101"/>
      <c r="J367" s="107">
        <v>41.26</v>
      </c>
      <c r="K367" s="125" t="s">
        <v>170</v>
      </c>
      <c r="L367" s="11" t="s">
        <v>86</v>
      </c>
      <c r="M367" s="23" t="s">
        <v>178</v>
      </c>
      <c r="N367" s="122" t="s">
        <v>140</v>
      </c>
      <c r="O367" s="122">
        <v>4</v>
      </c>
      <c r="P367" s="24" t="s">
        <v>311</v>
      </c>
      <c r="Q367" s="25">
        <v>9600</v>
      </c>
      <c r="R367" s="26" t="s">
        <v>142</v>
      </c>
      <c r="S367" s="27" t="s">
        <v>159</v>
      </c>
      <c r="T367" s="27" t="s">
        <v>160</v>
      </c>
      <c r="U367" s="124" t="s">
        <v>255</v>
      </c>
      <c r="V367" s="39">
        <v>5</v>
      </c>
      <c r="W367" s="29">
        <v>10315</v>
      </c>
      <c r="X367" s="29" t="s">
        <v>407</v>
      </c>
      <c r="Y367" s="29"/>
      <c r="Z367" s="30">
        <v>41.26</v>
      </c>
      <c r="AA367" s="136" t="s">
        <v>434</v>
      </c>
      <c r="AB367" s="136">
        <v>2</v>
      </c>
      <c r="AC367" s="122" t="s">
        <v>155</v>
      </c>
      <c r="AD367" s="32">
        <v>1.85</v>
      </c>
      <c r="AE367" s="32" t="s">
        <v>147</v>
      </c>
    </row>
    <row r="368" spans="1:31">
      <c r="A368" s="135">
        <v>2</v>
      </c>
      <c r="B368" s="38" t="s">
        <v>432</v>
      </c>
      <c r="C368" s="122">
        <v>13</v>
      </c>
      <c r="D368" s="122">
        <v>911</v>
      </c>
      <c r="E368" s="33">
        <v>230</v>
      </c>
      <c r="F368" s="34">
        <v>113</v>
      </c>
      <c r="G368" s="34">
        <v>911113</v>
      </c>
      <c r="H368" s="119">
        <v>46.57</v>
      </c>
      <c r="I368" s="101"/>
      <c r="J368" s="100">
        <v>46.57</v>
      </c>
      <c r="K368" s="22" t="s">
        <v>137</v>
      </c>
      <c r="L368" s="11" t="s">
        <v>138</v>
      </c>
      <c r="M368" s="23" t="s">
        <v>245</v>
      </c>
      <c r="N368" s="122" t="s">
        <v>255</v>
      </c>
      <c r="O368" s="122">
        <v>2</v>
      </c>
      <c r="P368" s="24"/>
      <c r="Q368" s="25"/>
      <c r="R368" s="26"/>
      <c r="S368" s="27"/>
      <c r="T368" s="27"/>
      <c r="U368" s="124" t="s">
        <v>278</v>
      </c>
      <c r="V368" s="39">
        <v>0</v>
      </c>
      <c r="W368" s="29">
        <v>0</v>
      </c>
      <c r="X368" s="29"/>
      <c r="Y368" s="29"/>
      <c r="Z368" s="30"/>
      <c r="AA368" s="136"/>
      <c r="AB368" s="136"/>
      <c r="AC368" s="122" t="s">
        <v>146</v>
      </c>
      <c r="AD368" s="32">
        <v>1.75</v>
      </c>
      <c r="AE368" s="32" t="s">
        <v>147</v>
      </c>
    </row>
    <row r="369" spans="1:31">
      <c r="A369" s="135">
        <v>2</v>
      </c>
      <c r="B369" s="38" t="s">
        <v>432</v>
      </c>
      <c r="C369" s="122">
        <v>14</v>
      </c>
      <c r="D369" s="122">
        <v>911</v>
      </c>
      <c r="E369" s="33">
        <v>246</v>
      </c>
      <c r="F369" s="34">
        <v>114</v>
      </c>
      <c r="G369" s="34">
        <v>911114</v>
      </c>
      <c r="H369" s="119">
        <v>8.08</v>
      </c>
      <c r="I369" s="100">
        <v>8.08</v>
      </c>
      <c r="J369" s="100"/>
      <c r="K369" s="22" t="s">
        <v>148</v>
      </c>
      <c r="L369" s="22" t="s">
        <v>148</v>
      </c>
      <c r="M369" s="23" t="s">
        <v>245</v>
      </c>
      <c r="N369" s="122" t="s">
        <v>255</v>
      </c>
      <c r="O369" s="122"/>
      <c r="P369" s="11"/>
      <c r="Q369" s="11"/>
      <c r="R369" s="21"/>
      <c r="S369" s="46"/>
      <c r="T369" s="46"/>
      <c r="U369" s="47" t="s">
        <v>255</v>
      </c>
      <c r="V369" s="48">
        <v>0</v>
      </c>
      <c r="W369" s="47"/>
      <c r="X369" s="47"/>
      <c r="Y369" s="47"/>
      <c r="Z369" s="47"/>
      <c r="AA369" s="49"/>
      <c r="AB369" s="49"/>
      <c r="AC369" s="122" t="s">
        <v>146</v>
      </c>
      <c r="AD369" s="32">
        <v>1.75</v>
      </c>
      <c r="AE369" s="32" t="s">
        <v>194</v>
      </c>
    </row>
    <row r="370" spans="1:31">
      <c r="A370" s="135">
        <v>2</v>
      </c>
      <c r="B370" s="74" t="s">
        <v>432</v>
      </c>
      <c r="C370" s="122">
        <v>16</v>
      </c>
      <c r="D370" s="122">
        <v>911</v>
      </c>
      <c r="E370" s="33">
        <v>234</v>
      </c>
      <c r="F370" s="34">
        <v>116</v>
      </c>
      <c r="G370" s="34">
        <v>911116</v>
      </c>
      <c r="H370" s="119">
        <v>22.46</v>
      </c>
      <c r="I370" s="100">
        <v>22.46</v>
      </c>
      <c r="J370" s="107"/>
      <c r="K370" s="22" t="s">
        <v>148</v>
      </c>
      <c r="L370" s="22" t="s">
        <v>148</v>
      </c>
      <c r="M370" s="53" t="s">
        <v>174</v>
      </c>
      <c r="N370" s="122" t="s">
        <v>255</v>
      </c>
      <c r="O370" s="122">
        <v>3</v>
      </c>
      <c r="P370" s="24" t="s">
        <v>446</v>
      </c>
      <c r="Q370" s="25">
        <v>9600</v>
      </c>
      <c r="R370" s="57"/>
      <c r="S370" s="27" t="s">
        <v>312</v>
      </c>
      <c r="T370" s="27" t="s">
        <v>160</v>
      </c>
      <c r="U370" s="124" t="s">
        <v>140</v>
      </c>
      <c r="V370" s="39">
        <v>9</v>
      </c>
      <c r="W370" s="29">
        <v>0</v>
      </c>
      <c r="X370" s="29" t="s">
        <v>407</v>
      </c>
      <c r="Y370" s="29"/>
      <c r="Z370" s="30">
        <v>0</v>
      </c>
      <c r="AA370" s="136" t="s">
        <v>447</v>
      </c>
      <c r="AB370" s="136">
        <v>7</v>
      </c>
      <c r="AC370" s="122"/>
      <c r="AD370" s="31"/>
      <c r="AE370" s="32" t="s">
        <v>147</v>
      </c>
    </row>
    <row r="371" spans="1:31">
      <c r="A371" s="135">
        <v>2</v>
      </c>
      <c r="B371" s="38" t="s">
        <v>432</v>
      </c>
      <c r="C371" s="122">
        <v>17</v>
      </c>
      <c r="D371" s="122">
        <v>911</v>
      </c>
      <c r="E371" s="33">
        <v>235</v>
      </c>
      <c r="F371" s="34">
        <v>117</v>
      </c>
      <c r="G371" s="34">
        <v>911117</v>
      </c>
      <c r="H371" s="119">
        <v>21.45</v>
      </c>
      <c r="I371" s="100">
        <v>21.45</v>
      </c>
      <c r="J371" s="110"/>
      <c r="K371" s="22" t="s">
        <v>148</v>
      </c>
      <c r="L371" s="22" t="s">
        <v>148</v>
      </c>
      <c r="M371" s="53" t="s">
        <v>174</v>
      </c>
      <c r="N371" s="122" t="s">
        <v>255</v>
      </c>
      <c r="O371" s="122">
        <v>3</v>
      </c>
      <c r="P371" s="24" t="s">
        <v>448</v>
      </c>
      <c r="Q371" s="25">
        <v>9600</v>
      </c>
      <c r="R371" s="57"/>
      <c r="S371" s="27" t="s">
        <v>312</v>
      </c>
      <c r="T371" s="27" t="s">
        <v>160</v>
      </c>
      <c r="U371" s="124" t="s">
        <v>140</v>
      </c>
      <c r="V371" s="39">
        <v>9</v>
      </c>
      <c r="W371" s="29">
        <v>0</v>
      </c>
      <c r="X371" s="29" t="s">
        <v>407</v>
      </c>
      <c r="Y371" s="29"/>
      <c r="Z371" s="30">
        <v>0</v>
      </c>
      <c r="AA371" s="136" t="s">
        <v>447</v>
      </c>
      <c r="AB371" s="136">
        <v>7</v>
      </c>
      <c r="AC371" s="122"/>
      <c r="AD371" s="31"/>
      <c r="AE371" s="32" t="s">
        <v>147</v>
      </c>
    </row>
    <row r="372" spans="1:31">
      <c r="A372" s="135">
        <v>2</v>
      </c>
      <c r="B372" s="38" t="s">
        <v>432</v>
      </c>
      <c r="C372" s="122">
        <v>18</v>
      </c>
      <c r="D372" s="122">
        <v>911</v>
      </c>
      <c r="E372" s="33">
        <v>233</v>
      </c>
      <c r="F372" s="34">
        <v>118</v>
      </c>
      <c r="G372" s="34">
        <v>911118</v>
      </c>
      <c r="H372" s="119">
        <v>20.6</v>
      </c>
      <c r="I372" s="100">
        <v>20.6</v>
      </c>
      <c r="J372" s="107"/>
      <c r="K372" s="22" t="s">
        <v>148</v>
      </c>
      <c r="L372" s="22" t="s">
        <v>148</v>
      </c>
      <c r="M372" s="53" t="s">
        <v>174</v>
      </c>
      <c r="N372" s="122" t="s">
        <v>255</v>
      </c>
      <c r="O372" s="122">
        <v>3</v>
      </c>
      <c r="P372" s="24" t="s">
        <v>449</v>
      </c>
      <c r="Q372" s="25">
        <v>9600</v>
      </c>
      <c r="R372" s="57"/>
      <c r="S372" s="27" t="s">
        <v>312</v>
      </c>
      <c r="T372" s="27" t="s">
        <v>160</v>
      </c>
      <c r="U372" s="124" t="s">
        <v>140</v>
      </c>
      <c r="V372" s="39">
        <v>10</v>
      </c>
      <c r="W372" s="29">
        <v>0</v>
      </c>
      <c r="X372" s="29" t="s">
        <v>407</v>
      </c>
      <c r="Y372" s="29"/>
      <c r="Z372" s="30">
        <v>0</v>
      </c>
      <c r="AA372" s="136" t="s">
        <v>447</v>
      </c>
      <c r="AB372" s="136">
        <v>7</v>
      </c>
      <c r="AC372" s="122"/>
      <c r="AD372" s="32"/>
      <c r="AE372" s="32" t="s">
        <v>147</v>
      </c>
    </row>
    <row r="373" spans="1:31">
      <c r="A373" s="135">
        <v>2</v>
      </c>
      <c r="B373" s="38" t="s">
        <v>432</v>
      </c>
      <c r="C373" s="122">
        <v>19</v>
      </c>
      <c r="D373" s="122">
        <v>911</v>
      </c>
      <c r="E373" s="33">
        <v>239</v>
      </c>
      <c r="F373" s="34">
        <v>119</v>
      </c>
      <c r="G373" s="34">
        <v>911119</v>
      </c>
      <c r="H373" s="119">
        <v>17.27</v>
      </c>
      <c r="I373" s="100">
        <v>17.27</v>
      </c>
      <c r="J373" s="100"/>
      <c r="K373" s="22" t="s">
        <v>148</v>
      </c>
      <c r="L373" s="22" t="s">
        <v>148</v>
      </c>
      <c r="M373" s="23" t="s">
        <v>174</v>
      </c>
      <c r="N373" s="122" t="s">
        <v>255</v>
      </c>
      <c r="O373" s="122"/>
      <c r="P373" s="75" t="s">
        <v>450</v>
      </c>
      <c r="Q373" s="76">
        <v>1840</v>
      </c>
      <c r="R373" s="26" t="s">
        <v>142</v>
      </c>
      <c r="S373" s="27" t="s">
        <v>361</v>
      </c>
      <c r="T373" s="27" t="s">
        <v>160</v>
      </c>
      <c r="U373" s="124" t="s">
        <v>255</v>
      </c>
      <c r="V373" s="39">
        <v>2</v>
      </c>
      <c r="W373" s="124"/>
      <c r="X373" s="29" t="s">
        <v>407</v>
      </c>
      <c r="Y373" s="29"/>
      <c r="Z373" s="124"/>
      <c r="AA373" s="40"/>
      <c r="AB373" s="40"/>
      <c r="AC373" s="122"/>
      <c r="AD373" s="31"/>
      <c r="AE373" s="32" t="s">
        <v>147</v>
      </c>
    </row>
    <row r="374" spans="1:31">
      <c r="A374" s="135">
        <v>2</v>
      </c>
      <c r="B374" s="38" t="s">
        <v>432</v>
      </c>
      <c r="C374" s="122">
        <v>21</v>
      </c>
      <c r="D374" s="122">
        <v>911</v>
      </c>
      <c r="E374" s="33">
        <v>236</v>
      </c>
      <c r="F374" s="34">
        <v>121</v>
      </c>
      <c r="G374" s="34">
        <v>911121</v>
      </c>
      <c r="H374" s="119">
        <v>19.350000000000001</v>
      </c>
      <c r="I374" s="100">
        <v>19.350000000000001</v>
      </c>
      <c r="J374" s="100"/>
      <c r="K374" s="22" t="s">
        <v>148</v>
      </c>
      <c r="L374" s="22" t="s">
        <v>148</v>
      </c>
      <c r="M374" s="53" t="s">
        <v>174</v>
      </c>
      <c r="N374" s="122" t="s">
        <v>278</v>
      </c>
      <c r="O374" s="122"/>
      <c r="P374" s="11"/>
      <c r="Q374" s="11"/>
      <c r="R374" s="21"/>
      <c r="S374" s="46"/>
      <c r="T374" s="46"/>
      <c r="U374" s="47" t="s">
        <v>278</v>
      </c>
      <c r="V374" s="48">
        <v>0</v>
      </c>
      <c r="W374" s="47"/>
      <c r="X374" s="47"/>
      <c r="Y374" s="47"/>
      <c r="Z374" s="47"/>
      <c r="AA374" s="49"/>
      <c r="AB374" s="49"/>
      <c r="AC374" s="122"/>
      <c r="AD374" s="32"/>
      <c r="AE374" s="32" t="s">
        <v>194</v>
      </c>
    </row>
    <row r="375" spans="1:31">
      <c r="A375" s="135">
        <v>2</v>
      </c>
      <c r="B375" s="38" t="s">
        <v>432</v>
      </c>
      <c r="C375" s="122">
        <v>22</v>
      </c>
      <c r="D375" s="122">
        <v>911</v>
      </c>
      <c r="E375" s="33">
        <v>238</v>
      </c>
      <c r="F375" s="34">
        <v>122</v>
      </c>
      <c r="G375" s="34">
        <v>911122</v>
      </c>
      <c r="H375" s="119">
        <v>38.090000000000003</v>
      </c>
      <c r="I375" s="101">
        <v>38.090000000000003</v>
      </c>
      <c r="J375" s="100"/>
      <c r="K375" s="22" t="s">
        <v>148</v>
      </c>
      <c r="L375" s="125" t="s">
        <v>148</v>
      </c>
      <c r="M375" s="53" t="s">
        <v>174</v>
      </c>
      <c r="N375" s="122" t="s">
        <v>255</v>
      </c>
      <c r="O375" s="122"/>
      <c r="P375" s="24" t="s">
        <v>323</v>
      </c>
      <c r="Q375" s="25">
        <v>9600</v>
      </c>
      <c r="R375" s="57"/>
      <c r="S375" s="27" t="s">
        <v>312</v>
      </c>
      <c r="T375" s="27" t="s">
        <v>219</v>
      </c>
      <c r="U375" s="124" t="s">
        <v>140</v>
      </c>
      <c r="V375" s="39">
        <v>5</v>
      </c>
      <c r="W375" s="124"/>
      <c r="X375" s="124" t="s">
        <v>407</v>
      </c>
      <c r="Y375" s="124"/>
      <c r="Z375" s="124"/>
      <c r="AA375" s="40"/>
      <c r="AB375" s="40"/>
      <c r="AC375" s="122"/>
      <c r="AD375" s="31"/>
      <c r="AE375" s="32" t="s">
        <v>194</v>
      </c>
    </row>
    <row r="376" spans="1:31">
      <c r="A376" s="135">
        <v>2</v>
      </c>
      <c r="B376" s="38" t="s">
        <v>432</v>
      </c>
      <c r="C376" s="122">
        <v>23</v>
      </c>
      <c r="D376" s="122">
        <v>911</v>
      </c>
      <c r="E376" s="33">
        <v>216</v>
      </c>
      <c r="F376" s="34">
        <v>123</v>
      </c>
      <c r="G376" s="34">
        <v>911123</v>
      </c>
      <c r="H376" s="119">
        <v>15.29</v>
      </c>
      <c r="I376" s="100">
        <v>15.29</v>
      </c>
      <c r="J376" s="100"/>
      <c r="K376" s="22" t="s">
        <v>148</v>
      </c>
      <c r="L376" s="22" t="s">
        <v>148</v>
      </c>
      <c r="M376" s="53" t="s">
        <v>245</v>
      </c>
      <c r="N376" s="122" t="s">
        <v>278</v>
      </c>
      <c r="O376" s="122"/>
      <c r="P376" s="11"/>
      <c r="Q376" s="11"/>
      <c r="R376" s="21"/>
      <c r="S376" s="46"/>
      <c r="T376" s="46"/>
      <c r="U376" s="47" t="s">
        <v>278</v>
      </c>
      <c r="V376" s="48">
        <v>0</v>
      </c>
      <c r="W376" s="47"/>
      <c r="X376" s="47"/>
      <c r="Y376" s="47"/>
      <c r="Z376" s="47"/>
      <c r="AA376" s="49"/>
      <c r="AB376" s="49"/>
      <c r="AC376" s="122" t="s">
        <v>146</v>
      </c>
      <c r="AD376" s="32">
        <v>1.75</v>
      </c>
      <c r="AE376" s="32" t="s">
        <v>194</v>
      </c>
    </row>
    <row r="377" spans="1:31">
      <c r="A377" s="135">
        <v>2</v>
      </c>
      <c r="B377" s="38" t="s">
        <v>99</v>
      </c>
      <c r="C377" s="122">
        <v>1</v>
      </c>
      <c r="D377" s="122">
        <v>908</v>
      </c>
      <c r="E377" s="33">
        <v>1501</v>
      </c>
      <c r="F377" s="34">
        <v>101</v>
      </c>
      <c r="G377" s="34">
        <v>908101</v>
      </c>
      <c r="H377" s="119">
        <v>18.670000000000002</v>
      </c>
      <c r="I377" s="101"/>
      <c r="J377" s="110">
        <v>18.670000000000002</v>
      </c>
      <c r="K377" s="125" t="s">
        <v>137</v>
      </c>
      <c r="L377" s="11" t="s">
        <v>138</v>
      </c>
      <c r="M377" s="23" t="s">
        <v>452</v>
      </c>
      <c r="N377" s="122" t="s">
        <v>255</v>
      </c>
      <c r="O377" s="122">
        <v>3</v>
      </c>
      <c r="P377" s="24" t="s">
        <v>453</v>
      </c>
      <c r="Q377" s="25">
        <v>8320</v>
      </c>
      <c r="R377" s="26"/>
      <c r="S377" s="27" t="s">
        <v>312</v>
      </c>
      <c r="T377" s="27" t="s">
        <v>144</v>
      </c>
      <c r="U377" s="124" t="s">
        <v>140</v>
      </c>
      <c r="V377" s="39">
        <v>9</v>
      </c>
      <c r="W377" s="29">
        <v>8401.5</v>
      </c>
      <c r="X377" s="29" t="s">
        <v>454</v>
      </c>
      <c r="Y377" s="29">
        <v>2</v>
      </c>
      <c r="Z377" s="30">
        <v>18.670000000000002</v>
      </c>
      <c r="AA377" s="136" t="s">
        <v>455</v>
      </c>
      <c r="AB377" s="136">
        <v>7</v>
      </c>
      <c r="AC377" s="122" t="s">
        <v>155</v>
      </c>
      <c r="AD377" s="31">
        <v>1.85</v>
      </c>
      <c r="AE377" s="32" t="s">
        <v>147</v>
      </c>
    </row>
    <row r="378" spans="1:31">
      <c r="A378" s="135">
        <v>2</v>
      </c>
      <c r="B378" s="38" t="s">
        <v>99</v>
      </c>
      <c r="C378" s="122">
        <v>2</v>
      </c>
      <c r="D378" s="122">
        <v>908</v>
      </c>
      <c r="E378" s="33">
        <v>1502</v>
      </c>
      <c r="F378" s="34">
        <v>102</v>
      </c>
      <c r="G378" s="34">
        <v>908102</v>
      </c>
      <c r="H378" s="119">
        <v>31.48</v>
      </c>
      <c r="I378" s="100">
        <v>31.48</v>
      </c>
      <c r="J378" s="100"/>
      <c r="K378" s="58" t="s">
        <v>148</v>
      </c>
      <c r="L378" s="6" t="s">
        <v>148</v>
      </c>
      <c r="M378" s="23" t="s">
        <v>456</v>
      </c>
      <c r="N378" s="122" t="s">
        <v>140</v>
      </c>
      <c r="O378" s="122"/>
      <c r="P378" s="24" t="s">
        <v>338</v>
      </c>
      <c r="Q378" s="25">
        <v>8320</v>
      </c>
      <c r="R378" s="26"/>
      <c r="S378" s="27" t="s">
        <v>312</v>
      </c>
      <c r="T378" s="27" t="s">
        <v>144</v>
      </c>
      <c r="U378" s="124" t="s">
        <v>140</v>
      </c>
      <c r="V378" s="39">
        <v>7</v>
      </c>
      <c r="W378" s="114"/>
      <c r="X378" s="29"/>
      <c r="Y378" s="29"/>
      <c r="Z378" s="114"/>
      <c r="AA378" s="137"/>
      <c r="AB378" s="137"/>
      <c r="AC378" s="21" t="s">
        <v>155</v>
      </c>
      <c r="AD378" s="31">
        <v>1.85</v>
      </c>
      <c r="AE378" s="32" t="s">
        <v>147</v>
      </c>
    </row>
    <row r="379" spans="1:31">
      <c r="A379" s="135">
        <v>2</v>
      </c>
      <c r="B379" s="38" t="s">
        <v>99</v>
      </c>
      <c r="C379" s="122">
        <v>3</v>
      </c>
      <c r="D379" s="122">
        <v>908</v>
      </c>
      <c r="E379" s="33">
        <v>1503</v>
      </c>
      <c r="F379" s="34">
        <v>103</v>
      </c>
      <c r="G379" s="34">
        <v>908103</v>
      </c>
      <c r="H379" s="119">
        <v>7.52</v>
      </c>
      <c r="I379" s="101"/>
      <c r="J379" s="107">
        <v>7.52</v>
      </c>
      <c r="K379" s="22" t="s">
        <v>137</v>
      </c>
      <c r="L379" s="11" t="s">
        <v>138</v>
      </c>
      <c r="M379" s="23" t="s">
        <v>457</v>
      </c>
      <c r="N379" s="122" t="s">
        <v>255</v>
      </c>
      <c r="O379" s="122">
        <v>3</v>
      </c>
      <c r="P379" s="24" t="s">
        <v>458</v>
      </c>
      <c r="Q379" s="25">
        <v>8320</v>
      </c>
      <c r="R379" s="26"/>
      <c r="S379" s="27" t="s">
        <v>312</v>
      </c>
      <c r="T379" s="27" t="s">
        <v>144</v>
      </c>
      <c r="U379" s="124" t="s">
        <v>140</v>
      </c>
      <c r="V379" s="39">
        <v>23</v>
      </c>
      <c r="W379" s="29">
        <v>8648</v>
      </c>
      <c r="X379" s="29" t="s">
        <v>454</v>
      </c>
      <c r="Y379" s="29"/>
      <c r="Z379" s="30">
        <v>7.52</v>
      </c>
      <c r="AA379" s="136" t="s">
        <v>455</v>
      </c>
      <c r="AB379" s="136">
        <v>7</v>
      </c>
      <c r="AC379" s="21" t="s">
        <v>155</v>
      </c>
      <c r="AD379" s="31">
        <v>1.85</v>
      </c>
      <c r="AE379" s="32" t="s">
        <v>147</v>
      </c>
    </row>
    <row r="380" spans="1:31">
      <c r="A380" s="135">
        <v>2</v>
      </c>
      <c r="B380" s="38" t="s">
        <v>99</v>
      </c>
      <c r="C380" s="122">
        <v>4</v>
      </c>
      <c r="D380" s="122">
        <v>908</v>
      </c>
      <c r="E380" s="33" t="s">
        <v>89</v>
      </c>
      <c r="F380" s="34">
        <v>104</v>
      </c>
      <c r="G380" s="34">
        <v>908104</v>
      </c>
      <c r="H380" s="119">
        <v>24.33</v>
      </c>
      <c r="I380" s="100"/>
      <c r="J380" s="107">
        <v>24.33</v>
      </c>
      <c r="K380" s="22" t="s">
        <v>137</v>
      </c>
      <c r="L380" s="11" t="s">
        <v>138</v>
      </c>
      <c r="M380" s="23" t="s">
        <v>245</v>
      </c>
      <c r="N380" s="122" t="s">
        <v>140</v>
      </c>
      <c r="O380" s="122">
        <v>4</v>
      </c>
      <c r="P380" s="24" t="s">
        <v>341</v>
      </c>
      <c r="Q380" s="25">
        <v>8320</v>
      </c>
      <c r="R380" s="26"/>
      <c r="S380" s="27" t="s">
        <v>312</v>
      </c>
      <c r="T380" s="27" t="s">
        <v>144</v>
      </c>
      <c r="U380" s="124" t="s">
        <v>255</v>
      </c>
      <c r="V380" s="39">
        <v>4</v>
      </c>
      <c r="W380" s="29">
        <v>4866</v>
      </c>
      <c r="X380" s="29" t="s">
        <v>454</v>
      </c>
      <c r="Y380" s="29"/>
      <c r="Z380" s="30">
        <v>24.33</v>
      </c>
      <c r="AA380" s="136" t="s">
        <v>455</v>
      </c>
      <c r="AB380" s="136">
        <v>7</v>
      </c>
      <c r="AC380" s="21" t="s">
        <v>155</v>
      </c>
      <c r="AD380" s="31">
        <v>1.85</v>
      </c>
      <c r="AE380" s="32" t="s">
        <v>147</v>
      </c>
    </row>
    <row r="381" spans="1:31">
      <c r="A381" s="135">
        <v>2</v>
      </c>
      <c r="B381" s="38" t="s">
        <v>99</v>
      </c>
      <c r="C381" s="122">
        <v>5</v>
      </c>
      <c r="D381" s="122">
        <v>908</v>
      </c>
      <c r="E381" s="33">
        <v>1504</v>
      </c>
      <c r="F381" s="34">
        <v>105</v>
      </c>
      <c r="G381" s="34">
        <v>908105</v>
      </c>
      <c r="H381" s="119">
        <v>11.51</v>
      </c>
      <c r="I381" s="100"/>
      <c r="J381" s="107">
        <v>11.51</v>
      </c>
      <c r="K381" s="22" t="s">
        <v>170</v>
      </c>
      <c r="L381" s="11" t="s">
        <v>86</v>
      </c>
      <c r="M381" s="23" t="s">
        <v>459</v>
      </c>
      <c r="N381" s="122" t="s">
        <v>255</v>
      </c>
      <c r="O381" s="122">
        <v>3</v>
      </c>
      <c r="P381" s="24" t="s">
        <v>342</v>
      </c>
      <c r="Q381" s="25">
        <v>8320</v>
      </c>
      <c r="R381" s="26"/>
      <c r="S381" s="27" t="s">
        <v>312</v>
      </c>
      <c r="T381" s="27" t="s">
        <v>144</v>
      </c>
      <c r="U381" s="124" t="s">
        <v>140</v>
      </c>
      <c r="V381" s="39">
        <v>15</v>
      </c>
      <c r="W381" s="29">
        <v>8632.5</v>
      </c>
      <c r="X381" s="29" t="s">
        <v>454</v>
      </c>
      <c r="Y381" s="29"/>
      <c r="Z381" s="30">
        <v>11.51</v>
      </c>
      <c r="AA381" s="136" t="s">
        <v>455</v>
      </c>
      <c r="AB381" s="136">
        <v>7</v>
      </c>
      <c r="AC381" s="122" t="s">
        <v>155</v>
      </c>
      <c r="AD381" s="31">
        <v>1.85</v>
      </c>
      <c r="AE381" s="32" t="s">
        <v>147</v>
      </c>
    </row>
    <row r="382" spans="1:31">
      <c r="A382" s="135">
        <v>2</v>
      </c>
      <c r="B382" s="38" t="s">
        <v>99</v>
      </c>
      <c r="C382" s="122">
        <v>6</v>
      </c>
      <c r="D382" s="122">
        <v>908</v>
      </c>
      <c r="E382" s="33" t="s">
        <v>460</v>
      </c>
      <c r="F382" s="34">
        <v>106</v>
      </c>
      <c r="G382" s="34">
        <v>908106</v>
      </c>
      <c r="H382" s="119">
        <v>17.82</v>
      </c>
      <c r="I382" s="100"/>
      <c r="J382" s="107">
        <v>17.82</v>
      </c>
      <c r="K382" s="22" t="s">
        <v>137</v>
      </c>
      <c r="L382" s="11" t="s">
        <v>138</v>
      </c>
      <c r="M382" s="23" t="s">
        <v>310</v>
      </c>
      <c r="N382" s="122" t="s">
        <v>255</v>
      </c>
      <c r="O382" s="122">
        <v>3</v>
      </c>
      <c r="P382" s="24" t="s">
        <v>345</v>
      </c>
      <c r="Q382" s="25">
        <v>8320</v>
      </c>
      <c r="R382" s="26"/>
      <c r="S382" s="27" t="s">
        <v>312</v>
      </c>
      <c r="T382" s="27" t="s">
        <v>144</v>
      </c>
      <c r="U382" s="124" t="s">
        <v>140</v>
      </c>
      <c r="V382" s="39">
        <v>9</v>
      </c>
      <c r="W382" s="29">
        <v>8019</v>
      </c>
      <c r="X382" s="29" t="s">
        <v>454</v>
      </c>
      <c r="Y382" s="29"/>
      <c r="Z382" s="30">
        <v>17.82</v>
      </c>
      <c r="AA382" s="136" t="s">
        <v>455</v>
      </c>
      <c r="AB382" s="136">
        <v>7</v>
      </c>
      <c r="AC382" s="122" t="s">
        <v>155</v>
      </c>
      <c r="AD382" s="31">
        <v>1.85</v>
      </c>
      <c r="AE382" s="32" t="s">
        <v>147</v>
      </c>
    </row>
    <row r="383" spans="1:31">
      <c r="A383" s="135">
        <v>2</v>
      </c>
      <c r="B383" s="38" t="s">
        <v>99</v>
      </c>
      <c r="C383" s="122">
        <v>7</v>
      </c>
      <c r="D383" s="122">
        <v>908</v>
      </c>
      <c r="E383" s="33" t="s">
        <v>461</v>
      </c>
      <c r="F383" s="34">
        <v>107</v>
      </c>
      <c r="G383" s="34">
        <v>908107</v>
      </c>
      <c r="H383" s="119">
        <v>13.44</v>
      </c>
      <c r="I383" s="100"/>
      <c r="J383" s="107">
        <v>13.44</v>
      </c>
      <c r="K383" s="22" t="s">
        <v>137</v>
      </c>
      <c r="L383" s="11" t="s">
        <v>138</v>
      </c>
      <c r="M383" s="23" t="s">
        <v>256</v>
      </c>
      <c r="N383" s="122" t="s">
        <v>140</v>
      </c>
      <c r="O383" s="122">
        <v>4</v>
      </c>
      <c r="P383" s="24" t="s">
        <v>341</v>
      </c>
      <c r="Q383" s="25">
        <v>8320</v>
      </c>
      <c r="R383" s="26"/>
      <c r="S383" s="27" t="s">
        <v>312</v>
      </c>
      <c r="T383" s="27" t="s">
        <v>144</v>
      </c>
      <c r="U383" s="124" t="s">
        <v>255</v>
      </c>
      <c r="V383" s="39">
        <v>4</v>
      </c>
      <c r="W383" s="29">
        <v>2688</v>
      </c>
      <c r="X383" s="29" t="s">
        <v>454</v>
      </c>
      <c r="Y383" s="29"/>
      <c r="Z383" s="30">
        <v>13.44</v>
      </c>
      <c r="AA383" s="136" t="s">
        <v>455</v>
      </c>
      <c r="AB383" s="136">
        <v>7</v>
      </c>
      <c r="AC383" s="122" t="s">
        <v>155</v>
      </c>
      <c r="AD383" s="31">
        <v>1.85</v>
      </c>
      <c r="AE383" s="32" t="s">
        <v>147</v>
      </c>
    </row>
    <row r="384" spans="1:31">
      <c r="A384" s="135">
        <v>2</v>
      </c>
      <c r="B384" s="38" t="s">
        <v>99</v>
      </c>
      <c r="C384" s="122">
        <v>8</v>
      </c>
      <c r="D384" s="122">
        <v>908</v>
      </c>
      <c r="E384" s="33">
        <v>1505</v>
      </c>
      <c r="F384" s="34">
        <v>108</v>
      </c>
      <c r="G384" s="34">
        <v>908108</v>
      </c>
      <c r="H384" s="119">
        <v>7.7</v>
      </c>
      <c r="I384" s="100">
        <v>7.7</v>
      </c>
      <c r="J384" s="100"/>
      <c r="K384" s="58" t="s">
        <v>148</v>
      </c>
      <c r="L384" s="6" t="s">
        <v>148</v>
      </c>
      <c r="M384" s="23" t="s">
        <v>462</v>
      </c>
      <c r="N384" s="122" t="s">
        <v>255</v>
      </c>
      <c r="O384" s="122">
        <v>3</v>
      </c>
      <c r="P384" s="24" t="s">
        <v>463</v>
      </c>
      <c r="Q384" s="25">
        <v>8320</v>
      </c>
      <c r="R384" s="26"/>
      <c r="S384" s="27" t="s">
        <v>312</v>
      </c>
      <c r="T384" s="27" t="s">
        <v>144</v>
      </c>
      <c r="U384" s="124" t="s">
        <v>140</v>
      </c>
      <c r="V384" s="39">
        <v>23</v>
      </c>
      <c r="W384" s="114"/>
      <c r="X384" s="29"/>
      <c r="Y384" s="29"/>
      <c r="Z384" s="29">
        <v>0</v>
      </c>
      <c r="AA384" s="136" t="s">
        <v>455</v>
      </c>
      <c r="AB384" s="136"/>
      <c r="AC384" s="122" t="s">
        <v>155</v>
      </c>
      <c r="AD384" s="31">
        <v>1.85</v>
      </c>
      <c r="AE384" s="32" t="s">
        <v>147</v>
      </c>
    </row>
    <row r="385" spans="1:31">
      <c r="A385" s="135">
        <v>2</v>
      </c>
      <c r="B385" s="38" t="s">
        <v>99</v>
      </c>
      <c r="C385" s="122">
        <v>9</v>
      </c>
      <c r="D385" s="122">
        <v>908</v>
      </c>
      <c r="E385" s="33" t="s">
        <v>464</v>
      </c>
      <c r="F385" s="34">
        <v>109</v>
      </c>
      <c r="G385" s="34">
        <v>908109</v>
      </c>
      <c r="H385" s="119">
        <v>17.09</v>
      </c>
      <c r="I385" s="100"/>
      <c r="J385" s="107">
        <v>17.09</v>
      </c>
      <c r="K385" s="125" t="s">
        <v>137</v>
      </c>
      <c r="L385" s="11" t="s">
        <v>138</v>
      </c>
      <c r="M385" s="23" t="s">
        <v>310</v>
      </c>
      <c r="N385" s="122" t="s">
        <v>255</v>
      </c>
      <c r="O385" s="122">
        <v>3</v>
      </c>
      <c r="P385" s="24" t="s">
        <v>465</v>
      </c>
      <c r="Q385" s="25">
        <v>8320</v>
      </c>
      <c r="R385" s="26"/>
      <c r="S385" s="27" t="s">
        <v>312</v>
      </c>
      <c r="T385" s="27" t="s">
        <v>144</v>
      </c>
      <c r="U385" s="124" t="s">
        <v>140</v>
      </c>
      <c r="V385" s="39">
        <v>9</v>
      </c>
      <c r="W385" s="29">
        <v>7690.5</v>
      </c>
      <c r="X385" s="29" t="s">
        <v>454</v>
      </c>
      <c r="Y385" s="29"/>
      <c r="Z385" s="30">
        <v>17.09</v>
      </c>
      <c r="AA385" s="136" t="s">
        <v>455</v>
      </c>
      <c r="AB385" s="136">
        <v>7</v>
      </c>
      <c r="AC385" s="122" t="s">
        <v>155</v>
      </c>
      <c r="AD385" s="32">
        <v>1.85</v>
      </c>
      <c r="AE385" s="32" t="s">
        <v>147</v>
      </c>
    </row>
    <row r="386" spans="1:31">
      <c r="A386" s="135">
        <v>2</v>
      </c>
      <c r="B386" s="38" t="s">
        <v>99</v>
      </c>
      <c r="C386" s="122">
        <v>10</v>
      </c>
      <c r="D386" s="122">
        <v>908</v>
      </c>
      <c r="E386" s="33" t="s">
        <v>466</v>
      </c>
      <c r="F386" s="34">
        <v>110</v>
      </c>
      <c r="G386" s="34">
        <v>908110</v>
      </c>
      <c r="H386" s="119">
        <v>11.36</v>
      </c>
      <c r="I386" s="100"/>
      <c r="J386" s="107">
        <v>11.36</v>
      </c>
      <c r="K386" s="22" t="s">
        <v>137</v>
      </c>
      <c r="L386" s="11" t="s">
        <v>138</v>
      </c>
      <c r="M386" s="23" t="s">
        <v>245</v>
      </c>
      <c r="N386" s="122" t="s">
        <v>140</v>
      </c>
      <c r="O386" s="122">
        <v>4</v>
      </c>
      <c r="P386" s="24" t="s">
        <v>465</v>
      </c>
      <c r="Q386" s="25">
        <v>8320</v>
      </c>
      <c r="R386" s="26"/>
      <c r="S386" s="27" t="s">
        <v>312</v>
      </c>
      <c r="T386" s="27" t="s">
        <v>144</v>
      </c>
      <c r="U386" s="124" t="s">
        <v>140</v>
      </c>
      <c r="V386" s="39">
        <v>9</v>
      </c>
      <c r="W386" s="29">
        <v>5112</v>
      </c>
      <c r="X386" s="29" t="s">
        <v>454</v>
      </c>
      <c r="Y386" s="29"/>
      <c r="Z386" s="30">
        <v>11.36</v>
      </c>
      <c r="AA386" s="136" t="s">
        <v>455</v>
      </c>
      <c r="AB386" s="136">
        <v>7</v>
      </c>
      <c r="AC386" s="122" t="s">
        <v>155</v>
      </c>
      <c r="AD386" s="31">
        <v>1.85</v>
      </c>
      <c r="AE386" s="32" t="s">
        <v>147</v>
      </c>
    </row>
    <row r="387" spans="1:31">
      <c r="A387" s="135">
        <v>2</v>
      </c>
      <c r="B387" s="38" t="s">
        <v>99</v>
      </c>
      <c r="C387" s="122">
        <v>11</v>
      </c>
      <c r="D387" s="122">
        <v>908</v>
      </c>
      <c r="E387" s="33" t="s">
        <v>467</v>
      </c>
      <c r="F387" s="34">
        <v>111</v>
      </c>
      <c r="G387" s="34">
        <v>908111</v>
      </c>
      <c r="H387" s="119">
        <v>6.88</v>
      </c>
      <c r="I387" s="100"/>
      <c r="J387" s="107">
        <v>6.88</v>
      </c>
      <c r="K387" s="22" t="s">
        <v>137</v>
      </c>
      <c r="L387" s="11" t="s">
        <v>138</v>
      </c>
      <c r="M387" s="23" t="s">
        <v>245</v>
      </c>
      <c r="N387" s="122" t="s">
        <v>255</v>
      </c>
      <c r="O387" s="122">
        <v>3</v>
      </c>
      <c r="P387" s="24" t="s">
        <v>445</v>
      </c>
      <c r="Q387" s="25">
        <v>8320</v>
      </c>
      <c r="R387" s="26"/>
      <c r="S387" s="27" t="s">
        <v>312</v>
      </c>
      <c r="T387" s="27" t="s">
        <v>144</v>
      </c>
      <c r="U387" s="124" t="s">
        <v>140</v>
      </c>
      <c r="V387" s="39">
        <v>24</v>
      </c>
      <c r="W387" s="29">
        <v>8256</v>
      </c>
      <c r="X387" s="29" t="s">
        <v>454</v>
      </c>
      <c r="Y387" s="29"/>
      <c r="Z387" s="30">
        <v>6.88</v>
      </c>
      <c r="AA387" s="136" t="s">
        <v>455</v>
      </c>
      <c r="AB387" s="136">
        <v>7</v>
      </c>
      <c r="AC387" s="122" t="s">
        <v>155</v>
      </c>
      <c r="AD387" s="31">
        <v>1.85</v>
      </c>
      <c r="AE387" s="32" t="s">
        <v>147</v>
      </c>
    </row>
    <row r="388" spans="1:31">
      <c r="A388" s="135">
        <v>2</v>
      </c>
      <c r="B388" s="38" t="s">
        <v>99</v>
      </c>
      <c r="C388" s="122">
        <v>13</v>
      </c>
      <c r="D388" s="122">
        <v>908</v>
      </c>
      <c r="E388" s="33">
        <v>1506</v>
      </c>
      <c r="F388" s="34">
        <v>112</v>
      </c>
      <c r="G388" s="34">
        <v>908112</v>
      </c>
      <c r="H388" s="119">
        <v>45.55</v>
      </c>
      <c r="I388" s="100"/>
      <c r="J388" s="107">
        <v>45.55</v>
      </c>
      <c r="K388" s="22" t="s">
        <v>137</v>
      </c>
      <c r="L388" s="23" t="s">
        <v>138</v>
      </c>
      <c r="M388" s="23" t="s">
        <v>271</v>
      </c>
      <c r="N388" s="122" t="s">
        <v>255</v>
      </c>
      <c r="O388" s="122">
        <v>3</v>
      </c>
      <c r="P388" s="24" t="s">
        <v>311</v>
      </c>
      <c r="Q388" s="25">
        <v>8320</v>
      </c>
      <c r="R388" s="26"/>
      <c r="S388" s="27" t="s">
        <v>312</v>
      </c>
      <c r="T388" s="27" t="s">
        <v>144</v>
      </c>
      <c r="U388" s="124" t="s">
        <v>255</v>
      </c>
      <c r="V388" s="39">
        <v>3</v>
      </c>
      <c r="W388" s="29">
        <v>6832.5</v>
      </c>
      <c r="X388" s="29" t="s">
        <v>454</v>
      </c>
      <c r="Y388" s="29"/>
      <c r="Z388" s="30">
        <v>45.55</v>
      </c>
      <c r="AA388" s="136" t="s">
        <v>455</v>
      </c>
      <c r="AB388" s="136">
        <v>7</v>
      </c>
      <c r="AC388" s="122" t="s">
        <v>155</v>
      </c>
      <c r="AD388" s="31">
        <v>1.85</v>
      </c>
      <c r="AE388" s="32" t="s">
        <v>147</v>
      </c>
    </row>
    <row r="389" spans="1:31">
      <c r="A389" s="135">
        <v>2</v>
      </c>
      <c r="B389" s="38" t="s">
        <v>99</v>
      </c>
      <c r="C389" s="122">
        <v>14</v>
      </c>
      <c r="D389" s="122">
        <v>908</v>
      </c>
      <c r="E389" s="33" t="s">
        <v>468</v>
      </c>
      <c r="F389" s="34">
        <v>113</v>
      </c>
      <c r="G389" s="34">
        <v>908113</v>
      </c>
      <c r="H389" s="119">
        <v>15.04</v>
      </c>
      <c r="I389" s="101"/>
      <c r="J389" s="107">
        <v>15.04</v>
      </c>
      <c r="K389" s="22" t="s">
        <v>137</v>
      </c>
      <c r="L389" s="23" t="s">
        <v>138</v>
      </c>
      <c r="M389" s="23" t="s">
        <v>310</v>
      </c>
      <c r="N389" s="122" t="s">
        <v>255</v>
      </c>
      <c r="O389" s="122">
        <v>3</v>
      </c>
      <c r="P389" s="24" t="s">
        <v>314</v>
      </c>
      <c r="Q389" s="25">
        <v>8320</v>
      </c>
      <c r="R389" s="26"/>
      <c r="S389" s="27" t="s">
        <v>312</v>
      </c>
      <c r="T389" s="27" t="s">
        <v>144</v>
      </c>
      <c r="U389" s="124" t="s">
        <v>140</v>
      </c>
      <c r="V389" s="39">
        <v>11</v>
      </c>
      <c r="W389" s="29">
        <v>8272</v>
      </c>
      <c r="X389" s="29" t="s">
        <v>454</v>
      </c>
      <c r="Y389" s="29"/>
      <c r="Z389" s="30">
        <v>15.04</v>
      </c>
      <c r="AA389" s="136" t="s">
        <v>455</v>
      </c>
      <c r="AB389" s="136">
        <v>7</v>
      </c>
      <c r="AC389" s="122" t="s">
        <v>155</v>
      </c>
      <c r="AD389" s="31">
        <v>1.85</v>
      </c>
      <c r="AE389" s="32" t="s">
        <v>147</v>
      </c>
    </row>
    <row r="390" spans="1:31">
      <c r="A390" s="135">
        <v>2</v>
      </c>
      <c r="B390" s="38" t="s">
        <v>99</v>
      </c>
      <c r="C390" s="122">
        <v>15</v>
      </c>
      <c r="D390" s="122">
        <v>908</v>
      </c>
      <c r="E390" s="33">
        <v>1507</v>
      </c>
      <c r="F390" s="34">
        <v>114</v>
      </c>
      <c r="G390" s="34">
        <v>908114</v>
      </c>
      <c r="H390" s="119">
        <v>34.31</v>
      </c>
      <c r="I390" s="101">
        <v>34.31</v>
      </c>
      <c r="J390" s="100">
        <v>0</v>
      </c>
      <c r="K390" s="58" t="s">
        <v>148</v>
      </c>
      <c r="L390" s="6" t="s">
        <v>148</v>
      </c>
      <c r="M390" s="23" t="s">
        <v>245</v>
      </c>
      <c r="N390" s="122" t="s">
        <v>255</v>
      </c>
      <c r="O390" s="122">
        <v>3</v>
      </c>
      <c r="P390" s="11" t="s">
        <v>314</v>
      </c>
      <c r="Q390" s="45"/>
      <c r="R390" s="21"/>
      <c r="S390" s="46" t="s">
        <v>312</v>
      </c>
      <c r="T390" s="46"/>
      <c r="U390" s="47"/>
      <c r="V390" s="48">
        <v>34.31</v>
      </c>
      <c r="W390" s="47"/>
      <c r="X390" s="29"/>
      <c r="Y390" s="29"/>
      <c r="Z390" s="29">
        <v>0</v>
      </c>
      <c r="AA390" s="49"/>
      <c r="AB390" s="49"/>
      <c r="AC390" s="122" t="s">
        <v>155</v>
      </c>
      <c r="AD390" s="31">
        <v>1.85</v>
      </c>
      <c r="AE390" s="32" t="s">
        <v>147</v>
      </c>
    </row>
    <row r="391" spans="1:31">
      <c r="A391" s="135">
        <v>2</v>
      </c>
      <c r="B391" s="38" t="s">
        <v>99</v>
      </c>
      <c r="C391" s="122">
        <v>16</v>
      </c>
      <c r="D391" s="122">
        <v>908</v>
      </c>
      <c r="E391" s="33">
        <v>1510</v>
      </c>
      <c r="F391" s="34">
        <v>115</v>
      </c>
      <c r="G391" s="34">
        <v>908115</v>
      </c>
      <c r="H391" s="119">
        <v>23.38</v>
      </c>
      <c r="I391" s="100">
        <v>23.38</v>
      </c>
      <c r="J391" s="100"/>
      <c r="K391" s="22" t="s">
        <v>148</v>
      </c>
      <c r="L391" s="23" t="s">
        <v>469</v>
      </c>
      <c r="M391" s="23" t="s">
        <v>310</v>
      </c>
      <c r="N391" s="122" t="s">
        <v>255</v>
      </c>
      <c r="O391" s="122">
        <v>3</v>
      </c>
      <c r="P391" s="24"/>
      <c r="Q391" s="25"/>
      <c r="R391" s="26"/>
      <c r="S391" s="27"/>
      <c r="T391" s="27"/>
      <c r="U391" s="124" t="s">
        <v>278</v>
      </c>
      <c r="V391" s="39">
        <v>0</v>
      </c>
      <c r="W391" s="29">
        <v>0</v>
      </c>
      <c r="X391" s="29"/>
      <c r="Y391" s="29"/>
      <c r="Z391" s="29">
        <v>0</v>
      </c>
      <c r="AA391" s="136"/>
      <c r="AB391" s="136"/>
      <c r="AC391" s="122" t="s">
        <v>155</v>
      </c>
      <c r="AD391" s="31">
        <v>1.85</v>
      </c>
      <c r="AE391" s="32" t="s">
        <v>147</v>
      </c>
    </row>
    <row r="392" spans="1:31">
      <c r="A392" s="135">
        <v>2</v>
      </c>
      <c r="B392" s="38" t="s">
        <v>99</v>
      </c>
      <c r="C392" s="122">
        <v>17</v>
      </c>
      <c r="D392" s="122">
        <v>908</v>
      </c>
      <c r="E392" s="33" t="s">
        <v>470</v>
      </c>
      <c r="F392" s="34">
        <v>116</v>
      </c>
      <c r="G392" s="34">
        <v>908116</v>
      </c>
      <c r="H392" s="119">
        <v>36.950000000000003</v>
      </c>
      <c r="I392" s="101"/>
      <c r="J392" s="107">
        <v>36.950000000000003</v>
      </c>
      <c r="K392" s="22" t="s">
        <v>170</v>
      </c>
      <c r="L392" s="11" t="s">
        <v>86</v>
      </c>
      <c r="M392" s="23" t="s">
        <v>310</v>
      </c>
      <c r="N392" s="122" t="s">
        <v>255</v>
      </c>
      <c r="O392" s="122">
        <v>3</v>
      </c>
      <c r="P392" s="24" t="s">
        <v>471</v>
      </c>
      <c r="Q392" s="25">
        <v>8320</v>
      </c>
      <c r="R392" s="26"/>
      <c r="S392" s="27" t="s">
        <v>312</v>
      </c>
      <c r="T392" s="27" t="s">
        <v>144</v>
      </c>
      <c r="U392" s="124" t="s">
        <v>255</v>
      </c>
      <c r="V392" s="39">
        <v>4</v>
      </c>
      <c r="W392" s="29">
        <v>7390.0000000000009</v>
      </c>
      <c r="X392" s="29" t="s">
        <v>454</v>
      </c>
      <c r="Y392" s="29"/>
      <c r="Z392" s="30">
        <v>36.950000000000003</v>
      </c>
      <c r="AA392" s="136" t="s">
        <v>455</v>
      </c>
      <c r="AB392" s="136">
        <v>7</v>
      </c>
      <c r="AC392" s="122" t="s">
        <v>155</v>
      </c>
      <c r="AD392" s="31">
        <v>1.85</v>
      </c>
      <c r="AE392" s="32" t="s">
        <v>147</v>
      </c>
    </row>
    <row r="393" spans="1:31">
      <c r="A393" s="135">
        <v>2</v>
      </c>
      <c r="B393" s="38" t="s">
        <v>99</v>
      </c>
      <c r="C393" s="122">
        <v>18</v>
      </c>
      <c r="D393" s="122">
        <v>908</v>
      </c>
      <c r="E393" s="33">
        <v>1512</v>
      </c>
      <c r="F393" s="34">
        <v>117</v>
      </c>
      <c r="G393" s="34">
        <v>908117</v>
      </c>
      <c r="H393" s="119">
        <v>35.159999999999997</v>
      </c>
      <c r="I393" s="100">
        <v>35.159999999999997</v>
      </c>
      <c r="J393" s="100"/>
      <c r="K393" s="22" t="s">
        <v>148</v>
      </c>
      <c r="L393" s="23" t="s">
        <v>148</v>
      </c>
      <c r="M393" s="23" t="s">
        <v>310</v>
      </c>
      <c r="N393" s="122" t="s">
        <v>140</v>
      </c>
      <c r="O393" s="122"/>
      <c r="P393" s="11" t="s">
        <v>472</v>
      </c>
      <c r="Q393" s="45"/>
      <c r="R393" s="21"/>
      <c r="S393" s="46"/>
      <c r="T393" s="46"/>
      <c r="U393" s="47" t="s">
        <v>140</v>
      </c>
      <c r="V393" s="48">
        <v>0</v>
      </c>
      <c r="W393" s="47"/>
      <c r="X393" s="29"/>
      <c r="Y393" s="29"/>
      <c r="Z393" s="29">
        <v>0</v>
      </c>
      <c r="AA393" s="49"/>
      <c r="AB393" s="49"/>
      <c r="AC393" s="122" t="s">
        <v>155</v>
      </c>
      <c r="AD393" s="31">
        <v>1.85</v>
      </c>
      <c r="AE393" s="32" t="s">
        <v>147</v>
      </c>
    </row>
    <row r="394" spans="1:31">
      <c r="A394" s="135">
        <v>2</v>
      </c>
      <c r="B394" s="38" t="s">
        <v>99</v>
      </c>
      <c r="C394" s="122">
        <v>19</v>
      </c>
      <c r="D394" s="122">
        <v>908</v>
      </c>
      <c r="E394" s="33">
        <v>1513</v>
      </c>
      <c r="F394" s="34">
        <v>118</v>
      </c>
      <c r="G394" s="34">
        <v>908118</v>
      </c>
      <c r="H394" s="119">
        <v>61.54</v>
      </c>
      <c r="I394" s="100"/>
      <c r="J394" s="100">
        <v>61.54</v>
      </c>
      <c r="K394" s="22" t="s">
        <v>170</v>
      </c>
      <c r="L394" s="23" t="s">
        <v>86</v>
      </c>
      <c r="M394" s="23" t="s">
        <v>473</v>
      </c>
      <c r="N394" s="122" t="s">
        <v>140</v>
      </c>
      <c r="O394" s="122">
        <v>4</v>
      </c>
      <c r="P394" s="24" t="s">
        <v>474</v>
      </c>
      <c r="Q394" s="25">
        <v>40500</v>
      </c>
      <c r="R394" s="26" t="s">
        <v>142</v>
      </c>
      <c r="S394" s="27" t="s">
        <v>159</v>
      </c>
      <c r="T394" s="27" t="s">
        <v>144</v>
      </c>
      <c r="U394" s="124" t="s">
        <v>140</v>
      </c>
      <c r="V394" s="39">
        <v>6</v>
      </c>
      <c r="W394" s="29">
        <v>18462</v>
      </c>
      <c r="X394" s="29" t="s">
        <v>454</v>
      </c>
      <c r="Y394" s="29"/>
      <c r="Z394" s="30">
        <v>61.54</v>
      </c>
      <c r="AA394" s="136" t="s">
        <v>475</v>
      </c>
      <c r="AB394" s="136">
        <v>2</v>
      </c>
      <c r="AC394" s="122" t="s">
        <v>155</v>
      </c>
      <c r="AD394" s="31">
        <v>1.85</v>
      </c>
      <c r="AE394" s="32" t="s">
        <v>147</v>
      </c>
    </row>
    <row r="395" spans="1:31">
      <c r="A395" s="135">
        <v>2</v>
      </c>
      <c r="B395" s="38" t="s">
        <v>99</v>
      </c>
      <c r="C395" s="122">
        <v>20</v>
      </c>
      <c r="D395" s="122">
        <v>908</v>
      </c>
      <c r="E395" s="33">
        <v>1514</v>
      </c>
      <c r="F395" s="34">
        <v>119</v>
      </c>
      <c r="G395" s="34">
        <v>908119</v>
      </c>
      <c r="H395" s="119">
        <v>31.4</v>
      </c>
      <c r="I395" s="100"/>
      <c r="J395" s="100">
        <v>31.4</v>
      </c>
      <c r="K395" s="22" t="s">
        <v>172</v>
      </c>
      <c r="L395" s="11" t="s">
        <v>86</v>
      </c>
      <c r="M395" s="23" t="s">
        <v>149</v>
      </c>
      <c r="N395" s="122" t="s">
        <v>140</v>
      </c>
      <c r="O395" s="122">
        <v>4</v>
      </c>
      <c r="P395" s="24" t="s">
        <v>476</v>
      </c>
      <c r="Q395" s="25">
        <v>40500</v>
      </c>
      <c r="R395" s="26" t="s">
        <v>142</v>
      </c>
      <c r="S395" s="27" t="s">
        <v>159</v>
      </c>
      <c r="T395" s="27" t="s">
        <v>144</v>
      </c>
      <c r="U395" s="124" t="s">
        <v>140</v>
      </c>
      <c r="V395" s="39">
        <v>6</v>
      </c>
      <c r="W395" s="29">
        <v>9420</v>
      </c>
      <c r="X395" s="29" t="s">
        <v>454</v>
      </c>
      <c r="Y395" s="29"/>
      <c r="Z395" s="30">
        <v>31.4</v>
      </c>
      <c r="AA395" s="136" t="s">
        <v>475</v>
      </c>
      <c r="AB395" s="136">
        <v>2</v>
      </c>
      <c r="AC395" s="122" t="s">
        <v>155</v>
      </c>
      <c r="AD395" s="31">
        <v>1.85</v>
      </c>
      <c r="AE395" s="32" t="s">
        <v>147</v>
      </c>
    </row>
    <row r="396" spans="1:31">
      <c r="A396" s="135">
        <v>2</v>
      </c>
      <c r="B396" s="38" t="s">
        <v>99</v>
      </c>
      <c r="C396" s="122">
        <v>21</v>
      </c>
      <c r="D396" s="122">
        <v>908</v>
      </c>
      <c r="E396" s="33">
        <v>1515</v>
      </c>
      <c r="F396" s="34">
        <v>120</v>
      </c>
      <c r="G396" s="34">
        <v>908120</v>
      </c>
      <c r="H396" s="119">
        <v>14.8</v>
      </c>
      <c r="I396" s="100"/>
      <c r="J396" s="100">
        <v>14.8</v>
      </c>
      <c r="K396" s="22" t="s">
        <v>137</v>
      </c>
      <c r="L396" s="11" t="s">
        <v>138</v>
      </c>
      <c r="M396" s="23" t="s">
        <v>245</v>
      </c>
      <c r="N396" s="122" t="s">
        <v>140</v>
      </c>
      <c r="O396" s="122">
        <v>4</v>
      </c>
      <c r="P396" s="24" t="s">
        <v>477</v>
      </c>
      <c r="Q396" s="25">
        <v>40500</v>
      </c>
      <c r="R396" s="26" t="s">
        <v>142</v>
      </c>
      <c r="S396" s="27" t="s">
        <v>159</v>
      </c>
      <c r="T396" s="27" t="s">
        <v>144</v>
      </c>
      <c r="U396" s="124" t="s">
        <v>140</v>
      </c>
      <c r="V396" s="39">
        <v>6</v>
      </c>
      <c r="W396" s="29">
        <v>4440</v>
      </c>
      <c r="X396" s="29" t="s">
        <v>454</v>
      </c>
      <c r="Y396" s="29"/>
      <c r="Z396" s="30">
        <v>14.8</v>
      </c>
      <c r="AA396" s="136" t="s">
        <v>475</v>
      </c>
      <c r="AB396" s="136">
        <v>2</v>
      </c>
      <c r="AC396" s="21" t="s">
        <v>146</v>
      </c>
      <c r="AD396" s="31">
        <v>1.75</v>
      </c>
      <c r="AE396" s="32" t="s">
        <v>147</v>
      </c>
    </row>
    <row r="397" spans="1:31">
      <c r="A397" s="135">
        <v>2</v>
      </c>
      <c r="B397" s="38" t="s">
        <v>99</v>
      </c>
      <c r="C397" s="122">
        <v>22</v>
      </c>
      <c r="D397" s="122">
        <v>908</v>
      </c>
      <c r="E397" s="33">
        <v>1519</v>
      </c>
      <c r="F397" s="34">
        <v>121</v>
      </c>
      <c r="G397" s="34">
        <v>908121</v>
      </c>
      <c r="H397" s="119">
        <v>9.77</v>
      </c>
      <c r="I397" s="101"/>
      <c r="J397" s="100">
        <v>9.77</v>
      </c>
      <c r="K397" s="22" t="s">
        <v>137</v>
      </c>
      <c r="L397" s="11" t="s">
        <v>138</v>
      </c>
      <c r="M397" s="23" t="s">
        <v>245</v>
      </c>
      <c r="N397" s="122" t="s">
        <v>140</v>
      </c>
      <c r="O397" s="122">
        <v>4</v>
      </c>
      <c r="P397" s="24" t="s">
        <v>476</v>
      </c>
      <c r="Q397" s="25">
        <v>40500</v>
      </c>
      <c r="R397" s="26" t="s">
        <v>142</v>
      </c>
      <c r="S397" s="27" t="s">
        <v>159</v>
      </c>
      <c r="T397" s="27" t="s">
        <v>144</v>
      </c>
      <c r="U397" s="124" t="s">
        <v>140</v>
      </c>
      <c r="V397" s="39">
        <v>6</v>
      </c>
      <c r="W397" s="29">
        <v>2931</v>
      </c>
      <c r="X397" s="29" t="s">
        <v>454</v>
      </c>
      <c r="Y397" s="29"/>
      <c r="Z397" s="30">
        <v>9.77</v>
      </c>
      <c r="AA397" s="136" t="s">
        <v>475</v>
      </c>
      <c r="AB397" s="136">
        <v>2</v>
      </c>
      <c r="AC397" s="21" t="s">
        <v>146</v>
      </c>
      <c r="AD397" s="31">
        <v>1.75</v>
      </c>
      <c r="AE397" s="32" t="s">
        <v>147</v>
      </c>
    </row>
    <row r="398" spans="1:31">
      <c r="A398" s="135">
        <v>2</v>
      </c>
      <c r="B398" s="38" t="s">
        <v>99</v>
      </c>
      <c r="C398" s="122">
        <v>23</v>
      </c>
      <c r="D398" s="122">
        <v>908</v>
      </c>
      <c r="E398" s="33">
        <v>1523</v>
      </c>
      <c r="F398" s="34">
        <v>122</v>
      </c>
      <c r="G398" s="34">
        <v>908122</v>
      </c>
      <c r="H398" s="119">
        <v>13.83</v>
      </c>
      <c r="I398" s="101"/>
      <c r="J398" s="107">
        <v>13.83</v>
      </c>
      <c r="K398" s="22" t="s">
        <v>137</v>
      </c>
      <c r="L398" s="11" t="s">
        <v>138</v>
      </c>
      <c r="M398" s="53" t="s">
        <v>478</v>
      </c>
      <c r="N398" s="122" t="s">
        <v>278</v>
      </c>
      <c r="O398" s="122">
        <v>0</v>
      </c>
      <c r="P398" s="24" t="s">
        <v>323</v>
      </c>
      <c r="Q398" s="25">
        <v>8320</v>
      </c>
      <c r="R398" s="26"/>
      <c r="S398" s="27" t="s">
        <v>312</v>
      </c>
      <c r="T398" s="27" t="s">
        <v>144</v>
      </c>
      <c r="U398" s="124" t="s">
        <v>140</v>
      </c>
      <c r="V398" s="39">
        <v>12</v>
      </c>
      <c r="W398" s="29">
        <v>8298</v>
      </c>
      <c r="X398" s="29" t="s">
        <v>454</v>
      </c>
      <c r="Y398" s="29"/>
      <c r="Z398" s="30">
        <v>13.83</v>
      </c>
      <c r="AA398" s="136" t="s">
        <v>455</v>
      </c>
      <c r="AB398" s="136">
        <v>7</v>
      </c>
      <c r="AC398" s="21" t="s">
        <v>155</v>
      </c>
      <c r="AD398" s="31">
        <v>1.85</v>
      </c>
      <c r="AE398" s="32" t="s">
        <v>147</v>
      </c>
    </row>
    <row r="399" spans="1:31">
      <c r="A399" s="135">
        <v>3</v>
      </c>
      <c r="B399" s="38" t="s">
        <v>479</v>
      </c>
      <c r="C399" s="122">
        <v>1</v>
      </c>
      <c r="D399" s="122">
        <v>924</v>
      </c>
      <c r="E399" s="33">
        <v>804601</v>
      </c>
      <c r="F399" s="34">
        <v>101</v>
      </c>
      <c r="G399" s="34">
        <v>924101</v>
      </c>
      <c r="H399" s="119">
        <v>18.28</v>
      </c>
      <c r="I399" s="100"/>
      <c r="J399" s="100">
        <v>18.28</v>
      </c>
      <c r="K399" s="125" t="s">
        <v>137</v>
      </c>
      <c r="L399" s="11" t="s">
        <v>138</v>
      </c>
      <c r="M399" s="23" t="s">
        <v>480</v>
      </c>
      <c r="N399" s="122" t="s">
        <v>140</v>
      </c>
      <c r="O399" s="122">
        <v>6</v>
      </c>
      <c r="P399" s="24" t="s">
        <v>481</v>
      </c>
      <c r="Q399" s="25">
        <v>40000</v>
      </c>
      <c r="R399" s="26" t="s">
        <v>482</v>
      </c>
      <c r="S399" s="27" t="s">
        <v>483</v>
      </c>
      <c r="T399" s="27" t="s">
        <v>390</v>
      </c>
      <c r="U399" s="124" t="s">
        <v>140</v>
      </c>
      <c r="V399" s="39">
        <v>6</v>
      </c>
      <c r="W399" s="29">
        <v>5484</v>
      </c>
      <c r="X399" s="29" t="s">
        <v>484</v>
      </c>
      <c r="Y399" s="29">
        <v>1</v>
      </c>
      <c r="Z399" s="30">
        <v>18.28</v>
      </c>
      <c r="AA399" s="136" t="s">
        <v>485</v>
      </c>
      <c r="AB399" s="136">
        <v>5</v>
      </c>
      <c r="AC399" s="122" t="s">
        <v>155</v>
      </c>
      <c r="AD399" s="32">
        <v>1.85</v>
      </c>
      <c r="AE399" s="32" t="s">
        <v>147</v>
      </c>
    </row>
    <row r="400" spans="1:31">
      <c r="A400" s="135">
        <v>3</v>
      </c>
      <c r="B400" s="38" t="s">
        <v>479</v>
      </c>
      <c r="C400" s="122">
        <v>2</v>
      </c>
      <c r="D400" s="122">
        <v>924</v>
      </c>
      <c r="E400" s="33">
        <v>804602</v>
      </c>
      <c r="F400" s="34">
        <v>102</v>
      </c>
      <c r="G400" s="34">
        <v>924102</v>
      </c>
      <c r="H400" s="119">
        <v>20.05</v>
      </c>
      <c r="I400" s="100"/>
      <c r="J400" s="100">
        <v>20.05</v>
      </c>
      <c r="K400" s="125" t="s">
        <v>170</v>
      </c>
      <c r="L400" s="11" t="s">
        <v>86</v>
      </c>
      <c r="M400" s="23" t="s">
        <v>486</v>
      </c>
      <c r="N400" s="122" t="s">
        <v>140</v>
      </c>
      <c r="O400" s="122">
        <v>6</v>
      </c>
      <c r="P400" s="24" t="s">
        <v>481</v>
      </c>
      <c r="Q400" s="25">
        <v>40000</v>
      </c>
      <c r="R400" s="26" t="s">
        <v>482</v>
      </c>
      <c r="S400" s="27" t="s">
        <v>483</v>
      </c>
      <c r="T400" s="27" t="s">
        <v>390</v>
      </c>
      <c r="U400" s="124" t="s">
        <v>140</v>
      </c>
      <c r="V400" s="39">
        <v>6</v>
      </c>
      <c r="W400" s="29">
        <v>6015</v>
      </c>
      <c r="X400" s="29" t="s">
        <v>484</v>
      </c>
      <c r="Y400" s="29"/>
      <c r="Z400" s="30">
        <v>24.19</v>
      </c>
      <c r="AA400" s="136" t="s">
        <v>485</v>
      </c>
      <c r="AB400" s="136">
        <v>5</v>
      </c>
      <c r="AC400" s="122" t="s">
        <v>155</v>
      </c>
      <c r="AD400" s="32">
        <v>1.85</v>
      </c>
      <c r="AE400" s="32" t="s">
        <v>147</v>
      </c>
    </row>
    <row r="401" spans="1:31">
      <c r="A401" s="135">
        <v>3</v>
      </c>
      <c r="B401" s="38" t="s">
        <v>479</v>
      </c>
      <c r="C401" s="122">
        <v>3</v>
      </c>
      <c r="D401" s="122">
        <v>924</v>
      </c>
      <c r="E401" s="33">
        <v>804662</v>
      </c>
      <c r="F401" s="34">
        <v>103</v>
      </c>
      <c r="G401" s="34">
        <v>924103</v>
      </c>
      <c r="H401" s="119">
        <v>36.93</v>
      </c>
      <c r="I401" s="100"/>
      <c r="J401" s="100">
        <v>36.93</v>
      </c>
      <c r="K401" s="125" t="s">
        <v>137</v>
      </c>
      <c r="L401" s="11" t="s">
        <v>138</v>
      </c>
      <c r="M401" s="23" t="s">
        <v>487</v>
      </c>
      <c r="N401" s="122" t="s">
        <v>140</v>
      </c>
      <c r="O401" s="122">
        <v>6</v>
      </c>
      <c r="P401" s="24" t="s">
        <v>481</v>
      </c>
      <c r="Q401" s="25">
        <v>40000</v>
      </c>
      <c r="R401" s="26" t="s">
        <v>482</v>
      </c>
      <c r="S401" s="27" t="s">
        <v>483</v>
      </c>
      <c r="T401" s="27" t="s">
        <v>390</v>
      </c>
      <c r="U401" s="124" t="s">
        <v>140</v>
      </c>
      <c r="V401" s="39">
        <v>6</v>
      </c>
      <c r="W401" s="29">
        <v>11079</v>
      </c>
      <c r="X401" s="29" t="s">
        <v>484</v>
      </c>
      <c r="Y401" s="29"/>
      <c r="Z401" s="30">
        <v>42.19</v>
      </c>
      <c r="AA401" s="136" t="s">
        <v>485</v>
      </c>
      <c r="AB401" s="136">
        <v>5</v>
      </c>
      <c r="AC401" s="122" t="s">
        <v>155</v>
      </c>
      <c r="AD401" s="32">
        <v>1.85</v>
      </c>
      <c r="AE401" s="32" t="s">
        <v>147</v>
      </c>
    </row>
    <row r="402" spans="1:31">
      <c r="A402" s="135">
        <v>3</v>
      </c>
      <c r="B402" s="38" t="s">
        <v>479</v>
      </c>
      <c r="C402" s="122">
        <v>4</v>
      </c>
      <c r="D402" s="122">
        <v>924</v>
      </c>
      <c r="E402" s="33">
        <v>804607</v>
      </c>
      <c r="F402" s="34">
        <v>104</v>
      </c>
      <c r="G402" s="34">
        <v>924104</v>
      </c>
      <c r="H402" s="119">
        <v>14.71</v>
      </c>
      <c r="I402" s="100"/>
      <c r="J402" s="100">
        <v>14.71</v>
      </c>
      <c r="K402" s="125" t="s">
        <v>170</v>
      </c>
      <c r="L402" s="11" t="s">
        <v>86</v>
      </c>
      <c r="M402" s="23" t="s">
        <v>149</v>
      </c>
      <c r="N402" s="122" t="s">
        <v>140</v>
      </c>
      <c r="O402" s="122">
        <v>6</v>
      </c>
      <c r="P402" s="24" t="s">
        <v>481</v>
      </c>
      <c r="Q402" s="25">
        <v>40000</v>
      </c>
      <c r="R402" s="26" t="s">
        <v>482</v>
      </c>
      <c r="S402" s="27" t="s">
        <v>483</v>
      </c>
      <c r="T402" s="27" t="s">
        <v>390</v>
      </c>
      <c r="U402" s="124" t="s">
        <v>140</v>
      </c>
      <c r="V402" s="39">
        <v>6</v>
      </c>
      <c r="W402" s="29">
        <v>4413</v>
      </c>
      <c r="X402" s="29" t="s">
        <v>484</v>
      </c>
      <c r="Y402" s="29"/>
      <c r="Z402" s="30">
        <v>14.71</v>
      </c>
      <c r="AA402" s="136" t="s">
        <v>485</v>
      </c>
      <c r="AB402" s="136">
        <v>5</v>
      </c>
      <c r="AC402" s="122" t="s">
        <v>155</v>
      </c>
      <c r="AD402" s="31">
        <v>1.85</v>
      </c>
      <c r="AE402" s="32" t="s">
        <v>147</v>
      </c>
    </row>
    <row r="403" spans="1:31">
      <c r="A403" s="135">
        <v>3</v>
      </c>
      <c r="B403" s="38" t="s">
        <v>479</v>
      </c>
      <c r="C403" s="122">
        <v>5</v>
      </c>
      <c r="D403" s="122">
        <v>924</v>
      </c>
      <c r="E403" s="33">
        <v>804663</v>
      </c>
      <c r="F403" s="34">
        <v>105</v>
      </c>
      <c r="G403" s="34">
        <v>924105</v>
      </c>
      <c r="H403" s="119">
        <v>21.79</v>
      </c>
      <c r="I403" s="108">
        <v>21.79</v>
      </c>
      <c r="J403" s="100"/>
      <c r="K403" s="125" t="s">
        <v>148</v>
      </c>
      <c r="L403" s="11" t="s">
        <v>148</v>
      </c>
      <c r="M403" s="23" t="s">
        <v>149</v>
      </c>
      <c r="N403" s="122" t="s">
        <v>140</v>
      </c>
      <c r="O403" s="122">
        <v>5</v>
      </c>
      <c r="P403" s="24" t="s">
        <v>481</v>
      </c>
      <c r="Q403" s="25">
        <v>40000</v>
      </c>
      <c r="R403" s="26" t="s">
        <v>482</v>
      </c>
      <c r="S403" s="27" t="s">
        <v>483</v>
      </c>
      <c r="T403" s="27" t="s">
        <v>144</v>
      </c>
      <c r="U403" s="124" t="s">
        <v>255</v>
      </c>
      <c r="V403" s="39">
        <v>3</v>
      </c>
      <c r="W403" s="29">
        <v>0</v>
      </c>
      <c r="X403" s="29" t="s">
        <v>484</v>
      </c>
      <c r="Y403" s="29"/>
      <c r="Z403" s="30">
        <v>21.79</v>
      </c>
      <c r="AA403" s="136" t="s">
        <v>485</v>
      </c>
      <c r="AB403" s="136">
        <v>5</v>
      </c>
      <c r="AC403" s="122" t="s">
        <v>155</v>
      </c>
      <c r="AD403" s="31">
        <v>1.85</v>
      </c>
      <c r="AE403" s="32" t="s">
        <v>147</v>
      </c>
    </row>
    <row r="404" spans="1:31">
      <c r="A404" s="135">
        <v>3</v>
      </c>
      <c r="B404" s="38" t="s">
        <v>479</v>
      </c>
      <c r="C404" s="122">
        <v>6</v>
      </c>
      <c r="D404" s="122">
        <v>924</v>
      </c>
      <c r="E404" s="33">
        <v>804608</v>
      </c>
      <c r="F404" s="34">
        <v>106</v>
      </c>
      <c r="G404" s="34">
        <v>924106</v>
      </c>
      <c r="H404" s="119">
        <v>9.5299999999999994</v>
      </c>
      <c r="I404" s="101"/>
      <c r="J404" s="100">
        <v>9.5299999999999994</v>
      </c>
      <c r="K404" s="22" t="s">
        <v>137</v>
      </c>
      <c r="L404" s="11" t="s">
        <v>138</v>
      </c>
      <c r="M404" s="23" t="s">
        <v>203</v>
      </c>
      <c r="N404" s="122" t="s">
        <v>140</v>
      </c>
      <c r="O404" s="122">
        <v>6</v>
      </c>
      <c r="P404" s="24" t="s">
        <v>481</v>
      </c>
      <c r="Q404" s="25">
        <v>40000</v>
      </c>
      <c r="R404" s="26" t="s">
        <v>482</v>
      </c>
      <c r="S404" s="27" t="s">
        <v>483</v>
      </c>
      <c r="T404" s="27" t="s">
        <v>144</v>
      </c>
      <c r="U404" s="124" t="s">
        <v>255</v>
      </c>
      <c r="V404" s="39">
        <v>3</v>
      </c>
      <c r="W404" s="29">
        <v>1429.5</v>
      </c>
      <c r="X404" s="29" t="s">
        <v>484</v>
      </c>
      <c r="Y404" s="29"/>
      <c r="Z404" s="30">
        <v>9.5299999999999994</v>
      </c>
      <c r="AA404" s="136" t="s">
        <v>485</v>
      </c>
      <c r="AB404" s="136">
        <v>5</v>
      </c>
      <c r="AC404" s="122" t="s">
        <v>146</v>
      </c>
      <c r="AD404" s="31">
        <v>1.75</v>
      </c>
      <c r="AE404" s="32" t="s">
        <v>147</v>
      </c>
    </row>
    <row r="405" spans="1:31">
      <c r="A405" s="135">
        <v>3</v>
      </c>
      <c r="B405" s="38" t="s">
        <v>479</v>
      </c>
      <c r="C405" s="122">
        <v>7</v>
      </c>
      <c r="D405" s="122">
        <v>924</v>
      </c>
      <c r="E405" s="33">
        <v>804664</v>
      </c>
      <c r="F405" s="34">
        <v>107</v>
      </c>
      <c r="G405" s="34">
        <v>924107</v>
      </c>
      <c r="H405" s="119">
        <v>50.89</v>
      </c>
      <c r="I405" s="100">
        <v>50.89</v>
      </c>
      <c r="J405" s="100"/>
      <c r="K405" s="58" t="s">
        <v>148</v>
      </c>
      <c r="L405" s="6" t="s">
        <v>148</v>
      </c>
      <c r="M405" s="23" t="s">
        <v>149</v>
      </c>
      <c r="N405" s="122" t="s">
        <v>140</v>
      </c>
      <c r="O405" s="122">
        <v>6</v>
      </c>
      <c r="P405" s="24" t="s">
        <v>481</v>
      </c>
      <c r="Q405" s="25">
        <v>40000</v>
      </c>
      <c r="R405" s="26" t="s">
        <v>482</v>
      </c>
      <c r="S405" s="27" t="s">
        <v>483</v>
      </c>
      <c r="T405" s="27" t="s">
        <v>144</v>
      </c>
      <c r="U405" s="124" t="s">
        <v>255</v>
      </c>
      <c r="V405" s="39">
        <v>3</v>
      </c>
      <c r="W405" s="29">
        <v>0</v>
      </c>
      <c r="X405" s="29"/>
      <c r="Y405" s="29"/>
      <c r="Z405" s="29"/>
      <c r="AA405" s="136"/>
      <c r="AB405" s="136"/>
      <c r="AC405" s="122" t="s">
        <v>155</v>
      </c>
      <c r="AD405" s="31">
        <v>1.85</v>
      </c>
      <c r="AE405" s="32" t="s">
        <v>147</v>
      </c>
    </row>
    <row r="406" spans="1:31">
      <c r="A406" s="135">
        <v>3</v>
      </c>
      <c r="B406" s="38" t="s">
        <v>479</v>
      </c>
      <c r="C406" s="122">
        <v>8</v>
      </c>
      <c r="D406" s="122">
        <v>924</v>
      </c>
      <c r="E406" s="33">
        <v>804609</v>
      </c>
      <c r="F406" s="34">
        <v>108</v>
      </c>
      <c r="G406" s="34">
        <v>924108</v>
      </c>
      <c r="H406" s="119">
        <v>20.13</v>
      </c>
      <c r="I406" s="100"/>
      <c r="J406" s="100">
        <v>20.13</v>
      </c>
      <c r="K406" s="22" t="s">
        <v>170</v>
      </c>
      <c r="L406" s="11" t="s">
        <v>86</v>
      </c>
      <c r="M406" s="23" t="s">
        <v>149</v>
      </c>
      <c r="N406" s="122" t="s">
        <v>140</v>
      </c>
      <c r="O406" s="122">
        <v>6</v>
      </c>
      <c r="P406" s="24" t="s">
        <v>481</v>
      </c>
      <c r="Q406" s="25">
        <v>40000</v>
      </c>
      <c r="R406" s="26" t="s">
        <v>482</v>
      </c>
      <c r="S406" s="27" t="s">
        <v>483</v>
      </c>
      <c r="T406" s="27" t="s">
        <v>144</v>
      </c>
      <c r="U406" s="124" t="s">
        <v>255</v>
      </c>
      <c r="V406" s="39">
        <v>3</v>
      </c>
      <c r="W406" s="29">
        <v>3019.5</v>
      </c>
      <c r="X406" s="29" t="s">
        <v>484</v>
      </c>
      <c r="Y406" s="29"/>
      <c r="Z406" s="30">
        <v>20.13</v>
      </c>
      <c r="AA406" s="136" t="s">
        <v>485</v>
      </c>
      <c r="AB406" s="136">
        <v>5</v>
      </c>
      <c r="AC406" s="122" t="s">
        <v>146</v>
      </c>
      <c r="AD406" s="31">
        <v>1.65</v>
      </c>
      <c r="AE406" s="32" t="s">
        <v>147</v>
      </c>
    </row>
    <row r="407" spans="1:31">
      <c r="A407" s="135">
        <v>3</v>
      </c>
      <c r="B407" s="38" t="s">
        <v>479</v>
      </c>
      <c r="C407" s="122">
        <v>9</v>
      </c>
      <c r="D407" s="122">
        <v>924</v>
      </c>
      <c r="E407" s="33">
        <v>804610</v>
      </c>
      <c r="F407" s="55">
        <v>109</v>
      </c>
      <c r="G407" s="34">
        <v>924109</v>
      </c>
      <c r="H407" s="119">
        <v>19.52</v>
      </c>
      <c r="I407" s="100"/>
      <c r="J407" s="100">
        <v>19.52</v>
      </c>
      <c r="K407" s="22" t="s">
        <v>172</v>
      </c>
      <c r="L407" s="11" t="s">
        <v>86</v>
      </c>
      <c r="M407" s="23" t="s">
        <v>488</v>
      </c>
      <c r="N407" s="122" t="s">
        <v>140</v>
      </c>
      <c r="O407" s="122">
        <v>4</v>
      </c>
      <c r="P407" s="24" t="s">
        <v>489</v>
      </c>
      <c r="Q407" s="25"/>
      <c r="R407" s="26"/>
      <c r="S407" s="27" t="s">
        <v>159</v>
      </c>
      <c r="T407" s="27" t="s">
        <v>160</v>
      </c>
      <c r="U407" s="124" t="s">
        <v>255</v>
      </c>
      <c r="V407" s="39">
        <v>3</v>
      </c>
      <c r="W407" s="29">
        <v>2928</v>
      </c>
      <c r="X407" s="29" t="s">
        <v>484</v>
      </c>
      <c r="Y407" s="29"/>
      <c r="Z407" s="30">
        <v>19.52</v>
      </c>
      <c r="AA407" s="136" t="s">
        <v>490</v>
      </c>
      <c r="AB407" s="136">
        <v>2</v>
      </c>
      <c r="AC407" s="122" t="s">
        <v>155</v>
      </c>
      <c r="AD407" s="31">
        <v>1.85</v>
      </c>
      <c r="AE407" s="32" t="s">
        <v>147</v>
      </c>
    </row>
    <row r="408" spans="1:31">
      <c r="A408" s="135">
        <v>3</v>
      </c>
      <c r="B408" s="38" t="s">
        <v>479</v>
      </c>
      <c r="C408" s="122">
        <v>10</v>
      </c>
      <c r="D408" s="122">
        <v>924</v>
      </c>
      <c r="E408" s="33">
        <v>804611</v>
      </c>
      <c r="F408" s="34">
        <v>110</v>
      </c>
      <c r="G408" s="34">
        <v>924110</v>
      </c>
      <c r="H408" s="119">
        <v>6.59</v>
      </c>
      <c r="I408" s="101"/>
      <c r="J408" s="100">
        <v>6.59</v>
      </c>
      <c r="K408" s="22" t="s">
        <v>170</v>
      </c>
      <c r="L408" s="23" t="s">
        <v>86</v>
      </c>
      <c r="M408" s="23" t="s">
        <v>149</v>
      </c>
      <c r="N408" s="122" t="s">
        <v>140</v>
      </c>
      <c r="O408" s="122">
        <v>4</v>
      </c>
      <c r="P408" s="24" t="s">
        <v>481</v>
      </c>
      <c r="Q408" s="25">
        <v>40000</v>
      </c>
      <c r="R408" s="26" t="s">
        <v>482</v>
      </c>
      <c r="S408" s="27" t="s">
        <v>483</v>
      </c>
      <c r="T408" s="27" t="s">
        <v>144</v>
      </c>
      <c r="U408" s="124" t="s">
        <v>255</v>
      </c>
      <c r="V408" s="39">
        <v>3</v>
      </c>
      <c r="W408" s="29">
        <v>988.5</v>
      </c>
      <c r="X408" s="29" t="s">
        <v>484</v>
      </c>
      <c r="Y408" s="29"/>
      <c r="Z408" s="30">
        <v>6.59</v>
      </c>
      <c r="AA408" s="136" t="s">
        <v>485</v>
      </c>
      <c r="AB408" s="136">
        <v>5</v>
      </c>
      <c r="AC408" s="122" t="s">
        <v>155</v>
      </c>
      <c r="AD408" s="31">
        <v>1.85</v>
      </c>
      <c r="AE408" s="32" t="s">
        <v>147</v>
      </c>
    </row>
    <row r="409" spans="1:31">
      <c r="A409" s="135">
        <v>3</v>
      </c>
      <c r="B409" s="38" t="s">
        <v>479</v>
      </c>
      <c r="C409" s="122">
        <v>11</v>
      </c>
      <c r="D409" s="122">
        <v>924</v>
      </c>
      <c r="E409" s="33">
        <v>804612</v>
      </c>
      <c r="F409" s="34">
        <v>111</v>
      </c>
      <c r="G409" s="34">
        <v>924111</v>
      </c>
      <c r="H409" s="119">
        <v>13.3</v>
      </c>
      <c r="I409" s="100"/>
      <c r="J409" s="100">
        <v>13.3</v>
      </c>
      <c r="K409" s="125" t="s">
        <v>137</v>
      </c>
      <c r="L409" s="11" t="s">
        <v>138</v>
      </c>
      <c r="M409" s="23" t="s">
        <v>491</v>
      </c>
      <c r="N409" s="122" t="s">
        <v>140</v>
      </c>
      <c r="O409" s="122">
        <v>4</v>
      </c>
      <c r="P409" s="24" t="s">
        <v>481</v>
      </c>
      <c r="Q409" s="25">
        <v>40000</v>
      </c>
      <c r="R409" s="26" t="s">
        <v>482</v>
      </c>
      <c r="S409" s="27" t="s">
        <v>483</v>
      </c>
      <c r="T409" s="27" t="s">
        <v>144</v>
      </c>
      <c r="U409" s="124" t="s">
        <v>255</v>
      </c>
      <c r="V409" s="39">
        <v>3</v>
      </c>
      <c r="W409" s="29">
        <v>1995</v>
      </c>
      <c r="X409" s="29" t="s">
        <v>484</v>
      </c>
      <c r="Y409" s="29"/>
      <c r="Z409" s="30">
        <v>13.3</v>
      </c>
      <c r="AA409" s="136" t="s">
        <v>485</v>
      </c>
      <c r="AB409" s="136">
        <v>5</v>
      </c>
      <c r="AC409" s="122" t="s">
        <v>155</v>
      </c>
      <c r="AD409" s="31">
        <v>1.85</v>
      </c>
      <c r="AE409" s="32" t="s">
        <v>147</v>
      </c>
    </row>
    <row r="410" spans="1:31">
      <c r="A410" s="135">
        <v>3</v>
      </c>
      <c r="B410" s="38" t="s">
        <v>479</v>
      </c>
      <c r="C410" s="122">
        <v>12</v>
      </c>
      <c r="D410" s="122">
        <v>924</v>
      </c>
      <c r="E410" s="33">
        <v>804613</v>
      </c>
      <c r="F410" s="55">
        <v>112</v>
      </c>
      <c r="G410" s="34">
        <v>924112</v>
      </c>
      <c r="H410" s="119">
        <v>6.37</v>
      </c>
      <c r="I410" s="100"/>
      <c r="J410" s="100">
        <v>6.37</v>
      </c>
      <c r="K410" s="125" t="s">
        <v>137</v>
      </c>
      <c r="L410" s="11" t="s">
        <v>138</v>
      </c>
      <c r="M410" s="23" t="s">
        <v>491</v>
      </c>
      <c r="N410" s="122" t="s">
        <v>140</v>
      </c>
      <c r="O410" s="122">
        <v>4</v>
      </c>
      <c r="P410" s="24" t="s">
        <v>481</v>
      </c>
      <c r="Q410" s="25">
        <v>40000</v>
      </c>
      <c r="R410" s="26" t="s">
        <v>482</v>
      </c>
      <c r="S410" s="27" t="s">
        <v>483</v>
      </c>
      <c r="T410" s="27" t="s">
        <v>144</v>
      </c>
      <c r="U410" s="124" t="s">
        <v>255</v>
      </c>
      <c r="V410" s="39">
        <v>3</v>
      </c>
      <c r="W410" s="29">
        <v>955.5</v>
      </c>
      <c r="X410" s="29" t="s">
        <v>484</v>
      </c>
      <c r="Y410" s="29"/>
      <c r="Z410" s="30">
        <v>6.37</v>
      </c>
      <c r="AA410" s="136" t="s">
        <v>485</v>
      </c>
      <c r="AB410" s="136">
        <v>5</v>
      </c>
      <c r="AC410" s="122" t="s">
        <v>155</v>
      </c>
      <c r="AD410" s="31">
        <v>1.85</v>
      </c>
      <c r="AE410" s="32" t="s">
        <v>147</v>
      </c>
    </row>
    <row r="411" spans="1:31">
      <c r="A411" s="135">
        <v>3</v>
      </c>
      <c r="B411" s="38" t="s">
        <v>479</v>
      </c>
      <c r="C411" s="122">
        <v>13</v>
      </c>
      <c r="D411" s="122">
        <v>924</v>
      </c>
      <c r="E411" s="33">
        <v>804618</v>
      </c>
      <c r="F411" s="34">
        <v>113</v>
      </c>
      <c r="G411" s="34">
        <v>924113</v>
      </c>
      <c r="H411" s="119">
        <v>36.049999999999997</v>
      </c>
      <c r="I411" s="108">
        <v>36.049999999999997</v>
      </c>
      <c r="J411" s="100"/>
      <c r="K411" s="125" t="s">
        <v>148</v>
      </c>
      <c r="L411" s="11" t="s">
        <v>148</v>
      </c>
      <c r="M411" s="23" t="s">
        <v>149</v>
      </c>
      <c r="N411" s="122" t="s">
        <v>140</v>
      </c>
      <c r="O411" s="122">
        <v>4</v>
      </c>
      <c r="P411" s="24" t="s">
        <v>481</v>
      </c>
      <c r="Q411" s="25">
        <v>40000</v>
      </c>
      <c r="R411" s="26" t="s">
        <v>482</v>
      </c>
      <c r="S411" s="27" t="s">
        <v>483</v>
      </c>
      <c r="T411" s="27" t="s">
        <v>144</v>
      </c>
      <c r="U411" s="124" t="s">
        <v>255</v>
      </c>
      <c r="V411" s="39">
        <v>3</v>
      </c>
      <c r="W411" s="29">
        <v>0</v>
      </c>
      <c r="X411" s="29" t="s">
        <v>484</v>
      </c>
      <c r="Y411" s="29"/>
      <c r="Z411" s="30">
        <v>36.049999999999997</v>
      </c>
      <c r="AA411" s="136" t="s">
        <v>485</v>
      </c>
      <c r="AB411" s="136">
        <v>5</v>
      </c>
      <c r="AC411" s="122" t="s">
        <v>146</v>
      </c>
      <c r="AD411" s="31">
        <v>1.65</v>
      </c>
      <c r="AE411" s="32" t="s">
        <v>147</v>
      </c>
    </row>
    <row r="412" spans="1:31">
      <c r="A412" s="135">
        <v>3</v>
      </c>
      <c r="B412" s="38" t="s">
        <v>479</v>
      </c>
      <c r="C412" s="122">
        <v>14</v>
      </c>
      <c r="D412" s="122">
        <v>924</v>
      </c>
      <c r="E412" s="33">
        <v>804621</v>
      </c>
      <c r="F412" s="34">
        <v>114</v>
      </c>
      <c r="G412" s="34">
        <v>924114</v>
      </c>
      <c r="H412" s="119">
        <v>5.14</v>
      </c>
      <c r="I412" s="105">
        <v>5.14</v>
      </c>
      <c r="J412" s="100"/>
      <c r="K412" s="125" t="s">
        <v>148</v>
      </c>
      <c r="L412" s="11" t="s">
        <v>148</v>
      </c>
      <c r="M412" s="23" t="s">
        <v>203</v>
      </c>
      <c r="N412" s="122" t="s">
        <v>140</v>
      </c>
      <c r="O412" s="122">
        <v>4</v>
      </c>
      <c r="P412" s="24" t="s">
        <v>481</v>
      </c>
      <c r="Q412" s="25">
        <v>40000</v>
      </c>
      <c r="R412" s="26" t="s">
        <v>482</v>
      </c>
      <c r="S412" s="27" t="s">
        <v>483</v>
      </c>
      <c r="T412" s="27" t="s">
        <v>144</v>
      </c>
      <c r="U412" s="124" t="s">
        <v>255</v>
      </c>
      <c r="V412" s="39">
        <v>3</v>
      </c>
      <c r="W412" s="29">
        <v>0</v>
      </c>
      <c r="X412" s="29" t="s">
        <v>484</v>
      </c>
      <c r="Y412" s="29"/>
      <c r="Z412" s="30">
        <v>5.14</v>
      </c>
      <c r="AA412" s="136" t="s">
        <v>485</v>
      </c>
      <c r="AB412" s="136">
        <v>5</v>
      </c>
      <c r="AC412" s="122" t="s">
        <v>146</v>
      </c>
      <c r="AD412" s="31">
        <v>1.75</v>
      </c>
      <c r="AE412" s="32" t="s">
        <v>147</v>
      </c>
    </row>
    <row r="413" spans="1:31">
      <c r="A413" s="135">
        <v>3</v>
      </c>
      <c r="B413" s="38" t="s">
        <v>479</v>
      </c>
      <c r="C413" s="122">
        <v>15</v>
      </c>
      <c r="D413" s="122">
        <v>924</v>
      </c>
      <c r="E413" s="33">
        <v>804615</v>
      </c>
      <c r="F413" s="55">
        <v>115</v>
      </c>
      <c r="G413" s="34">
        <v>924115</v>
      </c>
      <c r="H413" s="119">
        <v>4.18</v>
      </c>
      <c r="I413" s="108">
        <v>4.18</v>
      </c>
      <c r="J413" s="100"/>
      <c r="K413" s="125" t="s">
        <v>148</v>
      </c>
      <c r="L413" s="11" t="s">
        <v>148</v>
      </c>
      <c r="M413" s="23" t="s">
        <v>149</v>
      </c>
      <c r="N413" s="122" t="s">
        <v>140</v>
      </c>
      <c r="O413" s="122">
        <v>4</v>
      </c>
      <c r="P413" s="24" t="s">
        <v>492</v>
      </c>
      <c r="Q413" s="41">
        <v>960</v>
      </c>
      <c r="R413" s="26" t="s">
        <v>481</v>
      </c>
      <c r="S413" s="27" t="s">
        <v>159</v>
      </c>
      <c r="T413" s="27" t="s">
        <v>493</v>
      </c>
      <c r="U413" s="124" t="s">
        <v>255</v>
      </c>
      <c r="V413" s="39">
        <v>3</v>
      </c>
      <c r="W413" s="29">
        <v>0</v>
      </c>
      <c r="X413" s="29" t="s">
        <v>484</v>
      </c>
      <c r="Y413" s="29"/>
      <c r="Z413" s="30">
        <v>4.18</v>
      </c>
      <c r="AA413" s="136" t="s">
        <v>490</v>
      </c>
      <c r="AB413" s="136">
        <v>2</v>
      </c>
      <c r="AC413" s="122" t="s">
        <v>146</v>
      </c>
      <c r="AD413" s="31">
        <v>1.65</v>
      </c>
      <c r="AE413" s="32" t="s">
        <v>147</v>
      </c>
    </row>
    <row r="414" spans="1:31">
      <c r="A414" s="135">
        <v>3</v>
      </c>
      <c r="B414" s="38" t="s">
        <v>479</v>
      </c>
      <c r="C414" s="122">
        <v>16</v>
      </c>
      <c r="D414" s="122">
        <v>924</v>
      </c>
      <c r="E414" s="33">
        <v>804638</v>
      </c>
      <c r="F414" s="34">
        <v>116</v>
      </c>
      <c r="G414" s="34">
        <v>924116</v>
      </c>
      <c r="H414" s="119">
        <v>17.690000000000001</v>
      </c>
      <c r="I414" s="100"/>
      <c r="J414" s="100">
        <v>17.690000000000001</v>
      </c>
      <c r="K414" s="22" t="s">
        <v>137</v>
      </c>
      <c r="L414" s="11" t="s">
        <v>138</v>
      </c>
      <c r="M414" s="23" t="s">
        <v>494</v>
      </c>
      <c r="N414" s="122" t="s">
        <v>140</v>
      </c>
      <c r="O414" s="122">
        <v>6</v>
      </c>
      <c r="P414" s="24" t="s">
        <v>481</v>
      </c>
      <c r="Q414" s="25">
        <v>40000</v>
      </c>
      <c r="R414" s="26" t="s">
        <v>482</v>
      </c>
      <c r="S414" s="27" t="s">
        <v>214</v>
      </c>
      <c r="T414" s="27" t="s">
        <v>144</v>
      </c>
      <c r="U414" s="124" t="s">
        <v>140</v>
      </c>
      <c r="V414" s="39">
        <v>6</v>
      </c>
      <c r="W414" s="29">
        <v>5307</v>
      </c>
      <c r="X414" s="29" t="s">
        <v>495</v>
      </c>
      <c r="Y414" s="29">
        <v>1</v>
      </c>
      <c r="Z414" s="30">
        <v>17.690000000000001</v>
      </c>
      <c r="AA414" s="136" t="s">
        <v>490</v>
      </c>
      <c r="AB414" s="136">
        <v>5</v>
      </c>
      <c r="AC414" s="122" t="s">
        <v>155</v>
      </c>
      <c r="AD414" s="32">
        <v>1.85</v>
      </c>
      <c r="AE414" s="32" t="s">
        <v>147</v>
      </c>
    </row>
    <row r="415" spans="1:31">
      <c r="A415" s="135">
        <v>3</v>
      </c>
      <c r="B415" s="38" t="s">
        <v>479</v>
      </c>
      <c r="C415" s="122">
        <v>17</v>
      </c>
      <c r="D415" s="122">
        <v>924</v>
      </c>
      <c r="E415" s="33">
        <v>804639</v>
      </c>
      <c r="F415" s="34">
        <v>117</v>
      </c>
      <c r="G415" s="34">
        <v>924117</v>
      </c>
      <c r="H415" s="119">
        <v>29.92</v>
      </c>
      <c r="I415" s="100"/>
      <c r="J415" s="100">
        <v>29.92</v>
      </c>
      <c r="K415" s="22" t="s">
        <v>137</v>
      </c>
      <c r="L415" s="11" t="s">
        <v>138</v>
      </c>
      <c r="M415" s="23" t="s">
        <v>203</v>
      </c>
      <c r="N415" s="122" t="s">
        <v>140</v>
      </c>
      <c r="O415" s="122">
        <v>6</v>
      </c>
      <c r="P415" s="24" t="s">
        <v>481</v>
      </c>
      <c r="Q415" s="25">
        <v>40000</v>
      </c>
      <c r="R415" s="26" t="s">
        <v>482</v>
      </c>
      <c r="S415" s="27" t="s">
        <v>214</v>
      </c>
      <c r="T415" s="27" t="s">
        <v>144</v>
      </c>
      <c r="U415" s="124" t="s">
        <v>140</v>
      </c>
      <c r="V415" s="39">
        <v>6</v>
      </c>
      <c r="W415" s="29">
        <v>8976</v>
      </c>
      <c r="X415" s="29" t="s">
        <v>495</v>
      </c>
      <c r="Y415" s="29"/>
      <c r="Z415" s="30">
        <v>29.92</v>
      </c>
      <c r="AA415" s="136" t="s">
        <v>490</v>
      </c>
      <c r="AB415" s="136">
        <v>5</v>
      </c>
      <c r="AC415" s="122" t="s">
        <v>146</v>
      </c>
      <c r="AD415" s="31">
        <v>1.75</v>
      </c>
      <c r="AE415" s="32" t="s">
        <v>147</v>
      </c>
    </row>
    <row r="416" spans="1:31">
      <c r="A416" s="135">
        <v>3</v>
      </c>
      <c r="B416" s="38" t="s">
        <v>479</v>
      </c>
      <c r="C416" s="122">
        <v>18</v>
      </c>
      <c r="D416" s="122">
        <v>924</v>
      </c>
      <c r="E416" s="33">
        <v>804642</v>
      </c>
      <c r="F416" s="34">
        <v>118</v>
      </c>
      <c r="G416" s="34">
        <v>924118</v>
      </c>
      <c r="H416" s="119">
        <v>13.97</v>
      </c>
      <c r="I416" s="100"/>
      <c r="J416" s="100">
        <v>13.97</v>
      </c>
      <c r="K416" s="22" t="s">
        <v>137</v>
      </c>
      <c r="L416" s="23" t="s">
        <v>138</v>
      </c>
      <c r="M416" s="23" t="s">
        <v>203</v>
      </c>
      <c r="N416" s="122" t="s">
        <v>140</v>
      </c>
      <c r="O416" s="122">
        <v>6</v>
      </c>
      <c r="P416" s="24" t="s">
        <v>481</v>
      </c>
      <c r="Q416" s="25">
        <v>40000</v>
      </c>
      <c r="R416" s="26" t="s">
        <v>482</v>
      </c>
      <c r="S416" s="27" t="s">
        <v>214</v>
      </c>
      <c r="T416" s="27" t="s">
        <v>144</v>
      </c>
      <c r="U416" s="124" t="s">
        <v>140</v>
      </c>
      <c r="V416" s="39">
        <v>6</v>
      </c>
      <c r="W416" s="29">
        <v>4191</v>
      </c>
      <c r="X416" s="29" t="s">
        <v>495</v>
      </c>
      <c r="Y416" s="29"/>
      <c r="Z416" s="30">
        <v>13.97</v>
      </c>
      <c r="AA416" s="136" t="s">
        <v>490</v>
      </c>
      <c r="AB416" s="136">
        <v>5</v>
      </c>
      <c r="AC416" s="122" t="s">
        <v>146</v>
      </c>
      <c r="AD416" s="32">
        <v>1.75</v>
      </c>
      <c r="AE416" s="32" t="s">
        <v>147</v>
      </c>
    </row>
    <row r="417" spans="1:31">
      <c r="A417" s="135">
        <v>3</v>
      </c>
      <c r="B417" s="38" t="s">
        <v>479</v>
      </c>
      <c r="C417" s="122">
        <v>19</v>
      </c>
      <c r="D417" s="122">
        <v>924</v>
      </c>
      <c r="E417" s="33">
        <v>804643</v>
      </c>
      <c r="F417" s="34">
        <v>119</v>
      </c>
      <c r="G417" s="34">
        <v>924119</v>
      </c>
      <c r="H417" s="119">
        <v>13.86</v>
      </c>
      <c r="I417" s="100"/>
      <c r="J417" s="100">
        <v>13.86</v>
      </c>
      <c r="K417" s="22" t="s">
        <v>137</v>
      </c>
      <c r="L417" s="23" t="s">
        <v>138</v>
      </c>
      <c r="M417" s="23" t="s">
        <v>245</v>
      </c>
      <c r="N417" s="122" t="s">
        <v>140</v>
      </c>
      <c r="O417" s="122">
        <v>6</v>
      </c>
      <c r="P417" s="24" t="s">
        <v>481</v>
      </c>
      <c r="Q417" s="25">
        <v>40000</v>
      </c>
      <c r="R417" s="26" t="s">
        <v>482</v>
      </c>
      <c r="S417" s="27" t="s">
        <v>483</v>
      </c>
      <c r="T417" s="27" t="s">
        <v>144</v>
      </c>
      <c r="U417" s="124" t="s">
        <v>255</v>
      </c>
      <c r="V417" s="39">
        <v>3</v>
      </c>
      <c r="W417" s="29">
        <v>2079</v>
      </c>
      <c r="X417" s="29" t="s">
        <v>495</v>
      </c>
      <c r="Y417" s="29"/>
      <c r="Z417" s="30">
        <v>13.86</v>
      </c>
      <c r="AA417" s="136" t="s">
        <v>490</v>
      </c>
      <c r="AB417" s="136">
        <v>5</v>
      </c>
      <c r="AC417" s="122" t="s">
        <v>146</v>
      </c>
      <c r="AD417" s="31">
        <v>1.75</v>
      </c>
      <c r="AE417" s="32" t="s">
        <v>147</v>
      </c>
    </row>
    <row r="418" spans="1:31">
      <c r="A418" s="135">
        <v>3</v>
      </c>
      <c r="B418" s="38" t="s">
        <v>479</v>
      </c>
      <c r="C418" s="122">
        <v>20</v>
      </c>
      <c r="D418" s="122">
        <v>924</v>
      </c>
      <c r="E418" s="33">
        <v>804644</v>
      </c>
      <c r="F418" s="34">
        <v>120</v>
      </c>
      <c r="G418" s="34">
        <v>924120</v>
      </c>
      <c r="H418" s="119">
        <v>6.79</v>
      </c>
      <c r="I418" s="101"/>
      <c r="J418" s="100">
        <v>6.79</v>
      </c>
      <c r="K418" s="22" t="s">
        <v>137</v>
      </c>
      <c r="L418" s="23" t="s">
        <v>138</v>
      </c>
      <c r="M418" s="23" t="s">
        <v>496</v>
      </c>
      <c r="N418" s="122" t="s">
        <v>140</v>
      </c>
      <c r="O418" s="122">
        <v>6</v>
      </c>
      <c r="P418" s="24" t="s">
        <v>481</v>
      </c>
      <c r="Q418" s="25">
        <v>40000</v>
      </c>
      <c r="R418" s="26" t="s">
        <v>482</v>
      </c>
      <c r="S418" s="27" t="s">
        <v>483</v>
      </c>
      <c r="T418" s="27" t="s">
        <v>144</v>
      </c>
      <c r="U418" s="124" t="s">
        <v>255</v>
      </c>
      <c r="V418" s="39">
        <v>3</v>
      </c>
      <c r="W418" s="29">
        <v>1018.5</v>
      </c>
      <c r="X418" s="29" t="s">
        <v>495</v>
      </c>
      <c r="Y418" s="29"/>
      <c r="Z418" s="30">
        <v>6.79</v>
      </c>
      <c r="AA418" s="136" t="s">
        <v>490</v>
      </c>
      <c r="AB418" s="136">
        <v>5</v>
      </c>
      <c r="AC418" s="122" t="s">
        <v>146</v>
      </c>
      <c r="AD418" s="31">
        <v>1.75</v>
      </c>
      <c r="AE418" s="32" t="s">
        <v>147</v>
      </c>
    </row>
    <row r="419" spans="1:31">
      <c r="A419" s="135">
        <v>3</v>
      </c>
      <c r="B419" s="38" t="s">
        <v>479</v>
      </c>
      <c r="C419" s="122">
        <v>21</v>
      </c>
      <c r="D419" s="122">
        <v>924</v>
      </c>
      <c r="E419" s="33">
        <v>804645</v>
      </c>
      <c r="F419" s="55">
        <v>121</v>
      </c>
      <c r="G419" s="34">
        <v>924121</v>
      </c>
      <c r="H419" s="119">
        <v>9.11</v>
      </c>
      <c r="I419" s="101">
        <v>9.11</v>
      </c>
      <c r="J419" s="100"/>
      <c r="K419" s="22" t="s">
        <v>148</v>
      </c>
      <c r="L419" s="125" t="s">
        <v>148</v>
      </c>
      <c r="M419" s="23" t="s">
        <v>488</v>
      </c>
      <c r="N419" s="122" t="s">
        <v>140</v>
      </c>
      <c r="O419" s="122"/>
      <c r="P419" s="11" t="s">
        <v>481</v>
      </c>
      <c r="Q419" s="45">
        <v>40000</v>
      </c>
      <c r="R419" s="21" t="s">
        <v>482</v>
      </c>
      <c r="S419" s="46" t="s">
        <v>497</v>
      </c>
      <c r="T419" s="46" t="s">
        <v>144</v>
      </c>
      <c r="U419" s="47" t="s">
        <v>255</v>
      </c>
      <c r="V419" s="48">
        <v>3</v>
      </c>
      <c r="W419" s="47"/>
      <c r="X419" s="47"/>
      <c r="Y419" s="47"/>
      <c r="Z419" s="47"/>
      <c r="AA419" s="49"/>
      <c r="AB419" s="49"/>
      <c r="AC419" s="122" t="s">
        <v>155</v>
      </c>
      <c r="AD419" s="31">
        <v>1.85</v>
      </c>
      <c r="AE419" s="32" t="s">
        <v>147</v>
      </c>
    </row>
    <row r="420" spans="1:31">
      <c r="A420" s="135">
        <v>3</v>
      </c>
      <c r="B420" s="38" t="s">
        <v>479</v>
      </c>
      <c r="C420" s="122">
        <v>22</v>
      </c>
      <c r="D420" s="122">
        <v>924</v>
      </c>
      <c r="E420" s="33">
        <v>804646</v>
      </c>
      <c r="F420" s="34">
        <v>122</v>
      </c>
      <c r="G420" s="34">
        <v>924122</v>
      </c>
      <c r="H420" s="119">
        <v>6.55</v>
      </c>
      <c r="I420" s="108">
        <v>6.55</v>
      </c>
      <c r="J420" s="100"/>
      <c r="K420" s="125" t="s">
        <v>148</v>
      </c>
      <c r="L420" s="11" t="s">
        <v>148</v>
      </c>
      <c r="M420" s="23" t="s">
        <v>438</v>
      </c>
      <c r="N420" s="122" t="s">
        <v>150</v>
      </c>
      <c r="O420" s="122">
        <v>2</v>
      </c>
      <c r="P420" s="24" t="s">
        <v>498</v>
      </c>
      <c r="Q420" s="25">
        <v>2000</v>
      </c>
      <c r="R420" s="26" t="s">
        <v>142</v>
      </c>
      <c r="S420" s="27" t="s">
        <v>159</v>
      </c>
      <c r="T420" s="27" t="s">
        <v>160</v>
      </c>
      <c r="U420" s="124" t="s">
        <v>150</v>
      </c>
      <c r="V420" s="39">
        <v>2</v>
      </c>
      <c r="W420" s="29">
        <v>0</v>
      </c>
      <c r="X420" s="29" t="s">
        <v>495</v>
      </c>
      <c r="Y420" s="29"/>
      <c r="Z420" s="30">
        <v>6.55</v>
      </c>
      <c r="AA420" s="136" t="s">
        <v>490</v>
      </c>
      <c r="AB420" s="136">
        <v>5</v>
      </c>
      <c r="AC420" s="122" t="s">
        <v>155</v>
      </c>
      <c r="AD420" s="31">
        <v>1.85</v>
      </c>
      <c r="AE420" s="32" t="s">
        <v>147</v>
      </c>
    </row>
    <row r="421" spans="1:31">
      <c r="A421" s="135">
        <v>3</v>
      </c>
      <c r="B421" s="38" t="s">
        <v>479</v>
      </c>
      <c r="C421" s="122">
        <v>23</v>
      </c>
      <c r="D421" s="122">
        <v>924</v>
      </c>
      <c r="E421" s="33">
        <v>804647</v>
      </c>
      <c r="F421" s="34">
        <v>123</v>
      </c>
      <c r="G421" s="34">
        <v>924123</v>
      </c>
      <c r="H421" s="119">
        <v>9.0399999999999991</v>
      </c>
      <c r="I421" s="108">
        <v>9.0399999999999991</v>
      </c>
      <c r="J421" s="100"/>
      <c r="K421" s="125" t="s">
        <v>148</v>
      </c>
      <c r="L421" s="11" t="s">
        <v>148</v>
      </c>
      <c r="M421" s="23" t="s">
        <v>149</v>
      </c>
      <c r="N421" s="122" t="s">
        <v>150</v>
      </c>
      <c r="O421" s="122">
        <v>2</v>
      </c>
      <c r="P421" s="24" t="s">
        <v>498</v>
      </c>
      <c r="Q421" s="25">
        <v>2000</v>
      </c>
      <c r="R421" s="26" t="s">
        <v>142</v>
      </c>
      <c r="S421" s="27" t="s">
        <v>159</v>
      </c>
      <c r="T421" s="27" t="s">
        <v>160</v>
      </c>
      <c r="U421" s="124" t="s">
        <v>150</v>
      </c>
      <c r="V421" s="39">
        <v>2</v>
      </c>
      <c r="W421" s="29">
        <v>0</v>
      </c>
      <c r="X421" s="29" t="s">
        <v>495</v>
      </c>
      <c r="Y421" s="29"/>
      <c r="Z421" s="30">
        <v>9.0399999999999991</v>
      </c>
      <c r="AA421" s="136" t="s">
        <v>499</v>
      </c>
      <c r="AB421" s="136">
        <v>1</v>
      </c>
      <c r="AC421" s="122" t="s">
        <v>146</v>
      </c>
      <c r="AD421" s="31">
        <v>1.65</v>
      </c>
      <c r="AE421" s="32" t="s">
        <v>147</v>
      </c>
    </row>
    <row r="422" spans="1:31">
      <c r="A422" s="135">
        <v>3</v>
      </c>
      <c r="B422" s="38" t="s">
        <v>479</v>
      </c>
      <c r="C422" s="122">
        <v>24</v>
      </c>
      <c r="D422" s="122">
        <v>924</v>
      </c>
      <c r="E422" s="33">
        <v>804648</v>
      </c>
      <c r="F422" s="34">
        <v>124</v>
      </c>
      <c r="G422" s="34">
        <v>924124</v>
      </c>
      <c r="H422" s="119">
        <v>13.4</v>
      </c>
      <c r="I422" s="100"/>
      <c r="J422" s="100">
        <v>13.4</v>
      </c>
      <c r="K422" s="22" t="s">
        <v>137</v>
      </c>
      <c r="L422" s="23" t="s">
        <v>138</v>
      </c>
      <c r="M422" s="23" t="s">
        <v>245</v>
      </c>
      <c r="N422" s="122" t="s">
        <v>140</v>
      </c>
      <c r="O422" s="122">
        <v>4</v>
      </c>
      <c r="P422" s="24" t="s">
        <v>481</v>
      </c>
      <c r="Q422" s="25">
        <v>40000</v>
      </c>
      <c r="R422" s="26" t="s">
        <v>482</v>
      </c>
      <c r="S422" s="27" t="s">
        <v>483</v>
      </c>
      <c r="T422" s="27" t="s">
        <v>144</v>
      </c>
      <c r="U422" s="124" t="s">
        <v>140</v>
      </c>
      <c r="V422" s="39">
        <v>6</v>
      </c>
      <c r="W422" s="29">
        <v>4020</v>
      </c>
      <c r="X422" s="29" t="s">
        <v>495</v>
      </c>
      <c r="Y422" s="29"/>
      <c r="Z422" s="30">
        <v>13.4</v>
      </c>
      <c r="AA422" s="136" t="s">
        <v>485</v>
      </c>
      <c r="AB422" s="136">
        <v>5</v>
      </c>
      <c r="AC422" s="122" t="s">
        <v>146</v>
      </c>
      <c r="AD422" s="31">
        <v>1.75</v>
      </c>
      <c r="AE422" s="32" t="s">
        <v>147</v>
      </c>
    </row>
    <row r="423" spans="1:31">
      <c r="A423" s="135">
        <v>3</v>
      </c>
      <c r="B423" s="38" t="s">
        <v>479</v>
      </c>
      <c r="C423" s="122">
        <v>25</v>
      </c>
      <c r="D423" s="122">
        <v>924</v>
      </c>
      <c r="E423" s="33">
        <v>804649</v>
      </c>
      <c r="F423" s="34">
        <v>125</v>
      </c>
      <c r="G423" s="34">
        <v>924125</v>
      </c>
      <c r="H423" s="119">
        <v>8.01</v>
      </c>
      <c r="I423" s="100"/>
      <c r="J423" s="100">
        <v>8.01</v>
      </c>
      <c r="K423" s="22" t="s">
        <v>137</v>
      </c>
      <c r="L423" s="23" t="s">
        <v>138</v>
      </c>
      <c r="M423" s="23" t="s">
        <v>245</v>
      </c>
      <c r="N423" s="122" t="s">
        <v>140</v>
      </c>
      <c r="O423" s="122">
        <v>4</v>
      </c>
      <c r="P423" s="24" t="s">
        <v>481</v>
      </c>
      <c r="Q423" s="25">
        <v>40000</v>
      </c>
      <c r="R423" s="26" t="s">
        <v>482</v>
      </c>
      <c r="S423" s="27" t="s">
        <v>159</v>
      </c>
      <c r="T423" s="27" t="s">
        <v>160</v>
      </c>
      <c r="U423" s="124" t="s">
        <v>255</v>
      </c>
      <c r="V423" s="39">
        <v>2</v>
      </c>
      <c r="W423" s="29">
        <v>801</v>
      </c>
      <c r="X423" s="29" t="s">
        <v>495</v>
      </c>
      <c r="Y423" s="29"/>
      <c r="Z423" s="30">
        <v>8.01</v>
      </c>
      <c r="AA423" s="136" t="s">
        <v>499</v>
      </c>
      <c r="AB423" s="136">
        <v>1</v>
      </c>
      <c r="AC423" s="122" t="s">
        <v>146</v>
      </c>
      <c r="AD423" s="31">
        <v>1.75</v>
      </c>
      <c r="AE423" s="32" t="s">
        <v>147</v>
      </c>
    </row>
    <row r="424" spans="1:31">
      <c r="A424" s="135">
        <v>3</v>
      </c>
      <c r="B424" s="38" t="s">
        <v>479</v>
      </c>
      <c r="C424" s="122">
        <v>26</v>
      </c>
      <c r="D424" s="122">
        <v>924</v>
      </c>
      <c r="E424" s="33">
        <v>804650</v>
      </c>
      <c r="F424" s="34">
        <v>126</v>
      </c>
      <c r="G424" s="34">
        <v>924126</v>
      </c>
      <c r="H424" s="119">
        <v>14.17</v>
      </c>
      <c r="I424" s="100"/>
      <c r="J424" s="100">
        <v>14.17</v>
      </c>
      <c r="K424" s="22" t="s">
        <v>137</v>
      </c>
      <c r="L424" s="23" t="s">
        <v>138</v>
      </c>
      <c r="M424" s="23" t="s">
        <v>245</v>
      </c>
      <c r="N424" s="122" t="s">
        <v>140</v>
      </c>
      <c r="O424" s="122">
        <v>6</v>
      </c>
      <c r="P424" s="24" t="s">
        <v>481</v>
      </c>
      <c r="Q424" s="25">
        <v>40000</v>
      </c>
      <c r="R424" s="26" t="s">
        <v>482</v>
      </c>
      <c r="S424" s="27" t="s">
        <v>159</v>
      </c>
      <c r="T424" s="27" t="s">
        <v>160</v>
      </c>
      <c r="U424" s="124" t="s">
        <v>255</v>
      </c>
      <c r="V424" s="39">
        <v>2</v>
      </c>
      <c r="W424" s="29">
        <v>1417</v>
      </c>
      <c r="X424" s="29" t="s">
        <v>495</v>
      </c>
      <c r="Y424" s="29"/>
      <c r="Z424" s="30">
        <v>14.17</v>
      </c>
      <c r="AA424" s="136" t="s">
        <v>499</v>
      </c>
      <c r="AB424" s="136">
        <v>1</v>
      </c>
      <c r="AC424" s="122" t="s">
        <v>146</v>
      </c>
      <c r="AD424" s="31">
        <v>1.75</v>
      </c>
      <c r="AE424" s="32" t="s">
        <v>147</v>
      </c>
    </row>
    <row r="425" spans="1:31">
      <c r="A425" s="135">
        <v>3</v>
      </c>
      <c r="B425" s="38" t="s">
        <v>479</v>
      </c>
      <c r="C425" s="122">
        <v>27</v>
      </c>
      <c r="D425" s="122">
        <v>924</v>
      </c>
      <c r="E425" s="33">
        <v>804651</v>
      </c>
      <c r="F425" s="34">
        <v>127</v>
      </c>
      <c r="G425" s="34">
        <v>924127</v>
      </c>
      <c r="H425" s="119">
        <v>18.440000000000001</v>
      </c>
      <c r="I425" s="101"/>
      <c r="J425" s="100">
        <v>18.440000000000001</v>
      </c>
      <c r="K425" s="22" t="s">
        <v>137</v>
      </c>
      <c r="L425" s="23" t="s">
        <v>138</v>
      </c>
      <c r="M425" s="23" t="s">
        <v>245</v>
      </c>
      <c r="N425" s="122" t="s">
        <v>140</v>
      </c>
      <c r="O425" s="122">
        <v>6</v>
      </c>
      <c r="P425" s="24" t="s">
        <v>481</v>
      </c>
      <c r="Q425" s="25">
        <v>40000</v>
      </c>
      <c r="R425" s="26" t="s">
        <v>482</v>
      </c>
      <c r="S425" s="27" t="s">
        <v>159</v>
      </c>
      <c r="T425" s="27" t="s">
        <v>160</v>
      </c>
      <c r="U425" s="124" t="s">
        <v>255</v>
      </c>
      <c r="V425" s="39">
        <v>2</v>
      </c>
      <c r="W425" s="29">
        <v>1844.0000000000002</v>
      </c>
      <c r="X425" s="29" t="s">
        <v>495</v>
      </c>
      <c r="Y425" s="29"/>
      <c r="Z425" s="30">
        <v>18.440000000000001</v>
      </c>
      <c r="AA425" s="136" t="s">
        <v>499</v>
      </c>
      <c r="AB425" s="136">
        <v>1</v>
      </c>
      <c r="AC425" s="122" t="s">
        <v>146</v>
      </c>
      <c r="AD425" s="31">
        <v>1.75</v>
      </c>
      <c r="AE425" s="32" t="s">
        <v>147</v>
      </c>
    </row>
    <row r="426" spans="1:31">
      <c r="A426" s="135">
        <v>3</v>
      </c>
      <c r="B426" s="38" t="s">
        <v>479</v>
      </c>
      <c r="C426" s="122">
        <v>28</v>
      </c>
      <c r="D426" s="122">
        <v>924</v>
      </c>
      <c r="E426" s="33">
        <v>804633</v>
      </c>
      <c r="F426" s="55">
        <v>128</v>
      </c>
      <c r="G426" s="34">
        <v>924128</v>
      </c>
      <c r="H426" s="119">
        <v>10.85</v>
      </c>
      <c r="I426" s="101"/>
      <c r="J426" s="100">
        <v>10.85</v>
      </c>
      <c r="K426" s="22" t="s">
        <v>137</v>
      </c>
      <c r="L426" s="23" t="s">
        <v>138</v>
      </c>
      <c r="M426" s="23" t="s">
        <v>149</v>
      </c>
      <c r="N426" s="122" t="s">
        <v>140</v>
      </c>
      <c r="O426" s="122">
        <v>4</v>
      </c>
      <c r="P426" s="24" t="s">
        <v>500</v>
      </c>
      <c r="Q426" s="25"/>
      <c r="R426" s="26"/>
      <c r="S426" s="27" t="s">
        <v>159</v>
      </c>
      <c r="T426" s="27" t="s">
        <v>160</v>
      </c>
      <c r="U426" s="124" t="s">
        <v>255</v>
      </c>
      <c r="V426" s="39">
        <v>2</v>
      </c>
      <c r="W426" s="29">
        <v>1085</v>
      </c>
      <c r="X426" s="29" t="s">
        <v>495</v>
      </c>
      <c r="Y426" s="29"/>
      <c r="Z426" s="30">
        <v>10.85</v>
      </c>
      <c r="AA426" s="136" t="s">
        <v>499</v>
      </c>
      <c r="AB426" s="136">
        <v>1</v>
      </c>
      <c r="AC426" s="122" t="s">
        <v>146</v>
      </c>
      <c r="AD426" s="31">
        <v>1.75</v>
      </c>
      <c r="AE426" s="32" t="s">
        <v>147</v>
      </c>
    </row>
    <row r="427" spans="1:31">
      <c r="A427" s="135">
        <v>3</v>
      </c>
      <c r="B427" s="38" t="s">
        <v>479</v>
      </c>
      <c r="C427" s="122">
        <v>29</v>
      </c>
      <c r="D427" s="122">
        <v>924</v>
      </c>
      <c r="E427" s="33">
        <v>804635</v>
      </c>
      <c r="F427" s="55">
        <v>129</v>
      </c>
      <c r="G427" s="34">
        <v>924129</v>
      </c>
      <c r="H427" s="119">
        <v>8.51</v>
      </c>
      <c r="I427" s="101"/>
      <c r="J427" s="100">
        <v>8.51</v>
      </c>
      <c r="K427" s="22" t="s">
        <v>137</v>
      </c>
      <c r="L427" s="23" t="s">
        <v>138</v>
      </c>
      <c r="M427" s="23" t="s">
        <v>149</v>
      </c>
      <c r="N427" s="122" t="s">
        <v>140</v>
      </c>
      <c r="O427" s="122">
        <v>4</v>
      </c>
      <c r="P427" s="24" t="s">
        <v>500</v>
      </c>
      <c r="Q427" s="25"/>
      <c r="R427" s="26"/>
      <c r="S427" s="27" t="s">
        <v>159</v>
      </c>
      <c r="T427" s="27" t="s">
        <v>160</v>
      </c>
      <c r="U427" s="124" t="s">
        <v>255</v>
      </c>
      <c r="V427" s="39">
        <v>2</v>
      </c>
      <c r="W427" s="29">
        <v>851</v>
      </c>
      <c r="X427" s="29" t="s">
        <v>495</v>
      </c>
      <c r="Y427" s="29"/>
      <c r="Z427" s="30">
        <v>8.51</v>
      </c>
      <c r="AA427" s="136" t="s">
        <v>499</v>
      </c>
      <c r="AB427" s="136">
        <v>1</v>
      </c>
      <c r="AC427" s="122" t="s">
        <v>146</v>
      </c>
      <c r="AD427" s="31">
        <v>1.75</v>
      </c>
      <c r="AE427" s="32" t="s">
        <v>147</v>
      </c>
    </row>
    <row r="428" spans="1:31">
      <c r="A428" s="135">
        <v>3</v>
      </c>
      <c r="B428" s="38" t="s">
        <v>479</v>
      </c>
      <c r="C428" s="122">
        <v>30</v>
      </c>
      <c r="D428" s="122">
        <v>924</v>
      </c>
      <c r="E428" s="33">
        <v>804636</v>
      </c>
      <c r="F428" s="34">
        <v>130</v>
      </c>
      <c r="G428" s="34">
        <v>924130</v>
      </c>
      <c r="H428" s="119">
        <v>17.399999999999999</v>
      </c>
      <c r="I428" s="105">
        <v>17.399999999999999</v>
      </c>
      <c r="J428" s="100"/>
      <c r="K428" s="125" t="s">
        <v>148</v>
      </c>
      <c r="L428" s="11" t="s">
        <v>148</v>
      </c>
      <c r="M428" s="23" t="s">
        <v>149</v>
      </c>
      <c r="N428" s="122" t="s">
        <v>140</v>
      </c>
      <c r="O428" s="122">
        <v>4</v>
      </c>
      <c r="P428" s="24" t="s">
        <v>500</v>
      </c>
      <c r="Q428" s="25"/>
      <c r="R428" s="26"/>
      <c r="S428" s="27" t="s">
        <v>159</v>
      </c>
      <c r="T428" s="27" t="s">
        <v>160</v>
      </c>
      <c r="U428" s="124" t="s">
        <v>255</v>
      </c>
      <c r="V428" s="39">
        <v>2</v>
      </c>
      <c r="W428" s="29">
        <v>0</v>
      </c>
      <c r="X428" s="29" t="s">
        <v>495</v>
      </c>
      <c r="Y428" s="29"/>
      <c r="Z428" s="30">
        <v>17.399999999999999</v>
      </c>
      <c r="AA428" s="136" t="s">
        <v>499</v>
      </c>
      <c r="AB428" s="136">
        <v>1</v>
      </c>
      <c r="AC428" s="122" t="s">
        <v>146</v>
      </c>
      <c r="AD428" s="31">
        <v>1.75</v>
      </c>
      <c r="AE428" s="32" t="s">
        <v>147</v>
      </c>
    </row>
    <row r="429" spans="1:31">
      <c r="A429" s="135">
        <v>3</v>
      </c>
      <c r="B429" s="38" t="s">
        <v>479</v>
      </c>
      <c r="C429" s="122">
        <v>31</v>
      </c>
      <c r="D429" s="122">
        <v>924</v>
      </c>
      <c r="E429" s="33">
        <v>804637</v>
      </c>
      <c r="F429" s="34">
        <v>131</v>
      </c>
      <c r="G429" s="34">
        <v>924131</v>
      </c>
      <c r="H429" s="119">
        <v>11.54</v>
      </c>
      <c r="I429" s="105">
        <v>11.54</v>
      </c>
      <c r="J429" s="100"/>
      <c r="K429" s="125" t="s">
        <v>148</v>
      </c>
      <c r="L429" s="11" t="s">
        <v>148</v>
      </c>
      <c r="M429" s="23" t="s">
        <v>149</v>
      </c>
      <c r="N429" s="122" t="s">
        <v>140</v>
      </c>
      <c r="O429" s="122">
        <v>4</v>
      </c>
      <c r="P429" s="24" t="s">
        <v>500</v>
      </c>
      <c r="Q429" s="25"/>
      <c r="R429" s="26"/>
      <c r="S429" s="27" t="s">
        <v>159</v>
      </c>
      <c r="T429" s="27" t="s">
        <v>160</v>
      </c>
      <c r="U429" s="124" t="s">
        <v>255</v>
      </c>
      <c r="V429" s="39">
        <v>2</v>
      </c>
      <c r="W429" s="29">
        <v>0</v>
      </c>
      <c r="X429" s="29" t="s">
        <v>495</v>
      </c>
      <c r="Y429" s="29"/>
      <c r="Z429" s="30">
        <v>11.54</v>
      </c>
      <c r="AA429" s="136" t="s">
        <v>499</v>
      </c>
      <c r="AB429" s="136">
        <v>1</v>
      </c>
      <c r="AC429" s="122" t="s">
        <v>146</v>
      </c>
      <c r="AD429" s="31">
        <v>1.75</v>
      </c>
      <c r="AE429" s="32" t="s">
        <v>147</v>
      </c>
    </row>
    <row r="430" spans="1:31">
      <c r="A430" s="135">
        <v>3</v>
      </c>
      <c r="B430" s="38" t="s">
        <v>479</v>
      </c>
      <c r="C430" s="122">
        <v>32</v>
      </c>
      <c r="D430" s="122">
        <v>924</v>
      </c>
      <c r="E430" s="33">
        <v>804631</v>
      </c>
      <c r="F430" s="34">
        <v>132</v>
      </c>
      <c r="G430" s="34">
        <v>924132</v>
      </c>
      <c r="H430" s="119">
        <v>13.88</v>
      </c>
      <c r="I430" s="100"/>
      <c r="J430" s="100">
        <v>13.88</v>
      </c>
      <c r="K430" s="22" t="s">
        <v>170</v>
      </c>
      <c r="L430" s="11" t="s">
        <v>86</v>
      </c>
      <c r="M430" s="23" t="s">
        <v>149</v>
      </c>
      <c r="N430" s="122" t="s">
        <v>140</v>
      </c>
      <c r="O430" s="122">
        <v>4</v>
      </c>
      <c r="P430" s="24" t="s">
        <v>481</v>
      </c>
      <c r="Q430" s="25">
        <v>40000</v>
      </c>
      <c r="R430" s="26" t="s">
        <v>482</v>
      </c>
      <c r="S430" s="27" t="s">
        <v>483</v>
      </c>
      <c r="T430" s="27" t="s">
        <v>160</v>
      </c>
      <c r="U430" s="124" t="s">
        <v>255</v>
      </c>
      <c r="V430" s="39">
        <v>3</v>
      </c>
      <c r="W430" s="29">
        <v>2082</v>
      </c>
      <c r="X430" s="29" t="s">
        <v>495</v>
      </c>
      <c r="Y430" s="29"/>
      <c r="Z430" s="30">
        <v>13.88</v>
      </c>
      <c r="AA430" s="136" t="s">
        <v>490</v>
      </c>
      <c r="AB430" s="136">
        <v>5</v>
      </c>
      <c r="AC430" s="122" t="s">
        <v>155</v>
      </c>
      <c r="AD430" s="31">
        <v>1.85</v>
      </c>
      <c r="AE430" s="32" t="s">
        <v>147</v>
      </c>
    </row>
    <row r="431" spans="1:31">
      <c r="A431" s="135">
        <v>3</v>
      </c>
      <c r="B431" s="38" t="s">
        <v>479</v>
      </c>
      <c r="C431" s="122">
        <v>33</v>
      </c>
      <c r="D431" s="122">
        <v>924</v>
      </c>
      <c r="E431" s="33">
        <v>804632</v>
      </c>
      <c r="F431" s="34">
        <v>133</v>
      </c>
      <c r="G431" s="34">
        <v>924133</v>
      </c>
      <c r="H431" s="119">
        <v>7.67</v>
      </c>
      <c r="I431" s="100"/>
      <c r="J431" s="100">
        <v>7.67</v>
      </c>
      <c r="K431" s="22" t="s">
        <v>170</v>
      </c>
      <c r="L431" s="11" t="s">
        <v>86</v>
      </c>
      <c r="M431" s="23" t="s">
        <v>149</v>
      </c>
      <c r="N431" s="122" t="s">
        <v>140</v>
      </c>
      <c r="O431" s="122">
        <v>4</v>
      </c>
      <c r="P431" s="24" t="s">
        <v>481</v>
      </c>
      <c r="Q431" s="25">
        <v>40000</v>
      </c>
      <c r="R431" s="26" t="s">
        <v>482</v>
      </c>
      <c r="S431" s="27" t="s">
        <v>483</v>
      </c>
      <c r="T431" s="27" t="s">
        <v>160</v>
      </c>
      <c r="U431" s="124" t="s">
        <v>255</v>
      </c>
      <c r="V431" s="39">
        <v>3</v>
      </c>
      <c r="W431" s="29">
        <v>1150.5</v>
      </c>
      <c r="X431" s="29" t="s">
        <v>495</v>
      </c>
      <c r="Y431" s="29"/>
      <c r="Z431" s="30">
        <v>7.67</v>
      </c>
      <c r="AA431" s="136" t="s">
        <v>490</v>
      </c>
      <c r="AB431" s="136">
        <v>5</v>
      </c>
      <c r="AC431" s="21" t="s">
        <v>155</v>
      </c>
      <c r="AD431" s="31">
        <v>1.85</v>
      </c>
      <c r="AE431" s="32" t="s">
        <v>147</v>
      </c>
    </row>
    <row r="432" spans="1:31">
      <c r="A432" s="135">
        <v>3</v>
      </c>
      <c r="B432" s="38" t="s">
        <v>479</v>
      </c>
      <c r="C432" s="122">
        <v>34</v>
      </c>
      <c r="D432" s="122">
        <v>924</v>
      </c>
      <c r="E432" s="33">
        <v>804630</v>
      </c>
      <c r="F432" s="34">
        <v>134</v>
      </c>
      <c r="G432" s="34">
        <v>924134</v>
      </c>
      <c r="H432" s="119">
        <v>13.66</v>
      </c>
      <c r="I432" s="100"/>
      <c r="J432" s="100">
        <v>13.66</v>
      </c>
      <c r="K432" s="22" t="s">
        <v>170</v>
      </c>
      <c r="L432" s="11" t="s">
        <v>86</v>
      </c>
      <c r="M432" s="23" t="s">
        <v>149</v>
      </c>
      <c r="N432" s="122" t="s">
        <v>140</v>
      </c>
      <c r="O432" s="122">
        <v>4</v>
      </c>
      <c r="P432" s="24" t="s">
        <v>481</v>
      </c>
      <c r="Q432" s="25">
        <v>40000</v>
      </c>
      <c r="R432" s="26" t="s">
        <v>482</v>
      </c>
      <c r="S432" s="27" t="s">
        <v>483</v>
      </c>
      <c r="T432" s="27" t="s">
        <v>160</v>
      </c>
      <c r="U432" s="124" t="s">
        <v>255</v>
      </c>
      <c r="V432" s="39">
        <v>3</v>
      </c>
      <c r="W432" s="29">
        <v>2049</v>
      </c>
      <c r="X432" s="29" t="s">
        <v>495</v>
      </c>
      <c r="Y432" s="29"/>
      <c r="Z432" s="30">
        <v>13.66</v>
      </c>
      <c r="AA432" s="136" t="s">
        <v>490</v>
      </c>
      <c r="AB432" s="136">
        <v>5</v>
      </c>
      <c r="AC432" s="21" t="s">
        <v>155</v>
      </c>
      <c r="AD432" s="31">
        <v>1.85</v>
      </c>
      <c r="AE432" s="32" t="s">
        <v>147</v>
      </c>
    </row>
    <row r="433" spans="1:31">
      <c r="A433" s="135">
        <v>3</v>
      </c>
      <c r="B433" s="38" t="s">
        <v>479</v>
      </c>
      <c r="C433" s="122">
        <v>35</v>
      </c>
      <c r="D433" s="122">
        <v>924</v>
      </c>
      <c r="E433" s="33">
        <v>804628</v>
      </c>
      <c r="F433" s="34">
        <v>135</v>
      </c>
      <c r="G433" s="34">
        <v>924135</v>
      </c>
      <c r="H433" s="119">
        <v>17.05</v>
      </c>
      <c r="I433" s="100">
        <v>17.05</v>
      </c>
      <c r="J433" s="100"/>
      <c r="K433" s="22" t="s">
        <v>148</v>
      </c>
      <c r="L433" s="22" t="s">
        <v>148</v>
      </c>
      <c r="M433" s="23"/>
      <c r="N433" s="122" t="s">
        <v>140</v>
      </c>
      <c r="O433" s="122"/>
      <c r="P433" s="11" t="s">
        <v>501</v>
      </c>
      <c r="Q433" s="45">
        <v>4800</v>
      </c>
      <c r="R433" s="21" t="s">
        <v>502</v>
      </c>
      <c r="S433" s="46" t="s">
        <v>159</v>
      </c>
      <c r="T433" s="46" t="s">
        <v>219</v>
      </c>
      <c r="U433" s="47" t="s">
        <v>255</v>
      </c>
      <c r="V433" s="48">
        <v>3</v>
      </c>
      <c r="W433" s="47"/>
      <c r="X433" s="47"/>
      <c r="Y433" s="47"/>
      <c r="Z433" s="47"/>
      <c r="AA433" s="49"/>
      <c r="AB433" s="49"/>
      <c r="AC433" s="21" t="s">
        <v>155</v>
      </c>
      <c r="AD433" s="31">
        <v>1.85</v>
      </c>
      <c r="AE433" s="32" t="s">
        <v>147</v>
      </c>
    </row>
    <row r="434" spans="1:31">
      <c r="A434" s="135">
        <v>3</v>
      </c>
      <c r="B434" s="38" t="s">
        <v>479</v>
      </c>
      <c r="C434" s="122">
        <v>36</v>
      </c>
      <c r="D434" s="122">
        <v>924</v>
      </c>
      <c r="E434" s="33" t="s">
        <v>193</v>
      </c>
      <c r="F434" s="34">
        <v>136</v>
      </c>
      <c r="G434" s="34">
        <v>924136</v>
      </c>
      <c r="H434" s="119">
        <v>15.817500000000001</v>
      </c>
      <c r="I434" s="100">
        <v>15.817500000000001</v>
      </c>
      <c r="J434" s="100"/>
      <c r="K434" s="22" t="s">
        <v>148</v>
      </c>
      <c r="L434" s="22" t="s">
        <v>148</v>
      </c>
      <c r="M434" s="23"/>
      <c r="N434" s="122" t="s">
        <v>150</v>
      </c>
      <c r="O434" s="122"/>
      <c r="P434" s="11"/>
      <c r="Q434" s="11"/>
      <c r="R434" s="21"/>
      <c r="S434" s="46"/>
      <c r="T434" s="46"/>
      <c r="U434" s="47" t="s">
        <v>150</v>
      </c>
      <c r="V434" s="48">
        <v>3</v>
      </c>
      <c r="W434" s="47"/>
      <c r="X434" s="47"/>
      <c r="Y434" s="47"/>
      <c r="Z434" s="47"/>
      <c r="AA434" s="49"/>
      <c r="AB434" s="49"/>
      <c r="AC434" s="21"/>
      <c r="AD434" s="31"/>
      <c r="AE434" s="32" t="s">
        <v>147</v>
      </c>
    </row>
    <row r="435" spans="1:31">
      <c r="A435" s="135">
        <v>3</v>
      </c>
      <c r="B435" s="38" t="s">
        <v>479</v>
      </c>
      <c r="C435" s="122">
        <v>37</v>
      </c>
      <c r="D435" s="122">
        <v>924</v>
      </c>
      <c r="E435" s="33" t="s">
        <v>193</v>
      </c>
      <c r="F435" s="34">
        <v>137</v>
      </c>
      <c r="G435" s="34">
        <v>924137</v>
      </c>
      <c r="H435" s="119">
        <v>5.0599999999999996</v>
      </c>
      <c r="I435" s="100">
        <v>5.0599999999999996</v>
      </c>
      <c r="J435" s="100"/>
      <c r="K435" s="22" t="s">
        <v>148</v>
      </c>
      <c r="L435" s="22" t="s">
        <v>148</v>
      </c>
      <c r="M435" s="23"/>
      <c r="N435" s="122" t="s">
        <v>150</v>
      </c>
      <c r="O435" s="122"/>
      <c r="P435" s="11"/>
      <c r="Q435" s="11"/>
      <c r="R435" s="21"/>
      <c r="S435" s="46"/>
      <c r="T435" s="46"/>
      <c r="U435" s="47" t="s">
        <v>150</v>
      </c>
      <c r="V435" s="48">
        <v>3</v>
      </c>
      <c r="W435" s="47"/>
      <c r="X435" s="47"/>
      <c r="Y435" s="47"/>
      <c r="Z435" s="47"/>
      <c r="AA435" s="49"/>
      <c r="AB435" s="49"/>
      <c r="AC435" s="21"/>
      <c r="AD435" s="31"/>
      <c r="AE435" s="32" t="s">
        <v>147</v>
      </c>
    </row>
    <row r="436" spans="1:31">
      <c r="A436" s="135">
        <v>3</v>
      </c>
      <c r="B436" s="38" t="s">
        <v>479</v>
      </c>
      <c r="C436" s="122">
        <v>38</v>
      </c>
      <c r="D436" s="122">
        <v>924</v>
      </c>
      <c r="E436" s="33" t="s">
        <v>193</v>
      </c>
      <c r="F436" s="34">
        <v>138</v>
      </c>
      <c r="G436" s="34">
        <v>924138</v>
      </c>
      <c r="H436" s="119">
        <v>8.2562499999999996</v>
      </c>
      <c r="I436" s="100">
        <v>8.2562499999999996</v>
      </c>
      <c r="J436" s="100"/>
      <c r="K436" s="22" t="s">
        <v>148</v>
      </c>
      <c r="L436" s="125" t="s">
        <v>148</v>
      </c>
      <c r="M436" s="23"/>
      <c r="N436" s="122" t="s">
        <v>150</v>
      </c>
      <c r="O436" s="122"/>
      <c r="P436" s="11"/>
      <c r="Q436" s="11"/>
      <c r="R436" s="21"/>
      <c r="S436" s="46"/>
      <c r="T436" s="46"/>
      <c r="U436" s="47" t="s">
        <v>150</v>
      </c>
      <c r="V436" s="48">
        <v>3</v>
      </c>
      <c r="W436" s="47"/>
      <c r="X436" s="47"/>
      <c r="Y436" s="47"/>
      <c r="Z436" s="47"/>
      <c r="AA436" s="49"/>
      <c r="AB436" s="49"/>
      <c r="AC436" s="122"/>
      <c r="AD436" s="31"/>
      <c r="AE436" s="32" t="s">
        <v>147</v>
      </c>
    </row>
    <row r="437" spans="1:31">
      <c r="A437" s="135">
        <v>3</v>
      </c>
      <c r="B437" s="38" t="s">
        <v>479</v>
      </c>
      <c r="C437" s="122">
        <v>39</v>
      </c>
      <c r="D437" s="122">
        <v>924</v>
      </c>
      <c r="E437" s="33" t="s">
        <v>193</v>
      </c>
      <c r="F437" s="34">
        <v>139</v>
      </c>
      <c r="G437" s="34">
        <v>924139</v>
      </c>
      <c r="H437" s="119">
        <v>4.3152499999999998</v>
      </c>
      <c r="I437" s="100">
        <v>4.3152499999999998</v>
      </c>
      <c r="J437" s="100"/>
      <c r="K437" s="22" t="s">
        <v>148</v>
      </c>
      <c r="L437" s="22" t="s">
        <v>148</v>
      </c>
      <c r="M437" s="23"/>
      <c r="N437" s="122" t="s">
        <v>150</v>
      </c>
      <c r="O437" s="122"/>
      <c r="P437" s="11"/>
      <c r="Q437" s="11"/>
      <c r="R437" s="21"/>
      <c r="S437" s="46"/>
      <c r="T437" s="46"/>
      <c r="U437" s="47" t="s">
        <v>150</v>
      </c>
      <c r="V437" s="48">
        <v>3</v>
      </c>
      <c r="W437" s="47"/>
      <c r="X437" s="47"/>
      <c r="Y437" s="47"/>
      <c r="Z437" s="47"/>
      <c r="AA437" s="49"/>
      <c r="AB437" s="49"/>
      <c r="AC437" s="21"/>
      <c r="AD437" s="31"/>
      <c r="AE437" s="32" t="s">
        <v>147</v>
      </c>
    </row>
    <row r="438" spans="1:31">
      <c r="A438" s="135">
        <v>3</v>
      </c>
      <c r="B438" s="38" t="s">
        <v>479</v>
      </c>
      <c r="C438" s="122">
        <v>40</v>
      </c>
      <c r="D438" s="122">
        <v>924</v>
      </c>
      <c r="E438" s="33" t="s">
        <v>193</v>
      </c>
      <c r="F438" s="34">
        <v>140</v>
      </c>
      <c r="G438" s="34">
        <v>924140</v>
      </c>
      <c r="H438" s="119">
        <v>5.1829999999999998</v>
      </c>
      <c r="I438" s="100">
        <v>5.1829999999999998</v>
      </c>
      <c r="J438" s="100"/>
      <c r="K438" s="22" t="s">
        <v>148</v>
      </c>
      <c r="L438" s="22" t="s">
        <v>148</v>
      </c>
      <c r="M438" s="23"/>
      <c r="N438" s="122" t="s">
        <v>150</v>
      </c>
      <c r="O438" s="122"/>
      <c r="P438" s="11"/>
      <c r="Q438" s="11"/>
      <c r="R438" s="21"/>
      <c r="S438" s="46"/>
      <c r="T438" s="46"/>
      <c r="U438" s="47" t="s">
        <v>150</v>
      </c>
      <c r="V438" s="48">
        <v>3</v>
      </c>
      <c r="W438" s="47"/>
      <c r="X438" s="47"/>
      <c r="Y438" s="47"/>
      <c r="Z438" s="47"/>
      <c r="AA438" s="49"/>
      <c r="AB438" s="49"/>
      <c r="AC438" s="122"/>
      <c r="AD438" s="32"/>
      <c r="AE438" s="32" t="s">
        <v>147</v>
      </c>
    </row>
    <row r="439" spans="1:31">
      <c r="A439" s="135">
        <v>3</v>
      </c>
      <c r="B439" s="38" t="s">
        <v>98</v>
      </c>
      <c r="C439" s="122">
        <v>1</v>
      </c>
      <c r="D439" s="122">
        <v>921</v>
      </c>
      <c r="E439" s="33">
        <v>801330</v>
      </c>
      <c r="F439" s="34">
        <v>101</v>
      </c>
      <c r="G439" s="34">
        <v>921101</v>
      </c>
      <c r="H439" s="119">
        <v>4.3499999999999996</v>
      </c>
      <c r="I439" s="100"/>
      <c r="J439" s="100">
        <v>4.3499999999999996</v>
      </c>
      <c r="K439" s="22" t="s">
        <v>161</v>
      </c>
      <c r="L439" s="11" t="s">
        <v>138</v>
      </c>
      <c r="M439" s="23" t="s">
        <v>504</v>
      </c>
      <c r="N439" s="122" t="s">
        <v>140</v>
      </c>
      <c r="O439" s="122">
        <v>8</v>
      </c>
      <c r="P439" s="24" t="s">
        <v>505</v>
      </c>
      <c r="Q439" s="25">
        <v>104000</v>
      </c>
      <c r="R439" s="26" t="s">
        <v>482</v>
      </c>
      <c r="S439" s="27" t="s">
        <v>206</v>
      </c>
      <c r="T439" s="27" t="s">
        <v>144</v>
      </c>
      <c r="U439" s="124" t="s">
        <v>140</v>
      </c>
      <c r="V439" s="39">
        <v>6</v>
      </c>
      <c r="W439" s="29">
        <v>1305</v>
      </c>
      <c r="X439" s="29" t="s">
        <v>506</v>
      </c>
      <c r="Y439" s="29"/>
      <c r="Z439" s="30">
        <v>4.3499999999999996</v>
      </c>
      <c r="AA439" s="136" t="s">
        <v>507</v>
      </c>
      <c r="AB439" s="136">
        <v>7</v>
      </c>
      <c r="AC439" s="122" t="s">
        <v>155</v>
      </c>
      <c r="AD439" s="31">
        <v>1.85</v>
      </c>
      <c r="AE439" s="32" t="s">
        <v>147</v>
      </c>
    </row>
    <row r="440" spans="1:31">
      <c r="A440" s="135">
        <v>3</v>
      </c>
      <c r="B440" s="38" t="s">
        <v>98</v>
      </c>
      <c r="C440" s="122">
        <v>2</v>
      </c>
      <c r="D440" s="122">
        <v>921</v>
      </c>
      <c r="E440" s="33">
        <v>801328</v>
      </c>
      <c r="F440" s="34">
        <v>102</v>
      </c>
      <c r="G440" s="34">
        <v>921102</v>
      </c>
      <c r="H440" s="119">
        <v>45.84</v>
      </c>
      <c r="I440" s="101"/>
      <c r="J440" s="101">
        <v>45.84</v>
      </c>
      <c r="K440" s="125" t="s">
        <v>170</v>
      </c>
      <c r="L440" s="11" t="s">
        <v>86</v>
      </c>
      <c r="M440" s="23" t="s">
        <v>328</v>
      </c>
      <c r="N440" s="122" t="s">
        <v>140</v>
      </c>
      <c r="O440" s="122">
        <v>8</v>
      </c>
      <c r="P440" s="24" t="s">
        <v>505</v>
      </c>
      <c r="Q440" s="25">
        <v>104000</v>
      </c>
      <c r="R440" s="26" t="s">
        <v>482</v>
      </c>
      <c r="S440" s="27" t="s">
        <v>206</v>
      </c>
      <c r="T440" s="27" t="s">
        <v>144</v>
      </c>
      <c r="U440" s="124" t="s">
        <v>140</v>
      </c>
      <c r="V440" s="39">
        <v>6</v>
      </c>
      <c r="W440" s="29">
        <v>13752.000000000002</v>
      </c>
      <c r="X440" s="29" t="s">
        <v>506</v>
      </c>
      <c r="Y440" s="29"/>
      <c r="Z440" s="30">
        <v>45.84</v>
      </c>
      <c r="AA440" s="136" t="s">
        <v>507</v>
      </c>
      <c r="AB440" s="136">
        <v>7</v>
      </c>
      <c r="AC440" s="122" t="s">
        <v>155</v>
      </c>
      <c r="AD440" s="31">
        <v>1.85</v>
      </c>
      <c r="AE440" s="32" t="s">
        <v>147</v>
      </c>
    </row>
    <row r="441" spans="1:31">
      <c r="A441" s="135">
        <v>3</v>
      </c>
      <c r="B441" s="38" t="s">
        <v>98</v>
      </c>
      <c r="C441" s="122">
        <v>3</v>
      </c>
      <c r="D441" s="122">
        <v>921</v>
      </c>
      <c r="E441" s="33">
        <v>801334</v>
      </c>
      <c r="F441" s="34">
        <v>103</v>
      </c>
      <c r="G441" s="34">
        <v>921103</v>
      </c>
      <c r="H441" s="119">
        <v>40.049999999999997</v>
      </c>
      <c r="I441" s="101"/>
      <c r="J441" s="100">
        <v>40.049999999999997</v>
      </c>
      <c r="K441" s="22" t="s">
        <v>161</v>
      </c>
      <c r="L441" s="23" t="s">
        <v>138</v>
      </c>
      <c r="M441" s="23" t="s">
        <v>149</v>
      </c>
      <c r="N441" s="122" t="s">
        <v>140</v>
      </c>
      <c r="O441" s="122">
        <v>30</v>
      </c>
      <c r="P441" s="24" t="s">
        <v>505</v>
      </c>
      <c r="Q441" s="25">
        <v>104000</v>
      </c>
      <c r="R441" s="26" t="s">
        <v>482</v>
      </c>
      <c r="S441" s="27" t="s">
        <v>206</v>
      </c>
      <c r="T441" s="27" t="s">
        <v>508</v>
      </c>
      <c r="U441" s="124" t="s">
        <v>140</v>
      </c>
      <c r="V441" s="39">
        <v>30</v>
      </c>
      <c r="W441" s="29">
        <v>60074.999999999993</v>
      </c>
      <c r="X441" s="29" t="s">
        <v>506</v>
      </c>
      <c r="Y441" s="29"/>
      <c r="Z441" s="30">
        <v>40.049999999999997</v>
      </c>
      <c r="AA441" s="136" t="s">
        <v>507</v>
      </c>
      <c r="AB441" s="136">
        <v>7</v>
      </c>
      <c r="AC441" s="122" t="s">
        <v>155</v>
      </c>
      <c r="AD441" s="31">
        <v>1.85</v>
      </c>
      <c r="AE441" s="32" t="s">
        <v>147</v>
      </c>
    </row>
    <row r="442" spans="1:31">
      <c r="A442" s="135">
        <v>3</v>
      </c>
      <c r="B442" s="38" t="s">
        <v>98</v>
      </c>
      <c r="C442" s="122">
        <v>4</v>
      </c>
      <c r="D442" s="122">
        <v>921</v>
      </c>
      <c r="E442" s="33">
        <v>801353</v>
      </c>
      <c r="F442" s="34">
        <v>104</v>
      </c>
      <c r="G442" s="34">
        <v>921104</v>
      </c>
      <c r="H442" s="119">
        <v>24.81</v>
      </c>
      <c r="I442" s="100"/>
      <c r="J442" s="100">
        <v>24.81</v>
      </c>
      <c r="K442" s="22" t="s">
        <v>161</v>
      </c>
      <c r="L442" s="11" t="s">
        <v>138</v>
      </c>
      <c r="M442" s="23" t="s">
        <v>149</v>
      </c>
      <c r="N442" s="122" t="s">
        <v>140</v>
      </c>
      <c r="O442" s="122">
        <v>30</v>
      </c>
      <c r="P442" s="24" t="s">
        <v>505</v>
      </c>
      <c r="Q442" s="25">
        <v>104000</v>
      </c>
      <c r="R442" s="26" t="s">
        <v>482</v>
      </c>
      <c r="S442" s="27" t="s">
        <v>206</v>
      </c>
      <c r="T442" s="27" t="s">
        <v>508</v>
      </c>
      <c r="U442" s="124" t="s">
        <v>140</v>
      </c>
      <c r="V442" s="39">
        <v>30</v>
      </c>
      <c r="W442" s="29">
        <v>37215</v>
      </c>
      <c r="X442" s="29" t="s">
        <v>506</v>
      </c>
      <c r="Y442" s="29"/>
      <c r="Z442" s="30">
        <v>24.81</v>
      </c>
      <c r="AA442" s="136" t="s">
        <v>507</v>
      </c>
      <c r="AB442" s="136">
        <v>7</v>
      </c>
      <c r="AC442" s="21" t="s">
        <v>155</v>
      </c>
      <c r="AD442" s="31">
        <v>1.85</v>
      </c>
      <c r="AE442" s="32" t="s">
        <v>147</v>
      </c>
    </row>
    <row r="443" spans="1:31">
      <c r="A443" s="135">
        <v>3</v>
      </c>
      <c r="B443" s="38" t="s">
        <v>98</v>
      </c>
      <c r="C443" s="122">
        <v>5</v>
      </c>
      <c r="D443" s="122">
        <v>921</v>
      </c>
      <c r="E443" s="33">
        <v>801336</v>
      </c>
      <c r="F443" s="34">
        <v>105</v>
      </c>
      <c r="G443" s="34">
        <v>921105</v>
      </c>
      <c r="H443" s="119">
        <v>9.9700000000000006</v>
      </c>
      <c r="I443" s="105">
        <v>9.9700000000000006</v>
      </c>
      <c r="J443" s="100"/>
      <c r="K443" s="22" t="s">
        <v>148</v>
      </c>
      <c r="L443" s="23" t="s">
        <v>148</v>
      </c>
      <c r="M443" s="23" t="s">
        <v>139</v>
      </c>
      <c r="N443" s="122" t="s">
        <v>140</v>
      </c>
      <c r="O443" s="122">
        <v>6</v>
      </c>
      <c r="P443" s="24" t="s">
        <v>509</v>
      </c>
      <c r="Q443" s="25">
        <v>15400</v>
      </c>
      <c r="R443" s="26" t="s">
        <v>482</v>
      </c>
      <c r="S443" s="27" t="s">
        <v>143</v>
      </c>
      <c r="T443" s="27" t="s">
        <v>144</v>
      </c>
      <c r="U443" s="124" t="s">
        <v>140</v>
      </c>
      <c r="V443" s="39">
        <v>30</v>
      </c>
      <c r="W443" s="29">
        <v>0</v>
      </c>
      <c r="X443" s="29" t="s">
        <v>506</v>
      </c>
      <c r="Y443" s="29"/>
      <c r="Z443" s="30">
        <v>9.9700000000000006</v>
      </c>
      <c r="AA443" s="136" t="s">
        <v>507</v>
      </c>
      <c r="AB443" s="136">
        <v>7</v>
      </c>
      <c r="AC443" s="122" t="s">
        <v>155</v>
      </c>
      <c r="AD443" s="31">
        <v>1.85</v>
      </c>
      <c r="AE443" s="32" t="s">
        <v>147</v>
      </c>
    </row>
    <row r="444" spans="1:31">
      <c r="A444" s="135">
        <v>3</v>
      </c>
      <c r="B444" s="38" t="s">
        <v>98</v>
      </c>
      <c r="C444" s="122">
        <v>6</v>
      </c>
      <c r="D444" s="122">
        <v>921</v>
      </c>
      <c r="E444" s="33">
        <v>801354</v>
      </c>
      <c r="F444" s="34">
        <v>106</v>
      </c>
      <c r="G444" s="34">
        <v>921106</v>
      </c>
      <c r="H444" s="119">
        <v>16.170000000000002</v>
      </c>
      <c r="I444" s="100"/>
      <c r="J444" s="100">
        <v>16.170000000000002</v>
      </c>
      <c r="K444" s="22" t="s">
        <v>137</v>
      </c>
      <c r="L444" s="11" t="s">
        <v>138</v>
      </c>
      <c r="M444" s="23" t="s">
        <v>393</v>
      </c>
      <c r="N444" s="122" t="s">
        <v>140</v>
      </c>
      <c r="O444" s="122">
        <v>8</v>
      </c>
      <c r="P444" s="24" t="s">
        <v>505</v>
      </c>
      <c r="Q444" s="25">
        <v>104000</v>
      </c>
      <c r="R444" s="26" t="s">
        <v>482</v>
      </c>
      <c r="S444" s="27" t="s">
        <v>206</v>
      </c>
      <c r="T444" s="27" t="s">
        <v>508</v>
      </c>
      <c r="U444" s="124" t="s">
        <v>140</v>
      </c>
      <c r="V444" s="39">
        <v>30</v>
      </c>
      <c r="W444" s="29">
        <v>24255.000000000004</v>
      </c>
      <c r="X444" s="29" t="s">
        <v>506</v>
      </c>
      <c r="Y444" s="29"/>
      <c r="Z444" s="30">
        <v>16.170000000000002</v>
      </c>
      <c r="AA444" s="136" t="s">
        <v>507</v>
      </c>
      <c r="AB444" s="136">
        <v>7</v>
      </c>
      <c r="AC444" s="122" t="s">
        <v>155</v>
      </c>
      <c r="AD444" s="31">
        <v>1.85</v>
      </c>
      <c r="AE444" s="32" t="s">
        <v>147</v>
      </c>
    </row>
    <row r="445" spans="1:31">
      <c r="A445" s="135">
        <v>3</v>
      </c>
      <c r="B445" s="38" t="s">
        <v>98</v>
      </c>
      <c r="C445" s="122">
        <v>7</v>
      </c>
      <c r="D445" s="122">
        <v>921</v>
      </c>
      <c r="E445" s="33">
        <v>801352</v>
      </c>
      <c r="F445" s="34">
        <v>107</v>
      </c>
      <c r="G445" s="34">
        <v>921107</v>
      </c>
      <c r="H445" s="119">
        <v>65.73</v>
      </c>
      <c r="I445" s="101"/>
      <c r="J445" s="100">
        <v>65.73</v>
      </c>
      <c r="K445" s="125" t="s">
        <v>161</v>
      </c>
      <c r="L445" s="11" t="s">
        <v>138</v>
      </c>
      <c r="M445" s="23" t="s">
        <v>149</v>
      </c>
      <c r="N445" s="122" t="s">
        <v>140</v>
      </c>
      <c r="O445" s="122">
        <v>30</v>
      </c>
      <c r="P445" s="24" t="s">
        <v>505</v>
      </c>
      <c r="Q445" s="25">
        <v>104000</v>
      </c>
      <c r="R445" s="26" t="s">
        <v>482</v>
      </c>
      <c r="S445" s="27" t="s">
        <v>206</v>
      </c>
      <c r="T445" s="27" t="s">
        <v>508</v>
      </c>
      <c r="U445" s="124" t="s">
        <v>140</v>
      </c>
      <c r="V445" s="39">
        <v>30</v>
      </c>
      <c r="W445" s="29">
        <v>98595</v>
      </c>
      <c r="X445" s="29" t="s">
        <v>506</v>
      </c>
      <c r="Y445" s="29"/>
      <c r="Z445" s="30">
        <v>65.73</v>
      </c>
      <c r="AA445" s="136" t="s">
        <v>507</v>
      </c>
      <c r="AB445" s="136">
        <v>7</v>
      </c>
      <c r="AC445" s="21" t="s">
        <v>155</v>
      </c>
      <c r="AD445" s="31">
        <v>1.85</v>
      </c>
      <c r="AE445" s="32" t="s">
        <v>147</v>
      </c>
    </row>
    <row r="446" spans="1:31">
      <c r="A446" s="135">
        <v>3</v>
      </c>
      <c r="B446" s="38" t="s">
        <v>98</v>
      </c>
      <c r="C446" s="122">
        <v>8</v>
      </c>
      <c r="D446" s="122">
        <v>921</v>
      </c>
      <c r="E446" s="33">
        <v>801351</v>
      </c>
      <c r="F446" s="34">
        <v>108</v>
      </c>
      <c r="G446" s="34">
        <v>921108</v>
      </c>
      <c r="H446" s="119">
        <v>86.79</v>
      </c>
      <c r="I446" s="100"/>
      <c r="J446" s="100">
        <v>86.79</v>
      </c>
      <c r="K446" s="125" t="s">
        <v>137</v>
      </c>
      <c r="L446" s="11" t="s">
        <v>138</v>
      </c>
      <c r="M446" s="23" t="s">
        <v>510</v>
      </c>
      <c r="N446" s="122" t="s">
        <v>140</v>
      </c>
      <c r="O446" s="122">
        <v>6</v>
      </c>
      <c r="P446" s="24" t="s">
        <v>505</v>
      </c>
      <c r="Q446" s="25">
        <v>104000</v>
      </c>
      <c r="R446" s="26" t="s">
        <v>482</v>
      </c>
      <c r="S446" s="27" t="s">
        <v>206</v>
      </c>
      <c r="T446" s="27" t="s">
        <v>508</v>
      </c>
      <c r="U446" s="124" t="s">
        <v>140</v>
      </c>
      <c r="V446" s="39">
        <v>30</v>
      </c>
      <c r="W446" s="29">
        <v>130185.00000000001</v>
      </c>
      <c r="X446" s="29" t="s">
        <v>506</v>
      </c>
      <c r="Y446" s="29"/>
      <c r="Z446" s="30">
        <v>86.79</v>
      </c>
      <c r="AA446" s="136" t="s">
        <v>507</v>
      </c>
      <c r="AB446" s="136">
        <v>7</v>
      </c>
      <c r="AC446" s="122" t="s">
        <v>155</v>
      </c>
      <c r="AD446" s="31">
        <v>1.85</v>
      </c>
      <c r="AE446" s="32" t="s">
        <v>147</v>
      </c>
    </row>
    <row r="447" spans="1:31">
      <c r="A447" s="135">
        <v>3</v>
      </c>
      <c r="B447" s="38" t="s">
        <v>98</v>
      </c>
      <c r="C447" s="122">
        <v>9</v>
      </c>
      <c r="D447" s="122">
        <v>921</v>
      </c>
      <c r="E447" s="33">
        <v>801337</v>
      </c>
      <c r="F447" s="34">
        <v>109</v>
      </c>
      <c r="G447" s="34">
        <v>921109</v>
      </c>
      <c r="H447" s="119">
        <v>22.84</v>
      </c>
      <c r="I447" s="105">
        <v>22.84</v>
      </c>
      <c r="J447" s="100"/>
      <c r="K447" s="22" t="s">
        <v>148</v>
      </c>
      <c r="L447" s="23" t="s">
        <v>148</v>
      </c>
      <c r="M447" s="23" t="s">
        <v>511</v>
      </c>
      <c r="N447" s="122" t="s">
        <v>140</v>
      </c>
      <c r="O447" s="122">
        <v>6</v>
      </c>
      <c r="P447" s="24" t="s">
        <v>289</v>
      </c>
      <c r="Q447" s="25">
        <v>15400</v>
      </c>
      <c r="R447" s="26"/>
      <c r="S447" s="27" t="s">
        <v>143</v>
      </c>
      <c r="T447" s="27" t="s">
        <v>144</v>
      </c>
      <c r="U447" s="124" t="s">
        <v>140</v>
      </c>
      <c r="V447" s="39">
        <v>6</v>
      </c>
      <c r="W447" s="29">
        <v>0</v>
      </c>
      <c r="X447" s="29" t="s">
        <v>512</v>
      </c>
      <c r="Y447" s="29"/>
      <c r="Z447" s="30">
        <v>22.84</v>
      </c>
      <c r="AA447" s="136" t="s">
        <v>513</v>
      </c>
      <c r="AB447" s="136"/>
      <c r="AC447" s="122" t="s">
        <v>155</v>
      </c>
      <c r="AD447" s="31">
        <v>1.85</v>
      </c>
      <c r="AE447" s="32" t="s">
        <v>147</v>
      </c>
    </row>
    <row r="448" spans="1:31">
      <c r="A448" s="135">
        <v>3</v>
      </c>
      <c r="B448" s="38" t="s">
        <v>98</v>
      </c>
      <c r="C448" s="122">
        <v>10</v>
      </c>
      <c r="D448" s="122">
        <v>921</v>
      </c>
      <c r="E448" s="33">
        <v>801342</v>
      </c>
      <c r="F448" s="34">
        <v>110</v>
      </c>
      <c r="G448" s="34">
        <v>921110</v>
      </c>
      <c r="H448" s="119">
        <v>11.72</v>
      </c>
      <c r="I448" s="101"/>
      <c r="J448" s="100">
        <v>11.72</v>
      </c>
      <c r="K448" s="125" t="s">
        <v>161</v>
      </c>
      <c r="L448" s="11" t="s">
        <v>138</v>
      </c>
      <c r="M448" s="23" t="s">
        <v>504</v>
      </c>
      <c r="N448" s="122" t="s">
        <v>140</v>
      </c>
      <c r="O448" s="122">
        <v>4</v>
      </c>
      <c r="P448" s="24" t="s">
        <v>331</v>
      </c>
      <c r="Q448" s="25"/>
      <c r="R448" s="26" t="s">
        <v>514</v>
      </c>
      <c r="S448" s="27" t="s">
        <v>159</v>
      </c>
      <c r="T448" s="27" t="s">
        <v>160</v>
      </c>
      <c r="U448" s="124" t="s">
        <v>150</v>
      </c>
      <c r="V448" s="39">
        <v>3</v>
      </c>
      <c r="W448" s="29">
        <v>1758</v>
      </c>
      <c r="X448" s="29" t="s">
        <v>512</v>
      </c>
      <c r="Y448" s="29"/>
      <c r="Z448" s="30">
        <v>11.72</v>
      </c>
      <c r="AA448" s="136" t="s">
        <v>513</v>
      </c>
      <c r="AB448" s="136"/>
      <c r="AC448" s="122" t="s">
        <v>155</v>
      </c>
      <c r="AD448" s="31">
        <v>1.85</v>
      </c>
      <c r="AE448" s="32" t="s">
        <v>147</v>
      </c>
    </row>
    <row r="449" spans="1:31">
      <c r="A449" s="135">
        <v>3</v>
      </c>
      <c r="B449" s="38" t="s">
        <v>98</v>
      </c>
      <c r="C449" s="122">
        <v>11</v>
      </c>
      <c r="D449" s="122">
        <v>921</v>
      </c>
      <c r="E449" s="33">
        <v>802555</v>
      </c>
      <c r="F449" s="34">
        <v>111</v>
      </c>
      <c r="G449" s="34">
        <v>921111</v>
      </c>
      <c r="H449" s="119">
        <v>28.04</v>
      </c>
      <c r="I449" s="108">
        <v>28.04</v>
      </c>
      <c r="J449" s="100"/>
      <c r="K449" s="22" t="s">
        <v>148</v>
      </c>
      <c r="L449" s="23" t="s">
        <v>148</v>
      </c>
      <c r="M449" s="23" t="s">
        <v>149</v>
      </c>
      <c r="N449" s="122" t="s">
        <v>150</v>
      </c>
      <c r="O449" s="122">
        <v>3</v>
      </c>
      <c r="P449" s="24" t="s">
        <v>515</v>
      </c>
      <c r="Q449" s="25"/>
      <c r="R449" s="26" t="s">
        <v>482</v>
      </c>
      <c r="S449" s="27" t="s">
        <v>159</v>
      </c>
      <c r="T449" s="27" t="s">
        <v>160</v>
      </c>
      <c r="U449" s="124" t="s">
        <v>150</v>
      </c>
      <c r="V449" s="39">
        <v>3</v>
      </c>
      <c r="W449" s="29">
        <v>0</v>
      </c>
      <c r="X449" s="29" t="s">
        <v>516</v>
      </c>
      <c r="Y449" s="29"/>
      <c r="Z449" s="30">
        <v>28.04</v>
      </c>
      <c r="AA449" s="136" t="s">
        <v>513</v>
      </c>
      <c r="AB449" s="136"/>
      <c r="AC449" s="122" t="s">
        <v>155</v>
      </c>
      <c r="AD449" s="31">
        <v>1.85</v>
      </c>
      <c r="AE449" s="32" t="s">
        <v>194</v>
      </c>
    </row>
    <row r="450" spans="1:31">
      <c r="A450" s="135">
        <v>3</v>
      </c>
      <c r="B450" s="38" t="s">
        <v>98</v>
      </c>
      <c r="C450" s="122">
        <v>12</v>
      </c>
      <c r="D450" s="122">
        <v>921</v>
      </c>
      <c r="E450" s="33">
        <v>802557</v>
      </c>
      <c r="F450" s="34">
        <v>112</v>
      </c>
      <c r="G450" s="34">
        <v>921112</v>
      </c>
      <c r="H450" s="119">
        <v>23.07</v>
      </c>
      <c r="I450" s="108">
        <v>23.07</v>
      </c>
      <c r="J450" s="100"/>
      <c r="K450" s="22" t="s">
        <v>148</v>
      </c>
      <c r="L450" s="23" t="s">
        <v>148</v>
      </c>
      <c r="M450" s="23" t="s">
        <v>149</v>
      </c>
      <c r="N450" s="122" t="s">
        <v>140</v>
      </c>
      <c r="O450" s="122">
        <v>6</v>
      </c>
      <c r="P450" s="24" t="s">
        <v>515</v>
      </c>
      <c r="Q450" s="25"/>
      <c r="R450" s="26" t="s">
        <v>482</v>
      </c>
      <c r="S450" s="27" t="s">
        <v>159</v>
      </c>
      <c r="T450" s="27" t="s">
        <v>160</v>
      </c>
      <c r="U450" s="124" t="s">
        <v>150</v>
      </c>
      <c r="V450" s="39">
        <v>3</v>
      </c>
      <c r="W450" s="29">
        <v>0</v>
      </c>
      <c r="X450" s="29" t="s">
        <v>516</v>
      </c>
      <c r="Y450" s="29"/>
      <c r="Z450" s="30">
        <v>23.07</v>
      </c>
      <c r="AA450" s="136" t="s">
        <v>513</v>
      </c>
      <c r="AB450" s="136"/>
      <c r="AC450" s="122" t="s">
        <v>155</v>
      </c>
      <c r="AD450" s="31">
        <v>1.85</v>
      </c>
      <c r="AE450" s="32" t="s">
        <v>194</v>
      </c>
    </row>
    <row r="451" spans="1:31">
      <c r="A451" s="135">
        <v>3</v>
      </c>
      <c r="B451" s="38" t="s">
        <v>98</v>
      </c>
      <c r="C451" s="122">
        <v>13</v>
      </c>
      <c r="D451" s="122">
        <v>921</v>
      </c>
      <c r="E451" s="33">
        <v>812551</v>
      </c>
      <c r="F451" s="34">
        <v>113</v>
      </c>
      <c r="G451" s="34">
        <v>921113</v>
      </c>
      <c r="H451" s="119">
        <v>15.47</v>
      </c>
      <c r="I451" s="100"/>
      <c r="J451" s="100">
        <v>15.47</v>
      </c>
      <c r="K451" s="125" t="s">
        <v>137</v>
      </c>
      <c r="L451" s="11" t="s">
        <v>138</v>
      </c>
      <c r="M451" s="23" t="s">
        <v>245</v>
      </c>
      <c r="N451" s="122" t="s">
        <v>140</v>
      </c>
      <c r="O451" s="122">
        <v>6</v>
      </c>
      <c r="P451" s="24" t="s">
        <v>517</v>
      </c>
      <c r="Q451" s="25">
        <v>156000</v>
      </c>
      <c r="R451" s="26" t="s">
        <v>518</v>
      </c>
      <c r="S451" s="27" t="s">
        <v>159</v>
      </c>
      <c r="T451" s="27" t="s">
        <v>160</v>
      </c>
      <c r="U451" s="124" t="s">
        <v>150</v>
      </c>
      <c r="V451" s="39">
        <v>3</v>
      </c>
      <c r="W451" s="29">
        <v>2320.5</v>
      </c>
      <c r="X451" s="29" t="s">
        <v>516</v>
      </c>
      <c r="Y451" s="29"/>
      <c r="Z451" s="30">
        <v>15.47</v>
      </c>
      <c r="AA451" s="136" t="s">
        <v>513</v>
      </c>
      <c r="AB451" s="136"/>
      <c r="AC451" s="122" t="s">
        <v>155</v>
      </c>
      <c r="AD451" s="31">
        <v>1.85</v>
      </c>
      <c r="AE451" s="32" t="s">
        <v>147</v>
      </c>
    </row>
    <row r="452" spans="1:31">
      <c r="A452" s="135">
        <v>3</v>
      </c>
      <c r="B452" s="38" t="s">
        <v>98</v>
      </c>
      <c r="C452" s="122">
        <v>14</v>
      </c>
      <c r="D452" s="122">
        <v>921</v>
      </c>
      <c r="E452" s="33">
        <v>812552</v>
      </c>
      <c r="F452" s="34">
        <v>114</v>
      </c>
      <c r="G452" s="34">
        <v>921114</v>
      </c>
      <c r="H452" s="119">
        <v>13.02</v>
      </c>
      <c r="I452" s="101"/>
      <c r="J452" s="100">
        <v>13.02</v>
      </c>
      <c r="K452" s="22" t="s">
        <v>137</v>
      </c>
      <c r="L452" s="11" t="s">
        <v>138</v>
      </c>
      <c r="M452" s="23" t="s">
        <v>245</v>
      </c>
      <c r="N452" s="122" t="s">
        <v>140</v>
      </c>
      <c r="O452" s="122">
        <v>6</v>
      </c>
      <c r="P452" s="24" t="s">
        <v>517</v>
      </c>
      <c r="Q452" s="25">
        <v>156000</v>
      </c>
      <c r="R452" s="26" t="s">
        <v>518</v>
      </c>
      <c r="S452" s="27" t="s">
        <v>159</v>
      </c>
      <c r="T452" s="27" t="s">
        <v>160</v>
      </c>
      <c r="U452" s="124" t="s">
        <v>150</v>
      </c>
      <c r="V452" s="39">
        <v>3</v>
      </c>
      <c r="W452" s="29">
        <v>1953</v>
      </c>
      <c r="X452" s="29" t="s">
        <v>516</v>
      </c>
      <c r="Y452" s="29"/>
      <c r="Z452" s="30">
        <v>13.02</v>
      </c>
      <c r="AA452" s="136" t="s">
        <v>513</v>
      </c>
      <c r="AB452" s="136"/>
      <c r="AC452" s="122" t="s">
        <v>155</v>
      </c>
      <c r="AD452" s="31">
        <v>1.85</v>
      </c>
      <c r="AE452" s="32" t="s">
        <v>147</v>
      </c>
    </row>
    <row r="453" spans="1:31">
      <c r="A453" s="135">
        <v>3</v>
      </c>
      <c r="B453" s="38" t="s">
        <v>98</v>
      </c>
      <c r="C453" s="122">
        <v>15</v>
      </c>
      <c r="D453" s="122">
        <v>921</v>
      </c>
      <c r="E453" s="33">
        <v>812554</v>
      </c>
      <c r="F453" s="34">
        <v>115</v>
      </c>
      <c r="G453" s="34">
        <v>921115</v>
      </c>
      <c r="H453" s="119">
        <v>18.170000000000002</v>
      </c>
      <c r="I453" s="100"/>
      <c r="J453" s="100">
        <v>18.170000000000002</v>
      </c>
      <c r="K453" s="22" t="s">
        <v>137</v>
      </c>
      <c r="L453" s="11" t="s">
        <v>138</v>
      </c>
      <c r="M453" s="23" t="s">
        <v>245</v>
      </c>
      <c r="N453" s="122" t="s">
        <v>140</v>
      </c>
      <c r="O453" s="122">
        <v>6</v>
      </c>
      <c r="P453" s="24" t="s">
        <v>519</v>
      </c>
      <c r="Q453" s="25">
        <v>78000</v>
      </c>
      <c r="R453" s="26" t="s">
        <v>518</v>
      </c>
      <c r="S453" s="27" t="s">
        <v>159</v>
      </c>
      <c r="T453" s="27" t="s">
        <v>160</v>
      </c>
      <c r="U453" s="124" t="s">
        <v>150</v>
      </c>
      <c r="V453" s="39">
        <v>3</v>
      </c>
      <c r="W453" s="29">
        <v>2725.5000000000005</v>
      </c>
      <c r="X453" s="29" t="s">
        <v>516</v>
      </c>
      <c r="Y453" s="29"/>
      <c r="Z453" s="30">
        <v>18.170000000000002</v>
      </c>
      <c r="AA453" s="136" t="s">
        <v>513</v>
      </c>
      <c r="AB453" s="136"/>
      <c r="AC453" s="122" t="s">
        <v>146</v>
      </c>
      <c r="AD453" s="32">
        <v>1.85</v>
      </c>
      <c r="AE453" s="32" t="s">
        <v>147</v>
      </c>
    </row>
    <row r="454" spans="1:31">
      <c r="A454" s="135">
        <v>3</v>
      </c>
      <c r="B454" s="38" t="s">
        <v>98</v>
      </c>
      <c r="C454" s="122">
        <v>16</v>
      </c>
      <c r="D454" s="122">
        <v>921</v>
      </c>
      <c r="E454" s="33" t="s">
        <v>520</v>
      </c>
      <c r="F454" s="34">
        <v>116</v>
      </c>
      <c r="G454" s="34">
        <v>921116</v>
      </c>
      <c r="H454" s="119">
        <v>8.0299999999999994</v>
      </c>
      <c r="I454" s="101"/>
      <c r="J454" s="100">
        <v>8.0299999999999994</v>
      </c>
      <c r="K454" s="22" t="s">
        <v>137</v>
      </c>
      <c r="L454" s="23" t="s">
        <v>138</v>
      </c>
      <c r="M454" s="23" t="s">
        <v>245</v>
      </c>
      <c r="N454" s="122" t="s">
        <v>140</v>
      </c>
      <c r="O454" s="122">
        <v>6</v>
      </c>
      <c r="P454" s="24" t="s">
        <v>519</v>
      </c>
      <c r="Q454" s="25">
        <v>78000</v>
      </c>
      <c r="R454" s="26" t="s">
        <v>518</v>
      </c>
      <c r="S454" s="27" t="s">
        <v>159</v>
      </c>
      <c r="T454" s="27" t="s">
        <v>160</v>
      </c>
      <c r="U454" s="124" t="s">
        <v>150</v>
      </c>
      <c r="V454" s="39">
        <v>3</v>
      </c>
      <c r="W454" s="29">
        <v>1204.5</v>
      </c>
      <c r="X454" s="29" t="s">
        <v>516</v>
      </c>
      <c r="Y454" s="29"/>
      <c r="Z454" s="30">
        <v>8.0299999999999994</v>
      </c>
      <c r="AA454" s="136" t="s">
        <v>513</v>
      </c>
      <c r="AB454" s="136"/>
      <c r="AC454" s="122" t="s">
        <v>146</v>
      </c>
      <c r="AD454" s="31">
        <v>1.85</v>
      </c>
      <c r="AE454" s="32" t="s">
        <v>147</v>
      </c>
    </row>
    <row r="455" spans="1:31">
      <c r="A455" s="135">
        <v>3</v>
      </c>
      <c r="B455" s="38" t="s">
        <v>98</v>
      </c>
      <c r="C455" s="122">
        <v>22</v>
      </c>
      <c r="D455" s="122">
        <v>921</v>
      </c>
      <c r="E455" s="33">
        <v>801340</v>
      </c>
      <c r="F455" s="34">
        <v>122</v>
      </c>
      <c r="G455" s="34">
        <v>921122</v>
      </c>
      <c r="H455" s="119">
        <v>19.29</v>
      </c>
      <c r="I455" s="101"/>
      <c r="J455" s="100">
        <v>19.29</v>
      </c>
      <c r="K455" s="22" t="s">
        <v>137</v>
      </c>
      <c r="L455" s="11" t="s">
        <v>138</v>
      </c>
      <c r="M455" s="23" t="s">
        <v>245</v>
      </c>
      <c r="N455" s="122" t="s">
        <v>140</v>
      </c>
      <c r="O455" s="122">
        <v>4</v>
      </c>
      <c r="P455" s="24" t="s">
        <v>521</v>
      </c>
      <c r="Q455" s="25"/>
      <c r="R455" s="26"/>
      <c r="S455" s="27" t="s">
        <v>159</v>
      </c>
      <c r="T455" s="27" t="s">
        <v>160</v>
      </c>
      <c r="U455" s="124" t="s">
        <v>255</v>
      </c>
      <c r="V455" s="39">
        <v>3</v>
      </c>
      <c r="W455" s="29">
        <v>2893.5</v>
      </c>
      <c r="X455" s="29" t="s">
        <v>516</v>
      </c>
      <c r="Y455" s="29"/>
      <c r="Z455" s="30">
        <v>19.29</v>
      </c>
      <c r="AA455" s="136" t="s">
        <v>513</v>
      </c>
      <c r="AB455" s="136"/>
      <c r="AC455" s="21" t="s">
        <v>146</v>
      </c>
      <c r="AD455" s="31">
        <v>1.85</v>
      </c>
      <c r="AE455" s="32" t="s">
        <v>147</v>
      </c>
    </row>
    <row r="456" spans="1:31">
      <c r="A456" s="135">
        <v>3</v>
      </c>
      <c r="B456" s="38" t="s">
        <v>98</v>
      </c>
      <c r="C456" s="122">
        <v>23</v>
      </c>
      <c r="D456" s="122">
        <v>921</v>
      </c>
      <c r="E456" s="33">
        <v>801339</v>
      </c>
      <c r="F456" s="34">
        <v>123</v>
      </c>
      <c r="G456" s="34">
        <v>921123</v>
      </c>
      <c r="H456" s="119">
        <v>22.19</v>
      </c>
      <c r="I456" s="101"/>
      <c r="J456" s="100">
        <v>22.19</v>
      </c>
      <c r="K456" s="22" t="s">
        <v>137</v>
      </c>
      <c r="L456" s="11" t="s">
        <v>138</v>
      </c>
      <c r="M456" s="23" t="s">
        <v>169</v>
      </c>
      <c r="N456" s="122" t="s">
        <v>140</v>
      </c>
      <c r="O456" s="122">
        <v>6</v>
      </c>
      <c r="P456" s="24" t="s">
        <v>521</v>
      </c>
      <c r="Q456" s="25"/>
      <c r="R456" s="26"/>
      <c r="S456" s="27" t="s">
        <v>159</v>
      </c>
      <c r="T456" s="27" t="s">
        <v>160</v>
      </c>
      <c r="U456" s="124" t="s">
        <v>255</v>
      </c>
      <c r="V456" s="39">
        <v>3</v>
      </c>
      <c r="W456" s="29">
        <v>3328.5</v>
      </c>
      <c r="X456" s="29" t="s">
        <v>516</v>
      </c>
      <c r="Y456" s="29"/>
      <c r="Z456" s="30">
        <v>22.19</v>
      </c>
      <c r="AA456" s="136" t="s">
        <v>513</v>
      </c>
      <c r="AB456" s="136"/>
      <c r="AC456" s="21" t="s">
        <v>146</v>
      </c>
      <c r="AD456" s="31">
        <v>1.85</v>
      </c>
      <c r="AE456" s="32" t="s">
        <v>147</v>
      </c>
    </row>
    <row r="457" spans="1:31">
      <c r="A457" s="135">
        <v>3</v>
      </c>
      <c r="B457" s="38" t="s">
        <v>98</v>
      </c>
      <c r="C457" s="122">
        <v>24</v>
      </c>
      <c r="D457" s="122">
        <v>921</v>
      </c>
      <c r="E457" s="33">
        <v>801341</v>
      </c>
      <c r="F457" s="34">
        <v>124</v>
      </c>
      <c r="G457" s="34">
        <v>921124</v>
      </c>
      <c r="H457" s="119">
        <v>15.71</v>
      </c>
      <c r="I457" s="101"/>
      <c r="J457" s="101">
        <v>15.71</v>
      </c>
      <c r="K457" s="125" t="s">
        <v>137</v>
      </c>
      <c r="L457" s="11" t="s">
        <v>138</v>
      </c>
      <c r="M457" s="23" t="s">
        <v>149</v>
      </c>
      <c r="N457" s="122" t="s">
        <v>255</v>
      </c>
      <c r="O457" s="122">
        <v>3</v>
      </c>
      <c r="P457" s="24" t="s">
        <v>521</v>
      </c>
      <c r="Q457" s="25"/>
      <c r="R457" s="26"/>
      <c r="S457" s="27" t="s">
        <v>159</v>
      </c>
      <c r="T457" s="27" t="s">
        <v>160</v>
      </c>
      <c r="U457" s="124" t="s">
        <v>255</v>
      </c>
      <c r="V457" s="39">
        <v>3</v>
      </c>
      <c r="W457" s="29">
        <v>2356.5</v>
      </c>
      <c r="X457" s="29" t="s">
        <v>516</v>
      </c>
      <c r="Y457" s="29"/>
      <c r="Z457" s="30">
        <v>15.71</v>
      </c>
      <c r="AA457" s="136" t="s">
        <v>513</v>
      </c>
      <c r="AB457" s="136"/>
      <c r="AC457" s="122" t="s">
        <v>146</v>
      </c>
      <c r="AD457" s="31">
        <v>1.85</v>
      </c>
      <c r="AE457" s="32" t="s">
        <v>147</v>
      </c>
    </row>
    <row r="458" spans="1:31">
      <c r="A458" s="135">
        <v>3</v>
      </c>
      <c r="B458" s="38" t="s">
        <v>98</v>
      </c>
      <c r="C458" s="122">
        <v>25</v>
      </c>
      <c r="D458" s="122">
        <v>921</v>
      </c>
      <c r="E458" s="33" t="s">
        <v>522</v>
      </c>
      <c r="F458" s="34">
        <v>125</v>
      </c>
      <c r="G458" s="34">
        <v>921125</v>
      </c>
      <c r="H458" s="119">
        <v>96.57</v>
      </c>
      <c r="I458" s="101"/>
      <c r="J458" s="100">
        <v>96.57</v>
      </c>
      <c r="K458" s="22" t="s">
        <v>137</v>
      </c>
      <c r="L458" s="11" t="s">
        <v>138</v>
      </c>
      <c r="M458" s="23" t="s">
        <v>245</v>
      </c>
      <c r="N458" s="122" t="s">
        <v>150</v>
      </c>
      <c r="O458" s="122">
        <v>3</v>
      </c>
      <c r="P458" s="24" t="s">
        <v>523</v>
      </c>
      <c r="Q458" s="25"/>
      <c r="R458" s="26" t="s">
        <v>514</v>
      </c>
      <c r="S458" s="27" t="s">
        <v>159</v>
      </c>
      <c r="T458" s="27" t="s">
        <v>160</v>
      </c>
      <c r="U458" s="124" t="s">
        <v>150</v>
      </c>
      <c r="V458" s="39">
        <v>2</v>
      </c>
      <c r="W458" s="29">
        <v>9657</v>
      </c>
      <c r="X458" s="29" t="s">
        <v>512</v>
      </c>
      <c r="Y458" s="29"/>
      <c r="Z458" s="30">
        <v>98.49</v>
      </c>
      <c r="AA458" s="136" t="s">
        <v>513</v>
      </c>
      <c r="AB458" s="136"/>
      <c r="AC458" s="122" t="s">
        <v>146</v>
      </c>
      <c r="AD458" s="31">
        <v>1.85</v>
      </c>
      <c r="AE458" s="32" t="s">
        <v>147</v>
      </c>
    </row>
    <row r="459" spans="1:31">
      <c r="A459" s="135">
        <v>3</v>
      </c>
      <c r="B459" s="38" t="s">
        <v>98</v>
      </c>
      <c r="C459" s="122">
        <v>26</v>
      </c>
      <c r="D459" s="122">
        <v>921</v>
      </c>
      <c r="E459" s="33" t="s">
        <v>522</v>
      </c>
      <c r="F459" s="34">
        <v>126</v>
      </c>
      <c r="G459" s="34">
        <v>921126</v>
      </c>
      <c r="H459" s="119">
        <v>38.46</v>
      </c>
      <c r="I459" s="101"/>
      <c r="J459" s="100">
        <v>38.46</v>
      </c>
      <c r="K459" s="22" t="s">
        <v>137</v>
      </c>
      <c r="L459" s="11" t="s">
        <v>138</v>
      </c>
      <c r="M459" s="23" t="s">
        <v>245</v>
      </c>
      <c r="N459" s="122" t="s">
        <v>150</v>
      </c>
      <c r="O459" s="122">
        <v>3</v>
      </c>
      <c r="P459" s="24" t="s">
        <v>523</v>
      </c>
      <c r="Q459" s="25"/>
      <c r="R459" s="26" t="s">
        <v>514</v>
      </c>
      <c r="S459" s="27" t="s">
        <v>159</v>
      </c>
      <c r="T459" s="27" t="s">
        <v>160</v>
      </c>
      <c r="U459" s="124" t="s">
        <v>150</v>
      </c>
      <c r="V459" s="39">
        <v>2</v>
      </c>
      <c r="W459" s="29">
        <v>3846</v>
      </c>
      <c r="X459" s="29" t="s">
        <v>512</v>
      </c>
      <c r="Y459" s="29"/>
      <c r="Z459" s="30">
        <v>38.46</v>
      </c>
      <c r="AA459" s="136" t="s">
        <v>513</v>
      </c>
      <c r="AB459" s="136"/>
      <c r="AC459" s="21" t="s">
        <v>146</v>
      </c>
      <c r="AD459" s="31">
        <v>1.85</v>
      </c>
      <c r="AE459" s="32" t="s">
        <v>147</v>
      </c>
    </row>
    <row r="460" spans="1:31">
      <c r="A460" s="135">
        <v>3</v>
      </c>
      <c r="B460" s="38" t="s">
        <v>98</v>
      </c>
      <c r="C460" s="122">
        <v>27</v>
      </c>
      <c r="D460" s="122">
        <v>921</v>
      </c>
      <c r="E460" s="33" t="s">
        <v>522</v>
      </c>
      <c r="F460" s="34">
        <v>127</v>
      </c>
      <c r="G460" s="34">
        <v>921127</v>
      </c>
      <c r="H460" s="119">
        <v>25.999999999999993</v>
      </c>
      <c r="I460" s="101"/>
      <c r="J460" s="100">
        <v>25.999999999999993</v>
      </c>
      <c r="K460" s="22" t="s">
        <v>137</v>
      </c>
      <c r="L460" s="11" t="s">
        <v>138</v>
      </c>
      <c r="M460" s="23" t="s">
        <v>286</v>
      </c>
      <c r="N460" s="122" t="s">
        <v>150</v>
      </c>
      <c r="O460" s="122">
        <v>3</v>
      </c>
      <c r="P460" s="24" t="s">
        <v>523</v>
      </c>
      <c r="Q460" s="25"/>
      <c r="R460" s="26" t="s">
        <v>514</v>
      </c>
      <c r="S460" s="27" t="s">
        <v>159</v>
      </c>
      <c r="T460" s="27" t="s">
        <v>160</v>
      </c>
      <c r="U460" s="124" t="s">
        <v>150</v>
      </c>
      <c r="V460" s="39">
        <v>2</v>
      </c>
      <c r="W460" s="29">
        <v>2599.9999999999991</v>
      </c>
      <c r="X460" s="29" t="s">
        <v>512</v>
      </c>
      <c r="Y460" s="29"/>
      <c r="Z460" s="30">
        <v>25.999999999999993</v>
      </c>
      <c r="AA460" s="136" t="s">
        <v>513</v>
      </c>
      <c r="AB460" s="136"/>
      <c r="AC460" s="21" t="s">
        <v>146</v>
      </c>
      <c r="AD460" s="31">
        <v>1.85</v>
      </c>
      <c r="AE460" s="32" t="s">
        <v>147</v>
      </c>
    </row>
    <row r="461" spans="1:31">
      <c r="A461" s="135">
        <v>3</v>
      </c>
      <c r="B461" s="38" t="s">
        <v>98</v>
      </c>
      <c r="C461" s="122"/>
      <c r="D461" s="122">
        <v>921</v>
      </c>
      <c r="E461" s="33"/>
      <c r="F461" s="34"/>
      <c r="G461" s="34">
        <v>921127.1</v>
      </c>
      <c r="H461" s="119">
        <v>11.590000000000011</v>
      </c>
      <c r="I461" s="101"/>
      <c r="J461" s="100">
        <v>11.590000000000011</v>
      </c>
      <c r="K461" s="22" t="s">
        <v>172</v>
      </c>
      <c r="L461" s="11" t="s">
        <v>86</v>
      </c>
      <c r="M461" s="23"/>
      <c r="N461" s="122"/>
      <c r="O461" s="122"/>
      <c r="P461" s="24" t="s">
        <v>523</v>
      </c>
      <c r="Q461" s="25"/>
      <c r="R461" s="26" t="s">
        <v>514</v>
      </c>
      <c r="S461" s="27" t="s">
        <v>159</v>
      </c>
      <c r="T461" s="27" t="s">
        <v>160</v>
      </c>
      <c r="U461" s="124" t="s">
        <v>150</v>
      </c>
      <c r="V461" s="39">
        <v>2</v>
      </c>
      <c r="W461" s="29">
        <v>1159.0000000000011</v>
      </c>
      <c r="X461" s="29" t="s">
        <v>512</v>
      </c>
      <c r="Y461" s="29"/>
      <c r="Z461" s="30">
        <v>11.590000000000011</v>
      </c>
      <c r="AA461" s="136" t="s">
        <v>513</v>
      </c>
      <c r="AB461" s="136"/>
      <c r="AC461" s="21"/>
      <c r="AD461" s="31"/>
      <c r="AE461" s="32" t="s">
        <v>147</v>
      </c>
    </row>
    <row r="462" spans="1:31">
      <c r="A462" s="135">
        <v>3</v>
      </c>
      <c r="B462" s="38" t="s">
        <v>524</v>
      </c>
      <c r="C462" s="122">
        <v>1</v>
      </c>
      <c r="D462" s="122">
        <v>930</v>
      </c>
      <c r="E462" s="33" t="s">
        <v>525</v>
      </c>
      <c r="F462" s="34">
        <v>101</v>
      </c>
      <c r="G462" s="34">
        <v>930112</v>
      </c>
      <c r="H462" s="119">
        <v>0.2</v>
      </c>
      <c r="I462" s="101">
        <v>0.2</v>
      </c>
      <c r="J462" s="100"/>
      <c r="K462" s="22" t="s">
        <v>148</v>
      </c>
      <c r="L462" s="22" t="s">
        <v>148</v>
      </c>
      <c r="M462" s="23"/>
      <c r="N462" s="122" t="s">
        <v>278</v>
      </c>
      <c r="O462" s="122"/>
      <c r="P462" s="11"/>
      <c r="Q462" s="11"/>
      <c r="R462" s="21"/>
      <c r="S462" s="46"/>
      <c r="T462" s="46"/>
      <c r="U462" s="47" t="s">
        <v>278</v>
      </c>
      <c r="V462" s="48"/>
      <c r="W462" s="47"/>
      <c r="X462" s="67" t="s">
        <v>362</v>
      </c>
      <c r="Y462" s="67"/>
      <c r="Z462" s="47"/>
      <c r="AA462" s="49"/>
      <c r="AB462" s="49"/>
      <c r="AC462" s="122"/>
      <c r="AD462" s="31"/>
      <c r="AE462" s="32" t="s">
        <v>194</v>
      </c>
    </row>
    <row r="463" spans="1:31">
      <c r="A463" s="135">
        <v>3</v>
      </c>
      <c r="B463" s="38" t="s">
        <v>524</v>
      </c>
      <c r="C463" s="122">
        <v>2</v>
      </c>
      <c r="D463" s="122">
        <v>930</v>
      </c>
      <c r="E463" s="33" t="s">
        <v>525</v>
      </c>
      <c r="F463" s="34">
        <v>102</v>
      </c>
      <c r="G463" s="34">
        <v>930113</v>
      </c>
      <c r="H463" s="119">
        <v>0.99</v>
      </c>
      <c r="I463" s="101">
        <v>0.99</v>
      </c>
      <c r="J463" s="100"/>
      <c r="K463" s="22" t="s">
        <v>148</v>
      </c>
      <c r="L463" s="22" t="s">
        <v>148</v>
      </c>
      <c r="M463" s="23"/>
      <c r="N463" s="122" t="s">
        <v>278</v>
      </c>
      <c r="O463" s="122"/>
      <c r="P463" s="11"/>
      <c r="Q463" s="11"/>
      <c r="R463" s="21"/>
      <c r="S463" s="46"/>
      <c r="T463" s="46"/>
      <c r="U463" s="47" t="s">
        <v>278</v>
      </c>
      <c r="V463" s="48"/>
      <c r="W463" s="47"/>
      <c r="X463" s="67" t="s">
        <v>362</v>
      </c>
      <c r="Y463" s="67"/>
      <c r="Z463" s="47"/>
      <c r="AA463" s="49"/>
      <c r="AB463" s="49"/>
      <c r="AC463" s="21"/>
      <c r="AD463" s="31"/>
      <c r="AE463" s="32" t="s">
        <v>194</v>
      </c>
    </row>
    <row r="464" spans="1:31">
      <c r="A464" s="135">
        <v>3</v>
      </c>
      <c r="B464" s="38" t="s">
        <v>524</v>
      </c>
      <c r="C464" s="122">
        <v>3</v>
      </c>
      <c r="D464" s="122">
        <v>930</v>
      </c>
      <c r="E464" s="33" t="s">
        <v>525</v>
      </c>
      <c r="F464" s="34">
        <v>103</v>
      </c>
      <c r="G464" s="34">
        <v>930114</v>
      </c>
      <c r="H464" s="119">
        <v>4.01</v>
      </c>
      <c r="I464" s="101">
        <v>4.01</v>
      </c>
      <c r="J464" s="100"/>
      <c r="K464" s="22" t="s">
        <v>148</v>
      </c>
      <c r="L464" s="22" t="s">
        <v>148</v>
      </c>
      <c r="M464" s="23"/>
      <c r="N464" s="122" t="s">
        <v>278</v>
      </c>
      <c r="O464" s="122"/>
      <c r="P464" s="11"/>
      <c r="Q464" s="11"/>
      <c r="R464" s="21"/>
      <c r="S464" s="46"/>
      <c r="T464" s="46"/>
      <c r="U464" s="47" t="s">
        <v>278</v>
      </c>
      <c r="V464" s="48"/>
      <c r="W464" s="47"/>
      <c r="X464" s="67" t="s">
        <v>362</v>
      </c>
      <c r="Y464" s="67"/>
      <c r="Z464" s="47"/>
      <c r="AA464" s="49"/>
      <c r="AB464" s="49"/>
      <c r="AC464" s="122"/>
      <c r="AD464" s="31"/>
      <c r="AE464" s="32" t="s">
        <v>194</v>
      </c>
    </row>
    <row r="465" spans="1:31">
      <c r="A465" s="135">
        <v>3</v>
      </c>
      <c r="B465" s="38" t="s">
        <v>524</v>
      </c>
      <c r="C465" s="122">
        <v>4</v>
      </c>
      <c r="D465" s="122">
        <v>930</v>
      </c>
      <c r="E465" s="33" t="s">
        <v>525</v>
      </c>
      <c r="F465" s="34">
        <v>104</v>
      </c>
      <c r="G465" s="34">
        <v>930115</v>
      </c>
      <c r="H465" s="119">
        <v>2.15</v>
      </c>
      <c r="I465" s="101">
        <v>2.15</v>
      </c>
      <c r="J465" s="100"/>
      <c r="K465" s="22" t="s">
        <v>148</v>
      </c>
      <c r="L465" s="22" t="s">
        <v>148</v>
      </c>
      <c r="M465" s="23"/>
      <c r="N465" s="122" t="s">
        <v>278</v>
      </c>
      <c r="O465" s="122"/>
      <c r="P465" s="11"/>
      <c r="Q465" s="11"/>
      <c r="R465" s="21"/>
      <c r="S465" s="46"/>
      <c r="T465" s="46"/>
      <c r="U465" s="47" t="s">
        <v>278</v>
      </c>
      <c r="V465" s="48"/>
      <c r="W465" s="47"/>
      <c r="X465" s="67" t="s">
        <v>362</v>
      </c>
      <c r="Y465" s="67"/>
      <c r="Z465" s="47"/>
      <c r="AA465" s="49"/>
      <c r="AB465" s="49"/>
      <c r="AC465" s="122"/>
      <c r="AD465" s="31"/>
      <c r="AE465" s="32" t="s">
        <v>194</v>
      </c>
    </row>
    <row r="466" spans="1:31">
      <c r="A466" s="135">
        <v>3</v>
      </c>
      <c r="B466" s="38" t="s">
        <v>524</v>
      </c>
      <c r="C466" s="122">
        <v>5</v>
      </c>
      <c r="D466" s="122">
        <v>930</v>
      </c>
      <c r="E466" s="33" t="s">
        <v>525</v>
      </c>
      <c r="F466" s="34">
        <v>107</v>
      </c>
      <c r="G466" s="34">
        <v>930116</v>
      </c>
      <c r="H466" s="119">
        <v>12.055</v>
      </c>
      <c r="I466" s="111">
        <v>12.055</v>
      </c>
      <c r="J466" s="111"/>
      <c r="K466" s="22" t="s">
        <v>148</v>
      </c>
      <c r="L466" s="22" t="s">
        <v>148</v>
      </c>
      <c r="M466" s="23"/>
      <c r="N466" s="122" t="s">
        <v>278</v>
      </c>
      <c r="O466" s="122"/>
      <c r="P466" s="24" t="s">
        <v>526</v>
      </c>
      <c r="Q466" s="25">
        <v>15000</v>
      </c>
      <c r="R466" s="26" t="s">
        <v>527</v>
      </c>
      <c r="S466" s="27"/>
      <c r="T466" s="27" t="s">
        <v>160</v>
      </c>
      <c r="U466" s="124" t="s">
        <v>255</v>
      </c>
      <c r="V466" s="39">
        <v>4</v>
      </c>
      <c r="W466" s="29">
        <v>0</v>
      </c>
      <c r="X466" s="66"/>
      <c r="Y466" s="66"/>
      <c r="Z466" s="29"/>
      <c r="AA466" s="51"/>
      <c r="AB466" s="51"/>
      <c r="AC466" s="122"/>
      <c r="AD466" s="31"/>
      <c r="AE466" s="32" t="s">
        <v>194</v>
      </c>
    </row>
    <row r="467" spans="1:31">
      <c r="A467" s="135">
        <v>3</v>
      </c>
      <c r="B467" s="38" t="s">
        <v>524</v>
      </c>
      <c r="C467" s="122">
        <v>6</v>
      </c>
      <c r="D467" s="122">
        <v>930</v>
      </c>
      <c r="E467" s="33" t="s">
        <v>525</v>
      </c>
      <c r="F467" s="34">
        <v>106</v>
      </c>
      <c r="G467" s="34">
        <v>930117</v>
      </c>
      <c r="H467" s="119">
        <v>8.3475000000000001</v>
      </c>
      <c r="I467" s="101">
        <v>8.3475000000000001</v>
      </c>
      <c r="J467" s="101"/>
      <c r="K467" s="22" t="s">
        <v>148</v>
      </c>
      <c r="L467" s="22" t="s">
        <v>148</v>
      </c>
      <c r="M467" s="23"/>
      <c r="N467" s="122" t="s">
        <v>278</v>
      </c>
      <c r="O467" s="122"/>
      <c r="P467" s="24" t="s">
        <v>526</v>
      </c>
      <c r="Q467" s="25">
        <v>15000</v>
      </c>
      <c r="R467" s="26" t="s">
        <v>527</v>
      </c>
      <c r="S467" s="27"/>
      <c r="T467" s="27" t="s">
        <v>160</v>
      </c>
      <c r="U467" s="124" t="s">
        <v>255</v>
      </c>
      <c r="V467" s="39">
        <v>4</v>
      </c>
      <c r="W467" s="29">
        <v>0</v>
      </c>
      <c r="X467" s="66"/>
      <c r="Y467" s="66"/>
      <c r="Z467" s="29"/>
      <c r="AA467" s="51"/>
      <c r="AB467" s="51"/>
      <c r="AC467" s="122"/>
      <c r="AD467" s="31"/>
      <c r="AE467" s="32" t="s">
        <v>194</v>
      </c>
    </row>
    <row r="468" spans="1:31">
      <c r="A468" s="135">
        <v>3</v>
      </c>
      <c r="B468" s="38" t="s">
        <v>524</v>
      </c>
      <c r="C468" s="122">
        <v>5</v>
      </c>
      <c r="D468" s="122">
        <v>930</v>
      </c>
      <c r="E468" s="33" t="s">
        <v>525</v>
      </c>
      <c r="F468" s="34">
        <v>105</v>
      </c>
      <c r="G468" s="34">
        <v>930118</v>
      </c>
      <c r="H468" s="119">
        <v>23.475000000000001</v>
      </c>
      <c r="I468" s="101">
        <v>23.475000000000001</v>
      </c>
      <c r="J468" s="101"/>
      <c r="K468" s="22" t="s">
        <v>148</v>
      </c>
      <c r="L468" s="22" t="s">
        <v>148</v>
      </c>
      <c r="M468" s="23"/>
      <c r="N468" s="122" t="s">
        <v>278</v>
      </c>
      <c r="O468" s="122"/>
      <c r="P468" s="24" t="s">
        <v>526</v>
      </c>
      <c r="Q468" s="25">
        <v>15000</v>
      </c>
      <c r="R468" s="26" t="s">
        <v>527</v>
      </c>
      <c r="S468" s="27"/>
      <c r="T468" s="27" t="s">
        <v>160</v>
      </c>
      <c r="U468" s="124" t="s">
        <v>255</v>
      </c>
      <c r="V468" s="39">
        <v>4</v>
      </c>
      <c r="W468" s="29">
        <v>0</v>
      </c>
      <c r="X468" s="66"/>
      <c r="Y468" s="66"/>
      <c r="Z468" s="29"/>
      <c r="AA468" s="51"/>
      <c r="AB468" s="51"/>
      <c r="AC468" s="122"/>
      <c r="AD468" s="31"/>
      <c r="AE468" s="32" t="s">
        <v>194</v>
      </c>
    </row>
    <row r="469" spans="1:31">
      <c r="A469" s="135">
        <v>3</v>
      </c>
      <c r="B469" s="38" t="s">
        <v>524</v>
      </c>
      <c r="C469" s="122">
        <v>6</v>
      </c>
      <c r="D469" s="122">
        <v>930</v>
      </c>
      <c r="E469" s="33" t="s">
        <v>525</v>
      </c>
      <c r="F469" s="34">
        <v>108</v>
      </c>
      <c r="G469" s="34">
        <v>930119</v>
      </c>
      <c r="H469" s="119">
        <v>13.05</v>
      </c>
      <c r="I469" s="111">
        <v>13.05</v>
      </c>
      <c r="J469" s="111"/>
      <c r="K469" s="22" t="s">
        <v>148</v>
      </c>
      <c r="L469" s="22" t="s">
        <v>148</v>
      </c>
      <c r="M469" s="23"/>
      <c r="N469" s="122" t="s">
        <v>278</v>
      </c>
      <c r="O469" s="122"/>
      <c r="P469" s="24" t="s">
        <v>526</v>
      </c>
      <c r="Q469" s="25">
        <v>15000</v>
      </c>
      <c r="R469" s="26" t="s">
        <v>527</v>
      </c>
      <c r="S469" s="27"/>
      <c r="T469" s="27" t="s">
        <v>160</v>
      </c>
      <c r="U469" s="124" t="s">
        <v>255</v>
      </c>
      <c r="V469" s="39">
        <v>4</v>
      </c>
      <c r="W469" s="29">
        <v>0</v>
      </c>
      <c r="X469" s="66"/>
      <c r="Y469" s="66"/>
      <c r="Z469" s="29"/>
      <c r="AA469" s="51"/>
      <c r="AB469" s="51"/>
      <c r="AC469" s="21"/>
      <c r="AD469" s="31"/>
      <c r="AE469" s="32" t="s">
        <v>194</v>
      </c>
    </row>
    <row r="470" spans="1:31">
      <c r="A470" s="135">
        <v>3</v>
      </c>
      <c r="B470" s="38" t="s">
        <v>524</v>
      </c>
      <c r="C470" s="122">
        <v>7</v>
      </c>
      <c r="D470" s="122">
        <v>930</v>
      </c>
      <c r="E470" s="33" t="s">
        <v>525</v>
      </c>
      <c r="F470" s="34">
        <v>109</v>
      </c>
      <c r="G470" s="34">
        <v>930120</v>
      </c>
      <c r="H470" s="119">
        <v>15.8225</v>
      </c>
      <c r="I470" s="101">
        <v>15.8225</v>
      </c>
      <c r="J470" s="101"/>
      <c r="K470" s="22" t="s">
        <v>148</v>
      </c>
      <c r="L470" s="22" t="s">
        <v>148</v>
      </c>
      <c r="M470" s="23"/>
      <c r="N470" s="122" t="s">
        <v>278</v>
      </c>
      <c r="O470" s="122"/>
      <c r="P470" s="24" t="s">
        <v>526</v>
      </c>
      <c r="Q470" s="25">
        <v>15000</v>
      </c>
      <c r="R470" s="26" t="s">
        <v>527</v>
      </c>
      <c r="S470" s="27"/>
      <c r="T470" s="27" t="s">
        <v>160</v>
      </c>
      <c r="U470" s="124" t="s">
        <v>255</v>
      </c>
      <c r="V470" s="39">
        <v>4</v>
      </c>
      <c r="W470" s="29">
        <v>0</v>
      </c>
      <c r="X470" s="66"/>
      <c r="Y470" s="66"/>
      <c r="Z470" s="29"/>
      <c r="AA470" s="51"/>
      <c r="AB470" s="51"/>
      <c r="AC470" s="122"/>
      <c r="AD470" s="31"/>
      <c r="AE470" s="32" t="s">
        <v>194</v>
      </c>
    </row>
    <row r="471" spans="1:31">
      <c r="A471" s="135">
        <v>3</v>
      </c>
      <c r="B471" s="38" t="s">
        <v>524</v>
      </c>
      <c r="C471" s="122">
        <v>8</v>
      </c>
      <c r="D471" s="122">
        <v>930</v>
      </c>
      <c r="E471" s="33" t="s">
        <v>525</v>
      </c>
      <c r="F471" s="34">
        <v>110</v>
      </c>
      <c r="G471" s="34">
        <v>930121</v>
      </c>
      <c r="H471" s="119">
        <v>2.1</v>
      </c>
      <c r="I471" s="101">
        <v>2.1</v>
      </c>
      <c r="J471" s="101"/>
      <c r="K471" s="22" t="s">
        <v>148</v>
      </c>
      <c r="L471" s="22" t="s">
        <v>148</v>
      </c>
      <c r="M471" s="23"/>
      <c r="N471" s="122" t="s">
        <v>278</v>
      </c>
      <c r="O471" s="122"/>
      <c r="P471" s="24" t="s">
        <v>526</v>
      </c>
      <c r="Q471" s="25">
        <v>15000</v>
      </c>
      <c r="R471" s="26" t="s">
        <v>527</v>
      </c>
      <c r="S471" s="27"/>
      <c r="T471" s="27" t="s">
        <v>160</v>
      </c>
      <c r="U471" s="124" t="s">
        <v>255</v>
      </c>
      <c r="V471" s="39">
        <v>4</v>
      </c>
      <c r="W471" s="29">
        <v>0</v>
      </c>
      <c r="X471" s="66"/>
      <c r="Y471" s="66"/>
      <c r="Z471" s="29"/>
      <c r="AA471" s="51"/>
      <c r="AB471" s="51"/>
      <c r="AC471" s="21"/>
      <c r="AD471" s="31"/>
      <c r="AE471" s="32" t="s">
        <v>194</v>
      </c>
    </row>
    <row r="472" spans="1:31">
      <c r="A472" s="135">
        <v>3</v>
      </c>
      <c r="B472" s="38" t="s">
        <v>524</v>
      </c>
      <c r="C472" s="122">
        <v>9</v>
      </c>
      <c r="D472" s="122">
        <v>930</v>
      </c>
      <c r="E472" s="33" t="s">
        <v>193</v>
      </c>
      <c r="F472" s="34">
        <v>101</v>
      </c>
      <c r="G472" s="34">
        <v>930101</v>
      </c>
      <c r="H472" s="119">
        <v>49.35</v>
      </c>
      <c r="I472" s="101"/>
      <c r="J472" s="101">
        <v>49.35</v>
      </c>
      <c r="K472" s="22" t="s">
        <v>137</v>
      </c>
      <c r="L472" s="11" t="s">
        <v>138</v>
      </c>
      <c r="M472" s="23" t="s">
        <v>528</v>
      </c>
      <c r="N472" s="122" t="s">
        <v>140</v>
      </c>
      <c r="O472" s="122">
        <v>4</v>
      </c>
      <c r="P472" s="24" t="s">
        <v>529</v>
      </c>
      <c r="Q472" s="25">
        <v>33000</v>
      </c>
      <c r="R472" s="26" t="s">
        <v>530</v>
      </c>
      <c r="S472" s="27" t="s">
        <v>159</v>
      </c>
      <c r="T472" s="27" t="s">
        <v>493</v>
      </c>
      <c r="U472" s="124" t="s">
        <v>140</v>
      </c>
      <c r="V472" s="39">
        <v>6</v>
      </c>
      <c r="W472" s="29">
        <v>14805</v>
      </c>
      <c r="X472" s="50" t="s">
        <v>531</v>
      </c>
      <c r="Y472" s="50"/>
      <c r="Z472" s="30">
        <v>49.35</v>
      </c>
      <c r="AA472" s="51" t="s">
        <v>532</v>
      </c>
      <c r="AB472" s="51"/>
      <c r="AC472" s="122" t="s">
        <v>155</v>
      </c>
      <c r="AD472" s="32">
        <v>1.85</v>
      </c>
      <c r="AE472" s="32" t="s">
        <v>147</v>
      </c>
    </row>
    <row r="473" spans="1:31">
      <c r="A473" s="135">
        <v>3</v>
      </c>
      <c r="B473" s="38" t="s">
        <v>524</v>
      </c>
      <c r="C473" s="122">
        <v>10</v>
      </c>
      <c r="D473" s="122">
        <v>930</v>
      </c>
      <c r="E473" s="33" t="s">
        <v>193</v>
      </c>
      <c r="F473" s="34">
        <v>102</v>
      </c>
      <c r="G473" s="34">
        <v>930102</v>
      </c>
      <c r="H473" s="119">
        <v>19.649999999999999</v>
      </c>
      <c r="I473" s="100"/>
      <c r="J473" s="101">
        <v>19.649999999999999</v>
      </c>
      <c r="K473" s="22" t="s">
        <v>137</v>
      </c>
      <c r="L473" s="11" t="s">
        <v>138</v>
      </c>
      <c r="M473" s="23" t="s">
        <v>149</v>
      </c>
      <c r="N473" s="122" t="s">
        <v>140</v>
      </c>
      <c r="O473" s="122">
        <v>4</v>
      </c>
      <c r="P473" s="24" t="s">
        <v>529</v>
      </c>
      <c r="Q473" s="25">
        <v>33000</v>
      </c>
      <c r="R473" s="26" t="s">
        <v>530</v>
      </c>
      <c r="S473" s="27" t="s">
        <v>159</v>
      </c>
      <c r="T473" s="27" t="s">
        <v>493</v>
      </c>
      <c r="U473" s="124" t="s">
        <v>140</v>
      </c>
      <c r="V473" s="39">
        <v>6</v>
      </c>
      <c r="W473" s="29">
        <v>5895</v>
      </c>
      <c r="X473" s="50" t="s">
        <v>531</v>
      </c>
      <c r="Y473" s="50"/>
      <c r="Z473" s="30">
        <v>19.649999999999999</v>
      </c>
      <c r="AA473" s="51" t="s">
        <v>532</v>
      </c>
      <c r="AB473" s="51"/>
      <c r="AC473" s="122" t="s">
        <v>155</v>
      </c>
      <c r="AD473" s="32">
        <v>1.85</v>
      </c>
      <c r="AE473" s="32" t="s">
        <v>147</v>
      </c>
    </row>
    <row r="474" spans="1:31">
      <c r="A474" s="135">
        <v>3</v>
      </c>
      <c r="B474" s="38" t="s">
        <v>524</v>
      </c>
      <c r="C474" s="122">
        <v>11</v>
      </c>
      <c r="D474" s="122">
        <v>930</v>
      </c>
      <c r="E474" s="33" t="s">
        <v>193</v>
      </c>
      <c r="F474" s="34">
        <v>103</v>
      </c>
      <c r="G474" s="34">
        <v>930103</v>
      </c>
      <c r="H474" s="119">
        <v>64.92</v>
      </c>
      <c r="I474" s="101"/>
      <c r="J474" s="101">
        <v>64.92</v>
      </c>
      <c r="K474" s="22" t="s">
        <v>137</v>
      </c>
      <c r="L474" s="11" t="s">
        <v>138</v>
      </c>
      <c r="M474" s="23" t="s">
        <v>533</v>
      </c>
      <c r="N474" s="122" t="s">
        <v>140</v>
      </c>
      <c r="O474" s="122">
        <v>4</v>
      </c>
      <c r="P474" s="24" t="s">
        <v>534</v>
      </c>
      <c r="Q474" s="25">
        <v>59000</v>
      </c>
      <c r="R474" s="26" t="s">
        <v>530</v>
      </c>
      <c r="S474" s="27" t="s">
        <v>535</v>
      </c>
      <c r="T474" s="27" t="s">
        <v>493</v>
      </c>
      <c r="U474" s="124" t="s">
        <v>140</v>
      </c>
      <c r="V474" s="39">
        <v>6</v>
      </c>
      <c r="W474" s="29">
        <v>19476</v>
      </c>
      <c r="X474" s="50" t="s">
        <v>531</v>
      </c>
      <c r="Y474" s="50"/>
      <c r="Z474" s="30">
        <v>64.92</v>
      </c>
      <c r="AA474" s="51" t="s">
        <v>532</v>
      </c>
      <c r="AB474" s="51"/>
      <c r="AC474" s="122" t="s">
        <v>155</v>
      </c>
      <c r="AD474" s="32">
        <v>1.85</v>
      </c>
      <c r="AE474" s="32" t="s">
        <v>147</v>
      </c>
    </row>
    <row r="475" spans="1:31">
      <c r="A475" s="135">
        <v>3</v>
      </c>
      <c r="B475" s="38" t="s">
        <v>524</v>
      </c>
      <c r="C475" s="122">
        <v>12</v>
      </c>
      <c r="D475" s="122">
        <v>930</v>
      </c>
      <c r="E475" s="33" t="s">
        <v>193</v>
      </c>
      <c r="F475" s="34">
        <v>104</v>
      </c>
      <c r="G475" s="34">
        <v>930104</v>
      </c>
      <c r="H475" s="119">
        <v>22.23</v>
      </c>
      <c r="I475" s="101"/>
      <c r="J475" s="111">
        <v>22.23</v>
      </c>
      <c r="K475" s="125" t="s">
        <v>137</v>
      </c>
      <c r="L475" s="11" t="s">
        <v>138</v>
      </c>
      <c r="M475" s="23" t="s">
        <v>511</v>
      </c>
      <c r="N475" s="122" t="s">
        <v>140</v>
      </c>
      <c r="O475" s="122">
        <v>4</v>
      </c>
      <c r="P475" s="24" t="s">
        <v>534</v>
      </c>
      <c r="Q475" s="25">
        <v>59000</v>
      </c>
      <c r="R475" s="26" t="s">
        <v>530</v>
      </c>
      <c r="S475" s="27" t="s">
        <v>535</v>
      </c>
      <c r="T475" s="27" t="s">
        <v>493</v>
      </c>
      <c r="U475" s="124" t="s">
        <v>140</v>
      </c>
      <c r="V475" s="39">
        <v>6</v>
      </c>
      <c r="W475" s="29">
        <v>6669</v>
      </c>
      <c r="X475" s="50" t="s">
        <v>531</v>
      </c>
      <c r="Y475" s="50"/>
      <c r="Z475" s="30">
        <v>22.23</v>
      </c>
      <c r="AA475" s="51" t="s">
        <v>532</v>
      </c>
      <c r="AB475" s="51"/>
      <c r="AC475" s="122" t="s">
        <v>155</v>
      </c>
      <c r="AD475" s="32">
        <v>1.85</v>
      </c>
      <c r="AE475" s="32" t="s">
        <v>147</v>
      </c>
    </row>
    <row r="476" spans="1:31">
      <c r="A476" s="135">
        <v>3</v>
      </c>
      <c r="B476" s="38" t="s">
        <v>524</v>
      </c>
      <c r="C476" s="122">
        <v>13</v>
      </c>
      <c r="D476" s="122">
        <v>930</v>
      </c>
      <c r="E476" s="33" t="s">
        <v>193</v>
      </c>
      <c r="F476" s="34">
        <v>105</v>
      </c>
      <c r="G476" s="34">
        <v>930105</v>
      </c>
      <c r="H476" s="119">
        <v>17.91</v>
      </c>
      <c r="I476" s="100"/>
      <c r="J476" s="101">
        <v>17.91</v>
      </c>
      <c r="K476" s="58" t="s">
        <v>170</v>
      </c>
      <c r="L476" s="6" t="s">
        <v>86</v>
      </c>
      <c r="M476" s="23" t="s">
        <v>496</v>
      </c>
      <c r="N476" s="122" t="s">
        <v>140</v>
      </c>
      <c r="O476" s="122">
        <v>4</v>
      </c>
      <c r="P476" s="24" t="s">
        <v>534</v>
      </c>
      <c r="Q476" s="25">
        <v>59000</v>
      </c>
      <c r="R476" s="26" t="s">
        <v>530</v>
      </c>
      <c r="S476" s="27" t="s">
        <v>535</v>
      </c>
      <c r="T476" s="27" t="s">
        <v>493</v>
      </c>
      <c r="U476" s="124" t="s">
        <v>140</v>
      </c>
      <c r="V476" s="39">
        <v>6</v>
      </c>
      <c r="W476" s="29">
        <v>5373</v>
      </c>
      <c r="X476" s="50" t="s">
        <v>531</v>
      </c>
      <c r="Y476" s="50"/>
      <c r="Z476" s="30">
        <v>17.91</v>
      </c>
      <c r="AA476" s="51" t="s">
        <v>532</v>
      </c>
      <c r="AB476" s="51"/>
      <c r="AC476" s="122" t="s">
        <v>155</v>
      </c>
      <c r="AD476" s="32">
        <v>1.85</v>
      </c>
      <c r="AE476" s="32" t="s">
        <v>147</v>
      </c>
    </row>
    <row r="477" spans="1:31">
      <c r="A477" s="135">
        <v>3</v>
      </c>
      <c r="B477" s="38" t="s">
        <v>524</v>
      </c>
      <c r="C477" s="122">
        <v>14</v>
      </c>
      <c r="D477" s="122">
        <v>930</v>
      </c>
      <c r="E477" s="33" t="s">
        <v>193</v>
      </c>
      <c r="F477" s="34">
        <v>106</v>
      </c>
      <c r="G477" s="34">
        <v>930106</v>
      </c>
      <c r="H477" s="119">
        <v>43.87</v>
      </c>
      <c r="I477" s="101"/>
      <c r="J477" s="101">
        <v>43.87</v>
      </c>
      <c r="K477" s="22" t="s">
        <v>137</v>
      </c>
      <c r="L477" s="11" t="s">
        <v>138</v>
      </c>
      <c r="M477" s="23" t="s">
        <v>256</v>
      </c>
      <c r="N477" s="122" t="s">
        <v>140</v>
      </c>
      <c r="O477" s="122">
        <v>4</v>
      </c>
      <c r="P477" s="24" t="s">
        <v>534</v>
      </c>
      <c r="Q477" s="25">
        <v>59000</v>
      </c>
      <c r="R477" s="26" t="s">
        <v>530</v>
      </c>
      <c r="S477" s="27" t="s">
        <v>535</v>
      </c>
      <c r="T477" s="27" t="s">
        <v>493</v>
      </c>
      <c r="U477" s="124" t="s">
        <v>140</v>
      </c>
      <c r="V477" s="39">
        <v>6</v>
      </c>
      <c r="W477" s="29">
        <v>13161</v>
      </c>
      <c r="X477" s="50" t="s">
        <v>531</v>
      </c>
      <c r="Y477" s="50"/>
      <c r="Z477" s="30">
        <v>43.87</v>
      </c>
      <c r="AA477" s="51" t="s">
        <v>532</v>
      </c>
      <c r="AB477" s="51"/>
      <c r="AC477" s="21" t="s">
        <v>155</v>
      </c>
      <c r="AD477" s="31">
        <v>1.85</v>
      </c>
      <c r="AE477" s="32" t="s">
        <v>147</v>
      </c>
    </row>
    <row r="478" spans="1:31">
      <c r="A478" s="135">
        <v>3</v>
      </c>
      <c r="B478" s="38" t="s">
        <v>524</v>
      </c>
      <c r="C478" s="122">
        <v>15</v>
      </c>
      <c r="D478" s="122">
        <v>930</v>
      </c>
      <c r="E478" s="33" t="s">
        <v>193</v>
      </c>
      <c r="F478" s="34"/>
      <c r="G478" s="34">
        <v>930106.1</v>
      </c>
      <c r="H478" s="119">
        <v>20</v>
      </c>
      <c r="I478" s="101"/>
      <c r="J478" s="101">
        <v>20</v>
      </c>
      <c r="K478" s="58" t="s">
        <v>170</v>
      </c>
      <c r="L478" s="6" t="s">
        <v>86</v>
      </c>
      <c r="M478" s="23"/>
      <c r="N478" s="122"/>
      <c r="O478" s="122"/>
      <c r="P478" s="24" t="s">
        <v>534</v>
      </c>
      <c r="Q478" s="25">
        <v>59000</v>
      </c>
      <c r="R478" s="26" t="s">
        <v>530</v>
      </c>
      <c r="S478" s="27" t="s">
        <v>535</v>
      </c>
      <c r="T478" s="27" t="s">
        <v>493</v>
      </c>
      <c r="U478" s="124" t="s">
        <v>140</v>
      </c>
      <c r="V478" s="39">
        <v>6</v>
      </c>
      <c r="W478" s="29">
        <v>6000</v>
      </c>
      <c r="X478" s="50" t="s">
        <v>531</v>
      </c>
      <c r="Y478" s="50"/>
      <c r="Z478" s="30">
        <v>20</v>
      </c>
      <c r="AA478" s="51" t="s">
        <v>532</v>
      </c>
      <c r="AB478" s="51"/>
      <c r="AC478" s="21"/>
      <c r="AD478" s="31"/>
      <c r="AE478" s="32" t="s">
        <v>147</v>
      </c>
    </row>
    <row r="479" spans="1:31">
      <c r="A479" s="135">
        <v>3</v>
      </c>
      <c r="B479" s="38" t="s">
        <v>524</v>
      </c>
      <c r="C479" s="122">
        <v>16</v>
      </c>
      <c r="D479" s="122">
        <v>930</v>
      </c>
      <c r="E479" s="33" t="s">
        <v>193</v>
      </c>
      <c r="F479" s="34">
        <v>107</v>
      </c>
      <c r="G479" s="34">
        <v>930107</v>
      </c>
      <c r="H479" s="119">
        <v>12.53</v>
      </c>
      <c r="I479" s="101"/>
      <c r="J479" s="101">
        <v>12.53</v>
      </c>
      <c r="K479" s="58" t="s">
        <v>170</v>
      </c>
      <c r="L479" s="11" t="s">
        <v>86</v>
      </c>
      <c r="M479" s="23" t="s">
        <v>185</v>
      </c>
      <c r="N479" s="122" t="s">
        <v>140</v>
      </c>
      <c r="O479" s="122">
        <v>4</v>
      </c>
      <c r="P479" s="24" t="s">
        <v>534</v>
      </c>
      <c r="Q479" s="25">
        <v>59000</v>
      </c>
      <c r="R479" s="26" t="s">
        <v>530</v>
      </c>
      <c r="S479" s="27" t="s">
        <v>535</v>
      </c>
      <c r="T479" s="27" t="s">
        <v>493</v>
      </c>
      <c r="U479" s="124" t="s">
        <v>140</v>
      </c>
      <c r="V479" s="39">
        <v>6</v>
      </c>
      <c r="W479" s="29">
        <v>3759</v>
      </c>
      <c r="X479" s="50" t="s">
        <v>531</v>
      </c>
      <c r="Y479" s="50"/>
      <c r="Z479" s="30">
        <v>12.53</v>
      </c>
      <c r="AA479" s="51" t="s">
        <v>532</v>
      </c>
      <c r="AB479" s="51"/>
      <c r="AC479" s="21" t="s">
        <v>155</v>
      </c>
      <c r="AD479" s="31">
        <v>1.85</v>
      </c>
      <c r="AE479" s="32" t="s">
        <v>147</v>
      </c>
    </row>
    <row r="480" spans="1:31">
      <c r="A480" s="135">
        <v>3</v>
      </c>
      <c r="B480" s="38" t="s">
        <v>524</v>
      </c>
      <c r="C480" s="122">
        <v>17</v>
      </c>
      <c r="D480" s="122">
        <v>930</v>
      </c>
      <c r="E480" s="33" t="s">
        <v>193</v>
      </c>
      <c r="F480" s="34">
        <v>108</v>
      </c>
      <c r="G480" s="34">
        <v>930108</v>
      </c>
      <c r="H480" s="119">
        <v>6.25</v>
      </c>
      <c r="I480" s="100"/>
      <c r="J480" s="101">
        <v>6.25</v>
      </c>
      <c r="K480" s="22" t="s">
        <v>172</v>
      </c>
      <c r="L480" s="11" t="s">
        <v>86</v>
      </c>
      <c r="M480" s="23"/>
      <c r="N480" s="122" t="s">
        <v>140</v>
      </c>
      <c r="O480" s="122">
        <v>4</v>
      </c>
      <c r="P480" s="24" t="s">
        <v>534</v>
      </c>
      <c r="Q480" s="25">
        <v>59000</v>
      </c>
      <c r="R480" s="26" t="s">
        <v>530</v>
      </c>
      <c r="S480" s="27" t="s">
        <v>535</v>
      </c>
      <c r="T480" s="27" t="s">
        <v>493</v>
      </c>
      <c r="U480" s="124" t="s">
        <v>140</v>
      </c>
      <c r="V480" s="39">
        <v>6</v>
      </c>
      <c r="W480" s="29">
        <v>1875</v>
      </c>
      <c r="X480" s="50" t="s">
        <v>531</v>
      </c>
      <c r="Y480" s="50"/>
      <c r="Z480" s="30">
        <v>6.25</v>
      </c>
      <c r="AA480" s="51" t="s">
        <v>532</v>
      </c>
      <c r="AB480" s="51"/>
      <c r="AC480" s="122"/>
      <c r="AD480" s="32"/>
      <c r="AE480" s="32" t="s">
        <v>147</v>
      </c>
    </row>
    <row r="481" spans="1:31">
      <c r="A481" s="135">
        <v>3</v>
      </c>
      <c r="B481" s="38" t="s">
        <v>524</v>
      </c>
      <c r="C481" s="122">
        <v>18</v>
      </c>
      <c r="D481" s="122">
        <v>930</v>
      </c>
      <c r="E481" s="33" t="s">
        <v>193</v>
      </c>
      <c r="F481" s="34">
        <v>109</v>
      </c>
      <c r="G481" s="34">
        <v>930109</v>
      </c>
      <c r="H481" s="119">
        <v>90.625</v>
      </c>
      <c r="I481" s="100"/>
      <c r="J481" s="111">
        <v>90.625</v>
      </c>
      <c r="K481" s="22" t="s">
        <v>172</v>
      </c>
      <c r="L481" s="11" t="s">
        <v>86</v>
      </c>
      <c r="M481" s="23"/>
      <c r="N481" s="122" t="s">
        <v>140</v>
      </c>
      <c r="O481" s="122">
        <v>4</v>
      </c>
      <c r="P481" s="24" t="s">
        <v>534</v>
      </c>
      <c r="Q481" s="25">
        <v>59000</v>
      </c>
      <c r="R481" s="26" t="s">
        <v>530</v>
      </c>
      <c r="S481" s="27" t="s">
        <v>535</v>
      </c>
      <c r="T481" s="27" t="s">
        <v>493</v>
      </c>
      <c r="U481" s="124" t="s">
        <v>140</v>
      </c>
      <c r="V481" s="39">
        <v>6</v>
      </c>
      <c r="W481" s="29">
        <v>27187.5</v>
      </c>
      <c r="X481" s="50" t="s">
        <v>531</v>
      </c>
      <c r="Y481" s="50"/>
      <c r="Z481" s="30">
        <v>90.625</v>
      </c>
      <c r="AA481" s="51" t="s">
        <v>532</v>
      </c>
      <c r="AB481" s="51"/>
      <c r="AC481" s="122"/>
      <c r="AD481" s="32"/>
      <c r="AE481" s="32" t="s">
        <v>147</v>
      </c>
    </row>
    <row r="482" spans="1:31">
      <c r="A482" s="135">
        <v>3</v>
      </c>
      <c r="B482" s="38" t="s">
        <v>524</v>
      </c>
      <c r="C482" s="122">
        <v>19</v>
      </c>
      <c r="D482" s="122">
        <v>930</v>
      </c>
      <c r="E482" s="33" t="s">
        <v>193</v>
      </c>
      <c r="F482" s="34">
        <v>110</v>
      </c>
      <c r="G482" s="34">
        <v>930110</v>
      </c>
      <c r="H482" s="119">
        <v>24.875</v>
      </c>
      <c r="I482" s="100"/>
      <c r="J482" s="111">
        <v>24.875</v>
      </c>
      <c r="K482" s="22" t="s">
        <v>172</v>
      </c>
      <c r="L482" s="11" t="s">
        <v>86</v>
      </c>
      <c r="M482" s="23"/>
      <c r="N482" s="122" t="s">
        <v>140</v>
      </c>
      <c r="O482" s="122">
        <v>4</v>
      </c>
      <c r="P482" s="24" t="s">
        <v>534</v>
      </c>
      <c r="Q482" s="25">
        <v>59000</v>
      </c>
      <c r="R482" s="26" t="s">
        <v>530</v>
      </c>
      <c r="S482" s="27" t="s">
        <v>535</v>
      </c>
      <c r="T482" s="27" t="s">
        <v>493</v>
      </c>
      <c r="U482" s="124" t="s">
        <v>140</v>
      </c>
      <c r="V482" s="39">
        <v>6</v>
      </c>
      <c r="W482" s="29">
        <v>7462.5</v>
      </c>
      <c r="X482" s="50" t="s">
        <v>531</v>
      </c>
      <c r="Y482" s="50"/>
      <c r="Z482" s="30">
        <v>24.875</v>
      </c>
      <c r="AA482" s="51" t="s">
        <v>532</v>
      </c>
      <c r="AB482" s="51"/>
      <c r="AC482" s="122"/>
      <c r="AD482" s="31"/>
      <c r="AE482" s="32" t="s">
        <v>147</v>
      </c>
    </row>
    <row r="483" spans="1:31">
      <c r="A483" s="135">
        <v>3</v>
      </c>
      <c r="B483" s="38" t="s">
        <v>524</v>
      </c>
      <c r="C483" s="122">
        <v>20</v>
      </c>
      <c r="D483" s="122">
        <v>930</v>
      </c>
      <c r="E483" s="33" t="s">
        <v>193</v>
      </c>
      <c r="F483" s="34">
        <v>111</v>
      </c>
      <c r="G483" s="34">
        <v>930111</v>
      </c>
      <c r="H483" s="119">
        <v>27.99</v>
      </c>
      <c r="I483" s="100"/>
      <c r="J483" s="101">
        <v>27.99</v>
      </c>
      <c r="K483" s="22" t="s">
        <v>172</v>
      </c>
      <c r="L483" s="11" t="s">
        <v>86</v>
      </c>
      <c r="M483" s="23"/>
      <c r="N483" s="122" t="s">
        <v>140</v>
      </c>
      <c r="O483" s="122">
        <v>4</v>
      </c>
      <c r="P483" s="24" t="s">
        <v>534</v>
      </c>
      <c r="Q483" s="25">
        <v>59000</v>
      </c>
      <c r="R483" s="26" t="s">
        <v>530</v>
      </c>
      <c r="S483" s="27" t="s">
        <v>535</v>
      </c>
      <c r="T483" s="27" t="s">
        <v>493</v>
      </c>
      <c r="U483" s="124" t="s">
        <v>140</v>
      </c>
      <c r="V483" s="39">
        <v>6</v>
      </c>
      <c r="W483" s="29">
        <v>8397</v>
      </c>
      <c r="X483" s="50" t="s">
        <v>531</v>
      </c>
      <c r="Y483" s="50"/>
      <c r="Z483" s="30">
        <v>27.99</v>
      </c>
      <c r="AA483" s="51" t="s">
        <v>532</v>
      </c>
      <c r="AB483" s="51"/>
      <c r="AC483" s="122"/>
      <c r="AD483" s="32"/>
      <c r="AE483" s="32" t="s">
        <v>147</v>
      </c>
    </row>
    <row r="484" spans="1:31">
      <c r="A484" s="135">
        <v>3</v>
      </c>
      <c r="B484" s="38" t="s">
        <v>536</v>
      </c>
      <c r="C484" s="122">
        <v>1</v>
      </c>
      <c r="D484" s="122">
        <v>926</v>
      </c>
      <c r="E484" s="33">
        <v>805701</v>
      </c>
      <c r="F484" s="34">
        <v>101</v>
      </c>
      <c r="G484" s="34">
        <v>926101</v>
      </c>
      <c r="H484" s="119">
        <v>35.19</v>
      </c>
      <c r="I484" s="101"/>
      <c r="J484" s="101">
        <v>35.19</v>
      </c>
      <c r="K484" s="22" t="s">
        <v>137</v>
      </c>
      <c r="L484" s="11" t="s">
        <v>138</v>
      </c>
      <c r="M484" s="23" t="s">
        <v>181</v>
      </c>
      <c r="N484" s="122" t="s">
        <v>140</v>
      </c>
      <c r="O484" s="122">
        <v>4</v>
      </c>
      <c r="P484" s="24" t="s">
        <v>538</v>
      </c>
      <c r="Q484" s="25">
        <v>16000</v>
      </c>
      <c r="R484" s="26" t="s">
        <v>142</v>
      </c>
      <c r="S484" s="27" t="s">
        <v>143</v>
      </c>
      <c r="T484" s="27" t="s">
        <v>160</v>
      </c>
      <c r="U484" s="124" t="s">
        <v>140</v>
      </c>
      <c r="V484" s="39">
        <v>6</v>
      </c>
      <c r="W484" s="29">
        <v>10557</v>
      </c>
      <c r="X484" s="29" t="s">
        <v>539</v>
      </c>
      <c r="Y484" s="29"/>
      <c r="Z484" s="30">
        <v>35.19</v>
      </c>
      <c r="AA484" s="136" t="s">
        <v>540</v>
      </c>
      <c r="AB484" s="136"/>
      <c r="AC484" s="122" t="s">
        <v>146</v>
      </c>
      <c r="AD484" s="32">
        <v>1.75</v>
      </c>
      <c r="AE484" s="32" t="s">
        <v>147</v>
      </c>
    </row>
    <row r="485" spans="1:31">
      <c r="A485" s="135">
        <v>3</v>
      </c>
      <c r="B485" s="38" t="s">
        <v>536</v>
      </c>
      <c r="C485" s="122">
        <v>2</v>
      </c>
      <c r="D485" s="122">
        <v>926</v>
      </c>
      <c r="E485" s="33">
        <v>805703</v>
      </c>
      <c r="F485" s="34">
        <v>102</v>
      </c>
      <c r="G485" s="34">
        <v>926102</v>
      </c>
      <c r="H485" s="119">
        <v>3.24</v>
      </c>
      <c r="I485" s="101"/>
      <c r="J485" s="101">
        <v>3.24</v>
      </c>
      <c r="K485" s="22" t="s">
        <v>137</v>
      </c>
      <c r="L485" s="11" t="s">
        <v>138</v>
      </c>
      <c r="M485" s="23" t="s">
        <v>184</v>
      </c>
      <c r="N485" s="122" t="s">
        <v>140</v>
      </c>
      <c r="O485" s="122">
        <v>4</v>
      </c>
      <c r="P485" s="24" t="s">
        <v>541</v>
      </c>
      <c r="Q485" s="25">
        <v>20000</v>
      </c>
      <c r="R485" s="26" t="s">
        <v>358</v>
      </c>
      <c r="S485" s="27" t="s">
        <v>206</v>
      </c>
      <c r="T485" s="27" t="s">
        <v>144</v>
      </c>
      <c r="U485" s="124" t="s">
        <v>140</v>
      </c>
      <c r="V485" s="39">
        <v>6</v>
      </c>
      <c r="W485" s="29">
        <v>972.00000000000011</v>
      </c>
      <c r="X485" s="29" t="s">
        <v>542</v>
      </c>
      <c r="Y485" s="29"/>
      <c r="Z485" s="30">
        <v>3.24</v>
      </c>
      <c r="AA485" s="136" t="s">
        <v>543</v>
      </c>
      <c r="AB485" s="136">
        <v>5</v>
      </c>
      <c r="AC485" s="122" t="s">
        <v>155</v>
      </c>
      <c r="AD485" s="32">
        <v>1.85</v>
      </c>
      <c r="AE485" s="32" t="s">
        <v>147</v>
      </c>
    </row>
    <row r="486" spans="1:31">
      <c r="A486" s="135">
        <v>3</v>
      </c>
      <c r="B486" s="38" t="s">
        <v>536</v>
      </c>
      <c r="C486" s="122">
        <v>3</v>
      </c>
      <c r="D486" s="122">
        <v>926</v>
      </c>
      <c r="E486" s="33">
        <v>805704</v>
      </c>
      <c r="F486" s="34">
        <v>103</v>
      </c>
      <c r="G486" s="34">
        <v>926103</v>
      </c>
      <c r="H486" s="119">
        <v>31.02</v>
      </c>
      <c r="I486" s="101"/>
      <c r="J486" s="101">
        <v>31.02</v>
      </c>
      <c r="K486" s="125" t="s">
        <v>170</v>
      </c>
      <c r="L486" s="11" t="s">
        <v>86</v>
      </c>
      <c r="M486" s="23" t="s">
        <v>149</v>
      </c>
      <c r="N486" s="122" t="s">
        <v>140</v>
      </c>
      <c r="O486" s="122">
        <v>4</v>
      </c>
      <c r="P486" s="24" t="s">
        <v>541</v>
      </c>
      <c r="Q486" s="25">
        <v>20000</v>
      </c>
      <c r="R486" s="26" t="s">
        <v>358</v>
      </c>
      <c r="S486" s="27" t="s">
        <v>206</v>
      </c>
      <c r="T486" s="27" t="s">
        <v>144</v>
      </c>
      <c r="U486" s="124" t="s">
        <v>140</v>
      </c>
      <c r="V486" s="39">
        <v>6</v>
      </c>
      <c r="W486" s="29">
        <v>9306</v>
      </c>
      <c r="X486" s="29" t="s">
        <v>542</v>
      </c>
      <c r="Y486" s="29"/>
      <c r="Z486" s="30">
        <v>31.02</v>
      </c>
      <c r="AA486" s="136" t="s">
        <v>543</v>
      </c>
      <c r="AB486" s="136">
        <v>5</v>
      </c>
      <c r="AC486" s="122" t="s">
        <v>146</v>
      </c>
      <c r="AD486" s="32">
        <v>1.85</v>
      </c>
      <c r="AE486" s="32" t="s">
        <v>147</v>
      </c>
    </row>
    <row r="487" spans="1:31">
      <c r="A487" s="135">
        <v>3</v>
      </c>
      <c r="B487" s="38" t="s">
        <v>536</v>
      </c>
      <c r="C487" s="122">
        <v>4</v>
      </c>
      <c r="D487" s="122">
        <v>926</v>
      </c>
      <c r="E487" s="33">
        <v>805736</v>
      </c>
      <c r="F487" s="34">
        <v>104</v>
      </c>
      <c r="G487" s="34">
        <v>926104</v>
      </c>
      <c r="H487" s="119">
        <v>30.94</v>
      </c>
      <c r="I487" s="101"/>
      <c r="J487" s="101">
        <v>30.94</v>
      </c>
      <c r="K487" s="125" t="s">
        <v>170</v>
      </c>
      <c r="L487" s="11" t="s">
        <v>86</v>
      </c>
      <c r="M487" s="23" t="s">
        <v>178</v>
      </c>
      <c r="N487" s="122" t="s">
        <v>140</v>
      </c>
      <c r="O487" s="122">
        <v>4</v>
      </c>
      <c r="P487" s="24" t="s">
        <v>541</v>
      </c>
      <c r="Q487" s="25">
        <v>20000</v>
      </c>
      <c r="R487" s="26" t="s">
        <v>358</v>
      </c>
      <c r="S487" s="27" t="s">
        <v>206</v>
      </c>
      <c r="T487" s="27" t="s">
        <v>144</v>
      </c>
      <c r="U487" s="124" t="s">
        <v>140</v>
      </c>
      <c r="V487" s="39">
        <v>6</v>
      </c>
      <c r="W487" s="29">
        <v>9282</v>
      </c>
      <c r="X487" s="29" t="s">
        <v>542</v>
      </c>
      <c r="Y487" s="29"/>
      <c r="Z487" s="30">
        <v>30.94</v>
      </c>
      <c r="AA487" s="136" t="s">
        <v>543</v>
      </c>
      <c r="AB487" s="136">
        <v>5</v>
      </c>
      <c r="AC487" s="122" t="s">
        <v>155</v>
      </c>
      <c r="AD487" s="32">
        <v>1.85</v>
      </c>
      <c r="AE487" s="32" t="s">
        <v>147</v>
      </c>
    </row>
    <row r="488" spans="1:31">
      <c r="A488" s="135">
        <v>3</v>
      </c>
      <c r="B488" s="38" t="s">
        <v>536</v>
      </c>
      <c r="C488" s="122">
        <v>5</v>
      </c>
      <c r="D488" s="122">
        <v>926</v>
      </c>
      <c r="E488" s="33">
        <v>805709</v>
      </c>
      <c r="F488" s="34">
        <v>105</v>
      </c>
      <c r="G488" s="34">
        <v>926105</v>
      </c>
      <c r="H488" s="119">
        <v>11.34</v>
      </c>
      <c r="I488" s="101"/>
      <c r="J488" s="101">
        <v>11.34</v>
      </c>
      <c r="K488" s="125" t="s">
        <v>137</v>
      </c>
      <c r="L488" s="11" t="s">
        <v>138</v>
      </c>
      <c r="M488" s="23" t="s">
        <v>184</v>
      </c>
      <c r="N488" s="122" t="s">
        <v>140</v>
      </c>
      <c r="O488" s="122">
        <v>4</v>
      </c>
      <c r="P488" s="24" t="s">
        <v>544</v>
      </c>
      <c r="Q488" s="25">
        <v>3700</v>
      </c>
      <c r="R488" s="26" t="s">
        <v>545</v>
      </c>
      <c r="S488" s="27" t="s">
        <v>308</v>
      </c>
      <c r="T488" s="27" t="s">
        <v>144</v>
      </c>
      <c r="U488" s="124" t="s">
        <v>255</v>
      </c>
      <c r="V488" s="39">
        <v>2</v>
      </c>
      <c r="W488" s="29">
        <v>1134</v>
      </c>
      <c r="X488" s="29" t="s">
        <v>539</v>
      </c>
      <c r="Y488" s="29"/>
      <c r="Z488" s="30">
        <v>11.34</v>
      </c>
      <c r="AA488" s="136" t="s">
        <v>546</v>
      </c>
      <c r="AB488" s="136"/>
      <c r="AC488" s="122" t="s">
        <v>155</v>
      </c>
      <c r="AD488" s="32">
        <v>1.85</v>
      </c>
      <c r="AE488" s="32" t="s">
        <v>147</v>
      </c>
    </row>
    <row r="489" spans="1:31">
      <c r="A489" s="135">
        <v>3</v>
      </c>
      <c r="B489" s="38" t="s">
        <v>536</v>
      </c>
      <c r="C489" s="122">
        <v>6</v>
      </c>
      <c r="D489" s="122">
        <v>926</v>
      </c>
      <c r="E489" s="33">
        <v>805740</v>
      </c>
      <c r="F489" s="34">
        <v>106</v>
      </c>
      <c r="G489" s="34">
        <v>926106</v>
      </c>
      <c r="H489" s="119">
        <v>20.309999999999999</v>
      </c>
      <c r="I489" s="101"/>
      <c r="J489" s="101">
        <v>20.309999999999999</v>
      </c>
      <c r="K489" s="125" t="s">
        <v>172</v>
      </c>
      <c r="L489" s="11" t="s">
        <v>86</v>
      </c>
      <c r="M489" s="23" t="s">
        <v>184</v>
      </c>
      <c r="N489" s="122" t="s">
        <v>255</v>
      </c>
      <c r="O489" s="122">
        <v>3</v>
      </c>
      <c r="P489" s="24" t="s">
        <v>544</v>
      </c>
      <c r="Q489" s="25">
        <v>3700</v>
      </c>
      <c r="R489" s="26" t="s">
        <v>545</v>
      </c>
      <c r="S489" s="27" t="s">
        <v>308</v>
      </c>
      <c r="T489" s="27" t="s">
        <v>144</v>
      </c>
      <c r="U489" s="124" t="s">
        <v>255</v>
      </c>
      <c r="V489" s="39">
        <v>2</v>
      </c>
      <c r="W489" s="29">
        <v>2030.9999999999998</v>
      </c>
      <c r="X489" s="29" t="s">
        <v>539</v>
      </c>
      <c r="Y489" s="29"/>
      <c r="Z489" s="30">
        <v>24.619999999999997</v>
      </c>
      <c r="AA489" s="136" t="s">
        <v>540</v>
      </c>
      <c r="AB489" s="136"/>
      <c r="AC489" s="122" t="s">
        <v>146</v>
      </c>
      <c r="AD489" s="32">
        <v>1.75</v>
      </c>
      <c r="AE489" s="32" t="s">
        <v>147</v>
      </c>
    </row>
    <row r="490" spans="1:31">
      <c r="A490" s="135">
        <v>3</v>
      </c>
      <c r="B490" s="38" t="s">
        <v>536</v>
      </c>
      <c r="C490" s="122">
        <v>7</v>
      </c>
      <c r="D490" s="122">
        <v>926</v>
      </c>
      <c r="E490" s="33">
        <v>805710</v>
      </c>
      <c r="F490" s="34">
        <v>107</v>
      </c>
      <c r="G490" s="34">
        <v>926107</v>
      </c>
      <c r="H490" s="119">
        <v>5.04</v>
      </c>
      <c r="I490" s="100"/>
      <c r="J490" s="101">
        <v>5.04</v>
      </c>
      <c r="K490" s="125" t="s">
        <v>172</v>
      </c>
      <c r="L490" s="11" t="s">
        <v>86</v>
      </c>
      <c r="M490" s="23" t="s">
        <v>184</v>
      </c>
      <c r="N490" s="122" t="s">
        <v>255</v>
      </c>
      <c r="O490" s="122">
        <v>3</v>
      </c>
      <c r="P490" s="24" t="s">
        <v>544</v>
      </c>
      <c r="Q490" s="25">
        <v>3700</v>
      </c>
      <c r="R490" s="26" t="s">
        <v>545</v>
      </c>
      <c r="S490" s="27" t="s">
        <v>308</v>
      </c>
      <c r="T490" s="27" t="s">
        <v>144</v>
      </c>
      <c r="U490" s="124" t="s">
        <v>255</v>
      </c>
      <c r="V490" s="39">
        <v>2</v>
      </c>
      <c r="W490" s="29">
        <v>504</v>
      </c>
      <c r="X490" s="29" t="s">
        <v>539</v>
      </c>
      <c r="Y490" s="29"/>
      <c r="Z490" s="30">
        <v>5.04</v>
      </c>
      <c r="AA490" s="136" t="s">
        <v>540</v>
      </c>
      <c r="AB490" s="136"/>
      <c r="AC490" s="122" t="s">
        <v>146</v>
      </c>
      <c r="AD490" s="32">
        <v>1.75</v>
      </c>
      <c r="AE490" s="32" t="s">
        <v>147</v>
      </c>
    </row>
    <row r="491" spans="1:31">
      <c r="A491" s="135">
        <v>3</v>
      </c>
      <c r="B491" s="38" t="s">
        <v>536</v>
      </c>
      <c r="C491" s="122">
        <v>8</v>
      </c>
      <c r="D491" s="122">
        <v>926</v>
      </c>
      <c r="E491" s="33">
        <v>805712</v>
      </c>
      <c r="F491" s="34">
        <v>108</v>
      </c>
      <c r="G491" s="34">
        <v>926108</v>
      </c>
      <c r="H491" s="119">
        <v>6.85</v>
      </c>
      <c r="I491" s="100"/>
      <c r="J491" s="104">
        <v>6.85</v>
      </c>
      <c r="K491" s="120" t="s">
        <v>170</v>
      </c>
      <c r="L491" s="134" t="s">
        <v>86</v>
      </c>
      <c r="M491" s="23" t="s">
        <v>139</v>
      </c>
      <c r="N491" s="122" t="s">
        <v>140</v>
      </c>
      <c r="O491" s="122"/>
      <c r="P491" s="11" t="s">
        <v>547</v>
      </c>
      <c r="Q491" s="45">
        <v>106000</v>
      </c>
      <c r="R491" s="21" t="s">
        <v>548</v>
      </c>
      <c r="S491" s="46" t="s">
        <v>206</v>
      </c>
      <c r="T491" s="46" t="s">
        <v>144</v>
      </c>
      <c r="U491" s="47" t="s">
        <v>140</v>
      </c>
      <c r="V491" s="39">
        <v>6</v>
      </c>
      <c r="W491" s="29">
        <v>2055</v>
      </c>
      <c r="X491" s="29" t="s">
        <v>542</v>
      </c>
      <c r="Y491" s="29"/>
      <c r="Z491" s="30">
        <v>6.85</v>
      </c>
      <c r="AA491" s="136" t="s">
        <v>543</v>
      </c>
      <c r="AB491" s="136">
        <v>5</v>
      </c>
      <c r="AC491" s="122" t="s">
        <v>146</v>
      </c>
      <c r="AD491" s="32">
        <v>1.75</v>
      </c>
      <c r="AE491" s="32" t="s">
        <v>147</v>
      </c>
    </row>
    <row r="492" spans="1:31">
      <c r="A492" s="135">
        <v>3</v>
      </c>
      <c r="B492" s="38" t="s">
        <v>536</v>
      </c>
      <c r="C492" s="122">
        <v>9</v>
      </c>
      <c r="D492" s="122">
        <v>926</v>
      </c>
      <c r="E492" s="33">
        <v>805716</v>
      </c>
      <c r="F492" s="34">
        <v>109</v>
      </c>
      <c r="G492" s="34">
        <v>926109</v>
      </c>
      <c r="H492" s="119">
        <v>34.200000000000003</v>
      </c>
      <c r="I492" s="100"/>
      <c r="J492" s="101">
        <v>34.200000000000003</v>
      </c>
      <c r="K492" s="125" t="s">
        <v>137</v>
      </c>
      <c r="L492" s="11" t="s">
        <v>138</v>
      </c>
      <c r="M492" s="23" t="s">
        <v>549</v>
      </c>
      <c r="N492" s="122" t="s">
        <v>140</v>
      </c>
      <c r="O492" s="122">
        <v>6</v>
      </c>
      <c r="P492" s="24" t="s">
        <v>547</v>
      </c>
      <c r="Q492" s="25">
        <v>106000</v>
      </c>
      <c r="R492" s="26" t="s">
        <v>548</v>
      </c>
      <c r="S492" s="27" t="s">
        <v>206</v>
      </c>
      <c r="T492" s="27" t="s">
        <v>144</v>
      </c>
      <c r="U492" s="124" t="s">
        <v>140</v>
      </c>
      <c r="V492" s="39">
        <v>6</v>
      </c>
      <c r="W492" s="29">
        <v>10260</v>
      </c>
      <c r="X492" s="29" t="s">
        <v>542</v>
      </c>
      <c r="Y492" s="29"/>
      <c r="Z492" s="30">
        <v>34.200000000000003</v>
      </c>
      <c r="AA492" s="136" t="s">
        <v>543</v>
      </c>
      <c r="AB492" s="136">
        <v>5</v>
      </c>
      <c r="AC492" s="122" t="s">
        <v>146</v>
      </c>
      <c r="AD492" s="32">
        <v>1.75</v>
      </c>
      <c r="AE492" s="32" t="s">
        <v>147</v>
      </c>
    </row>
    <row r="493" spans="1:31">
      <c r="A493" s="135">
        <v>3</v>
      </c>
      <c r="B493" s="38" t="s">
        <v>536</v>
      </c>
      <c r="C493" s="122"/>
      <c r="D493" s="122">
        <v>926</v>
      </c>
      <c r="E493" s="33"/>
      <c r="F493" s="34"/>
      <c r="G493" s="34">
        <v>926109.1</v>
      </c>
      <c r="H493" s="119">
        <v>18.5</v>
      </c>
      <c r="I493" s="100"/>
      <c r="J493" s="101">
        <v>18.5</v>
      </c>
      <c r="K493" s="125" t="s">
        <v>170</v>
      </c>
      <c r="L493" s="11" t="s">
        <v>86</v>
      </c>
      <c r="M493" s="23"/>
      <c r="N493" s="122"/>
      <c r="O493" s="122"/>
      <c r="P493" s="24" t="s">
        <v>547</v>
      </c>
      <c r="Q493" s="25">
        <v>106000</v>
      </c>
      <c r="R493" s="26" t="s">
        <v>548</v>
      </c>
      <c r="S493" s="27" t="s">
        <v>206</v>
      </c>
      <c r="T493" s="27" t="s">
        <v>144</v>
      </c>
      <c r="U493" s="124" t="s">
        <v>140</v>
      </c>
      <c r="V493" s="39">
        <v>6</v>
      </c>
      <c r="W493" s="29">
        <v>5550</v>
      </c>
      <c r="X493" s="29" t="s">
        <v>542</v>
      </c>
      <c r="Y493" s="29"/>
      <c r="Z493" s="30">
        <v>18.5</v>
      </c>
      <c r="AA493" s="136" t="s">
        <v>543</v>
      </c>
      <c r="AB493" s="136">
        <v>5</v>
      </c>
      <c r="AC493" s="122"/>
      <c r="AD493" s="32"/>
      <c r="AE493" s="32" t="s">
        <v>147</v>
      </c>
    </row>
    <row r="494" spans="1:31">
      <c r="A494" s="135">
        <v>3</v>
      </c>
      <c r="B494" s="38" t="s">
        <v>536</v>
      </c>
      <c r="C494" s="122">
        <v>10</v>
      </c>
      <c r="D494" s="122">
        <v>926</v>
      </c>
      <c r="E494" s="33">
        <v>805731</v>
      </c>
      <c r="F494" s="34">
        <v>110</v>
      </c>
      <c r="G494" s="34">
        <v>926110</v>
      </c>
      <c r="H494" s="119">
        <v>10.53</v>
      </c>
      <c r="I494" s="101"/>
      <c r="J494" s="101">
        <v>10.53</v>
      </c>
      <c r="K494" s="22" t="s">
        <v>170</v>
      </c>
      <c r="L494" s="125" t="s">
        <v>86</v>
      </c>
      <c r="M494" s="23" t="s">
        <v>550</v>
      </c>
      <c r="N494" s="122" t="s">
        <v>140</v>
      </c>
      <c r="O494" s="122"/>
      <c r="P494" s="24" t="s">
        <v>547</v>
      </c>
      <c r="Q494" s="25">
        <v>106000</v>
      </c>
      <c r="R494" s="26" t="s">
        <v>548</v>
      </c>
      <c r="S494" s="27" t="s">
        <v>206</v>
      </c>
      <c r="T494" s="27" t="s">
        <v>144</v>
      </c>
      <c r="U494" s="124" t="s">
        <v>140</v>
      </c>
      <c r="V494" s="39">
        <v>6</v>
      </c>
      <c r="W494" s="29">
        <v>3159</v>
      </c>
      <c r="X494" s="29" t="s">
        <v>542</v>
      </c>
      <c r="Y494" s="29"/>
      <c r="Z494" s="30">
        <v>15.53</v>
      </c>
      <c r="AA494" s="136" t="s">
        <v>543</v>
      </c>
      <c r="AB494" s="136">
        <v>5</v>
      </c>
      <c r="AC494" s="122" t="s">
        <v>155</v>
      </c>
      <c r="AD494" s="32">
        <v>1.85</v>
      </c>
      <c r="AE494" s="32" t="s">
        <v>147</v>
      </c>
    </row>
    <row r="495" spans="1:31">
      <c r="A495" s="135">
        <v>3</v>
      </c>
      <c r="B495" s="38" t="s">
        <v>536</v>
      </c>
      <c r="C495" s="122">
        <v>11</v>
      </c>
      <c r="D495" s="122">
        <v>926</v>
      </c>
      <c r="E495" s="33">
        <v>805732</v>
      </c>
      <c r="F495" s="34">
        <v>111</v>
      </c>
      <c r="G495" s="34">
        <v>926111</v>
      </c>
      <c r="H495" s="119">
        <v>22.56</v>
      </c>
      <c r="I495" s="100"/>
      <c r="J495" s="100">
        <v>22.56</v>
      </c>
      <c r="K495" s="22" t="s">
        <v>137</v>
      </c>
      <c r="L495" s="11" t="s">
        <v>138</v>
      </c>
      <c r="M495" s="23" t="s">
        <v>551</v>
      </c>
      <c r="N495" s="122" t="s">
        <v>140</v>
      </c>
      <c r="O495" s="122">
        <v>4</v>
      </c>
      <c r="P495" s="24" t="s">
        <v>547</v>
      </c>
      <c r="Q495" s="25">
        <v>106000</v>
      </c>
      <c r="R495" s="26" t="s">
        <v>548</v>
      </c>
      <c r="S495" s="27" t="s">
        <v>206</v>
      </c>
      <c r="T495" s="27" t="s">
        <v>144</v>
      </c>
      <c r="U495" s="124" t="s">
        <v>140</v>
      </c>
      <c r="V495" s="39">
        <v>6</v>
      </c>
      <c r="W495" s="29">
        <v>6768</v>
      </c>
      <c r="X495" s="29" t="s">
        <v>542</v>
      </c>
      <c r="Y495" s="29"/>
      <c r="Z495" s="30">
        <v>22.56</v>
      </c>
      <c r="AA495" s="136" t="s">
        <v>543</v>
      </c>
      <c r="AB495" s="136">
        <v>5</v>
      </c>
      <c r="AC495" s="122" t="s">
        <v>155</v>
      </c>
      <c r="AD495" s="32">
        <v>1.85</v>
      </c>
      <c r="AE495" s="32" t="s">
        <v>147</v>
      </c>
    </row>
    <row r="496" spans="1:31">
      <c r="A496" s="135">
        <v>3</v>
      </c>
      <c r="B496" s="38" t="s">
        <v>536</v>
      </c>
      <c r="C496" s="122">
        <v>12</v>
      </c>
      <c r="D496" s="122">
        <v>926</v>
      </c>
      <c r="E496" s="33">
        <v>805733</v>
      </c>
      <c r="F496" s="34">
        <v>112</v>
      </c>
      <c r="G496" s="34">
        <v>926112</v>
      </c>
      <c r="H496" s="119">
        <v>20.2</v>
      </c>
      <c r="I496" s="101"/>
      <c r="J496" s="100">
        <v>20.2</v>
      </c>
      <c r="K496" s="22" t="s">
        <v>137</v>
      </c>
      <c r="L496" s="11" t="s">
        <v>138</v>
      </c>
      <c r="M496" s="23" t="s">
        <v>552</v>
      </c>
      <c r="N496" s="122" t="s">
        <v>140</v>
      </c>
      <c r="O496" s="122">
        <v>4</v>
      </c>
      <c r="P496" s="24" t="s">
        <v>547</v>
      </c>
      <c r="Q496" s="25">
        <v>106000</v>
      </c>
      <c r="R496" s="26" t="s">
        <v>548</v>
      </c>
      <c r="S496" s="27" t="s">
        <v>206</v>
      </c>
      <c r="T496" s="27" t="s">
        <v>144</v>
      </c>
      <c r="U496" s="124" t="s">
        <v>140</v>
      </c>
      <c r="V496" s="39">
        <v>6</v>
      </c>
      <c r="W496" s="29">
        <v>6060</v>
      </c>
      <c r="X496" s="29" t="s">
        <v>542</v>
      </c>
      <c r="Y496" s="29"/>
      <c r="Z496" s="30">
        <v>20.2</v>
      </c>
      <c r="AA496" s="136" t="s">
        <v>543</v>
      </c>
      <c r="AB496" s="136">
        <v>5</v>
      </c>
      <c r="AC496" s="21" t="s">
        <v>155</v>
      </c>
      <c r="AD496" s="31">
        <v>1.85</v>
      </c>
      <c r="AE496" s="32" t="s">
        <v>147</v>
      </c>
    </row>
    <row r="497" spans="1:31">
      <c r="A497" s="135">
        <v>3</v>
      </c>
      <c r="B497" s="38" t="s">
        <v>536</v>
      </c>
      <c r="C497" s="122">
        <v>13</v>
      </c>
      <c r="D497" s="122">
        <v>926</v>
      </c>
      <c r="E497" s="33">
        <v>805729</v>
      </c>
      <c r="F497" s="34">
        <v>113</v>
      </c>
      <c r="G497" s="34">
        <v>926113</v>
      </c>
      <c r="H497" s="119">
        <v>9.5399999999999991</v>
      </c>
      <c r="I497" s="101"/>
      <c r="J497" s="100">
        <v>9.5399999999999991</v>
      </c>
      <c r="K497" s="125" t="s">
        <v>137</v>
      </c>
      <c r="L497" s="11" t="s">
        <v>138</v>
      </c>
      <c r="M497" s="23" t="s">
        <v>203</v>
      </c>
      <c r="N497" s="122" t="s">
        <v>140</v>
      </c>
      <c r="O497" s="122">
        <v>4</v>
      </c>
      <c r="P497" s="24" t="s">
        <v>547</v>
      </c>
      <c r="Q497" s="25">
        <v>106000</v>
      </c>
      <c r="R497" s="26" t="s">
        <v>548</v>
      </c>
      <c r="S497" s="27" t="s">
        <v>206</v>
      </c>
      <c r="T497" s="27" t="s">
        <v>144</v>
      </c>
      <c r="U497" s="124" t="s">
        <v>140</v>
      </c>
      <c r="V497" s="39">
        <v>6</v>
      </c>
      <c r="W497" s="29">
        <v>2861.9999999999995</v>
      </c>
      <c r="X497" s="29" t="s">
        <v>542</v>
      </c>
      <c r="Y497" s="29"/>
      <c r="Z497" s="30">
        <v>9.5399999999999991</v>
      </c>
      <c r="AA497" s="136" t="s">
        <v>543</v>
      </c>
      <c r="AB497" s="136">
        <v>5</v>
      </c>
      <c r="AC497" s="122" t="s">
        <v>146</v>
      </c>
      <c r="AD497" s="32">
        <v>1.75</v>
      </c>
      <c r="AE497" s="32" t="s">
        <v>147</v>
      </c>
    </row>
    <row r="498" spans="1:31">
      <c r="A498" s="135">
        <v>3</v>
      </c>
      <c r="B498" s="38" t="s">
        <v>536</v>
      </c>
      <c r="C498" s="122">
        <v>14</v>
      </c>
      <c r="D498" s="122">
        <v>926</v>
      </c>
      <c r="E498" s="33">
        <v>805730</v>
      </c>
      <c r="F498" s="34">
        <v>114</v>
      </c>
      <c r="G498" s="34">
        <v>926114</v>
      </c>
      <c r="H498" s="119">
        <v>16.73</v>
      </c>
      <c r="I498" s="101"/>
      <c r="J498" s="100">
        <v>16.73</v>
      </c>
      <c r="K498" s="125" t="s">
        <v>161</v>
      </c>
      <c r="L498" s="11" t="s">
        <v>138</v>
      </c>
      <c r="M498" s="23" t="s">
        <v>149</v>
      </c>
      <c r="N498" s="122" t="s">
        <v>140</v>
      </c>
      <c r="O498" s="122">
        <v>4</v>
      </c>
      <c r="P498" s="24" t="s">
        <v>547</v>
      </c>
      <c r="Q498" s="25">
        <v>106000</v>
      </c>
      <c r="R498" s="26" t="s">
        <v>548</v>
      </c>
      <c r="S498" s="27" t="s">
        <v>206</v>
      </c>
      <c r="T498" s="27" t="s">
        <v>144</v>
      </c>
      <c r="U498" s="124" t="s">
        <v>140</v>
      </c>
      <c r="V498" s="39">
        <v>6</v>
      </c>
      <c r="W498" s="29">
        <v>5019</v>
      </c>
      <c r="X498" s="29" t="s">
        <v>542</v>
      </c>
      <c r="Y498" s="29"/>
      <c r="Z498" s="30">
        <v>16.73</v>
      </c>
      <c r="AA498" s="136" t="s">
        <v>543</v>
      </c>
      <c r="AB498" s="136">
        <v>5</v>
      </c>
      <c r="AC498" s="122" t="s">
        <v>155</v>
      </c>
      <c r="AD498" s="32">
        <v>1.85</v>
      </c>
      <c r="AE498" s="32" t="s">
        <v>147</v>
      </c>
    </row>
    <row r="499" spans="1:31">
      <c r="A499" s="135">
        <v>3</v>
      </c>
      <c r="B499" s="38" t="s">
        <v>536</v>
      </c>
      <c r="C499" s="122">
        <v>15</v>
      </c>
      <c r="D499" s="122">
        <v>926</v>
      </c>
      <c r="E499" s="33">
        <v>805728</v>
      </c>
      <c r="F499" s="34">
        <v>115</v>
      </c>
      <c r="G499" s="34">
        <v>926115</v>
      </c>
      <c r="H499" s="119">
        <v>21.16</v>
      </c>
      <c r="I499" s="100"/>
      <c r="J499" s="100">
        <v>21.16</v>
      </c>
      <c r="K499" s="22" t="s">
        <v>172</v>
      </c>
      <c r="L499" s="23" t="s">
        <v>86</v>
      </c>
      <c r="M499" s="23" t="s">
        <v>178</v>
      </c>
      <c r="N499" s="122" t="s">
        <v>140</v>
      </c>
      <c r="O499" s="122">
        <v>4</v>
      </c>
      <c r="P499" s="24" t="s">
        <v>547</v>
      </c>
      <c r="Q499" s="25">
        <v>106000</v>
      </c>
      <c r="R499" s="26" t="s">
        <v>548</v>
      </c>
      <c r="S499" s="27" t="s">
        <v>206</v>
      </c>
      <c r="T499" s="27" t="s">
        <v>144</v>
      </c>
      <c r="U499" s="124" t="s">
        <v>140</v>
      </c>
      <c r="V499" s="39">
        <v>6</v>
      </c>
      <c r="W499" s="29">
        <v>6348</v>
      </c>
      <c r="X499" s="29" t="s">
        <v>542</v>
      </c>
      <c r="Y499" s="29"/>
      <c r="Z499" s="30">
        <v>21.970000000000002</v>
      </c>
      <c r="AA499" s="136" t="s">
        <v>543</v>
      </c>
      <c r="AB499" s="136">
        <v>5</v>
      </c>
      <c r="AC499" s="122" t="s">
        <v>155</v>
      </c>
      <c r="AD499" s="32">
        <v>1.85</v>
      </c>
      <c r="AE499" s="32" t="s">
        <v>147</v>
      </c>
    </row>
    <row r="500" spans="1:31">
      <c r="A500" s="135">
        <v>3</v>
      </c>
      <c r="B500" s="38" t="s">
        <v>536</v>
      </c>
      <c r="C500" s="122">
        <v>16</v>
      </c>
      <c r="D500" s="122">
        <v>926</v>
      </c>
      <c r="E500" s="33">
        <v>805727</v>
      </c>
      <c r="F500" s="34">
        <v>116</v>
      </c>
      <c r="G500" s="34">
        <v>926116</v>
      </c>
      <c r="H500" s="119">
        <v>8.6300000000000008</v>
      </c>
      <c r="I500" s="101"/>
      <c r="J500" s="101">
        <v>8.6300000000000008</v>
      </c>
      <c r="K500" s="22" t="s">
        <v>172</v>
      </c>
      <c r="L500" s="11" t="s">
        <v>86</v>
      </c>
      <c r="M500" s="23" t="s">
        <v>178</v>
      </c>
      <c r="N500" s="122" t="s">
        <v>140</v>
      </c>
      <c r="O500" s="122">
        <v>4</v>
      </c>
      <c r="P500" s="24" t="s">
        <v>547</v>
      </c>
      <c r="Q500" s="25">
        <v>106000</v>
      </c>
      <c r="R500" s="26" t="s">
        <v>548</v>
      </c>
      <c r="S500" s="27" t="s">
        <v>206</v>
      </c>
      <c r="T500" s="27" t="s">
        <v>144</v>
      </c>
      <c r="U500" s="124" t="s">
        <v>140</v>
      </c>
      <c r="V500" s="39">
        <v>6</v>
      </c>
      <c r="W500" s="29">
        <v>2589.0000000000005</v>
      </c>
      <c r="X500" s="29" t="s">
        <v>542</v>
      </c>
      <c r="Y500" s="29"/>
      <c r="Z500" s="30">
        <v>9.8800000000000008</v>
      </c>
      <c r="AA500" s="136" t="s">
        <v>543</v>
      </c>
      <c r="AB500" s="136">
        <v>5</v>
      </c>
      <c r="AC500" s="122" t="s">
        <v>155</v>
      </c>
      <c r="AD500" s="32">
        <v>1.85</v>
      </c>
      <c r="AE500" s="32" t="s">
        <v>147</v>
      </c>
    </row>
    <row r="501" spans="1:31">
      <c r="A501" s="135">
        <v>3</v>
      </c>
      <c r="B501" s="38" t="s">
        <v>536</v>
      </c>
      <c r="C501" s="122">
        <v>17</v>
      </c>
      <c r="D501" s="122">
        <v>926</v>
      </c>
      <c r="E501" s="33">
        <v>805726</v>
      </c>
      <c r="F501" s="34">
        <v>117</v>
      </c>
      <c r="G501" s="34">
        <v>926117</v>
      </c>
      <c r="H501" s="119">
        <v>21.59</v>
      </c>
      <c r="I501" s="100"/>
      <c r="J501" s="100">
        <v>21.59</v>
      </c>
      <c r="K501" s="125" t="s">
        <v>137</v>
      </c>
      <c r="L501" s="11" t="s">
        <v>138</v>
      </c>
      <c r="M501" s="23" t="s">
        <v>203</v>
      </c>
      <c r="N501" s="122" t="s">
        <v>140</v>
      </c>
      <c r="O501" s="122">
        <v>4</v>
      </c>
      <c r="P501" s="24" t="s">
        <v>553</v>
      </c>
      <c r="Q501" s="25">
        <v>106000</v>
      </c>
      <c r="R501" s="26" t="s">
        <v>548</v>
      </c>
      <c r="S501" s="27" t="s">
        <v>206</v>
      </c>
      <c r="T501" s="27" t="s">
        <v>144</v>
      </c>
      <c r="U501" s="124" t="s">
        <v>140</v>
      </c>
      <c r="V501" s="39">
        <v>6</v>
      </c>
      <c r="W501" s="29">
        <v>6477</v>
      </c>
      <c r="X501" s="29" t="s">
        <v>542</v>
      </c>
      <c r="Y501" s="29"/>
      <c r="Z501" s="30">
        <v>23.52</v>
      </c>
      <c r="AA501" s="136" t="s">
        <v>543</v>
      </c>
      <c r="AB501" s="136">
        <v>5</v>
      </c>
      <c r="AC501" s="122" t="s">
        <v>155</v>
      </c>
      <c r="AD501" s="32">
        <v>1.85</v>
      </c>
      <c r="AE501" s="32" t="s">
        <v>147</v>
      </c>
    </row>
    <row r="502" spans="1:31">
      <c r="A502" s="135">
        <v>3</v>
      </c>
      <c r="B502" s="38" t="s">
        <v>536</v>
      </c>
      <c r="C502" s="122">
        <v>18</v>
      </c>
      <c r="D502" s="122">
        <v>926</v>
      </c>
      <c r="E502" s="33">
        <v>805724</v>
      </c>
      <c r="F502" s="34">
        <v>118</v>
      </c>
      <c r="G502" s="34">
        <v>926118</v>
      </c>
      <c r="H502" s="119">
        <v>22.52</v>
      </c>
      <c r="I502" s="101"/>
      <c r="J502" s="100">
        <v>22.52</v>
      </c>
      <c r="K502" s="125" t="s">
        <v>137</v>
      </c>
      <c r="L502" s="11" t="s">
        <v>138</v>
      </c>
      <c r="M502" s="23" t="s">
        <v>203</v>
      </c>
      <c r="N502" s="122" t="s">
        <v>140</v>
      </c>
      <c r="O502" s="122">
        <v>4</v>
      </c>
      <c r="P502" s="24" t="s">
        <v>547</v>
      </c>
      <c r="Q502" s="25">
        <v>106000</v>
      </c>
      <c r="R502" s="26" t="s">
        <v>548</v>
      </c>
      <c r="S502" s="27" t="s">
        <v>206</v>
      </c>
      <c r="T502" s="27" t="s">
        <v>144</v>
      </c>
      <c r="U502" s="124" t="s">
        <v>140</v>
      </c>
      <c r="V502" s="39">
        <v>6</v>
      </c>
      <c r="W502" s="29">
        <v>6756</v>
      </c>
      <c r="X502" s="29" t="s">
        <v>542</v>
      </c>
      <c r="Y502" s="29"/>
      <c r="Z502" s="30">
        <v>23.650000000000002</v>
      </c>
      <c r="AA502" s="136" t="s">
        <v>543</v>
      </c>
      <c r="AB502" s="136">
        <v>5</v>
      </c>
      <c r="AC502" s="21" t="s">
        <v>155</v>
      </c>
      <c r="AD502" s="31">
        <v>1.85</v>
      </c>
      <c r="AE502" s="32" t="s">
        <v>147</v>
      </c>
    </row>
    <row r="503" spans="1:31">
      <c r="A503" s="135">
        <v>3</v>
      </c>
      <c r="B503" s="38" t="s">
        <v>536</v>
      </c>
      <c r="C503" s="122">
        <v>19</v>
      </c>
      <c r="D503" s="122">
        <v>926</v>
      </c>
      <c r="E503" s="33">
        <v>805721</v>
      </c>
      <c r="F503" s="34">
        <v>119</v>
      </c>
      <c r="G503" s="34">
        <v>926119</v>
      </c>
      <c r="H503" s="119">
        <v>9.75</v>
      </c>
      <c r="I503" s="101"/>
      <c r="J503" s="100">
        <v>9.75</v>
      </c>
      <c r="K503" s="125" t="s">
        <v>137</v>
      </c>
      <c r="L503" s="11" t="s">
        <v>138</v>
      </c>
      <c r="M503" s="23" t="s">
        <v>203</v>
      </c>
      <c r="N503" s="122" t="s">
        <v>140</v>
      </c>
      <c r="O503" s="122">
        <v>4</v>
      </c>
      <c r="P503" s="24" t="s">
        <v>547</v>
      </c>
      <c r="Q503" s="25">
        <v>106000</v>
      </c>
      <c r="R503" s="26" t="s">
        <v>548</v>
      </c>
      <c r="S503" s="27" t="s">
        <v>206</v>
      </c>
      <c r="T503" s="27" t="s">
        <v>144</v>
      </c>
      <c r="U503" s="124" t="s">
        <v>140</v>
      </c>
      <c r="V503" s="39">
        <v>6</v>
      </c>
      <c r="W503" s="29">
        <v>2925</v>
      </c>
      <c r="X503" s="29" t="s">
        <v>542</v>
      </c>
      <c r="Y503" s="29"/>
      <c r="Z503" s="30">
        <v>11.21</v>
      </c>
      <c r="AA503" s="136" t="s">
        <v>543</v>
      </c>
      <c r="AB503" s="136">
        <v>5</v>
      </c>
      <c r="AC503" s="122" t="s">
        <v>155</v>
      </c>
      <c r="AD503" s="32">
        <v>1.85</v>
      </c>
      <c r="AE503" s="32" t="s">
        <v>147</v>
      </c>
    </row>
    <row r="504" spans="1:31">
      <c r="A504" s="135">
        <v>3</v>
      </c>
      <c r="B504" s="38" t="s">
        <v>536</v>
      </c>
      <c r="C504" s="122">
        <v>20</v>
      </c>
      <c r="D504" s="122">
        <v>926</v>
      </c>
      <c r="E504" s="33">
        <v>805738</v>
      </c>
      <c r="F504" s="34">
        <v>120</v>
      </c>
      <c r="G504" s="34">
        <v>926120</v>
      </c>
      <c r="H504" s="119">
        <v>34.94</v>
      </c>
      <c r="I504" s="101"/>
      <c r="J504" s="100">
        <v>34.94</v>
      </c>
      <c r="K504" s="125" t="s">
        <v>170</v>
      </c>
      <c r="L504" s="11" t="s">
        <v>86</v>
      </c>
      <c r="M504" s="23" t="s">
        <v>203</v>
      </c>
      <c r="N504" s="122" t="s">
        <v>140</v>
      </c>
      <c r="O504" s="122">
        <v>4</v>
      </c>
      <c r="P504" s="24" t="s">
        <v>547</v>
      </c>
      <c r="Q504" s="25">
        <v>106000</v>
      </c>
      <c r="R504" s="26" t="s">
        <v>548</v>
      </c>
      <c r="S504" s="27" t="s">
        <v>214</v>
      </c>
      <c r="T504" s="27" t="s">
        <v>144</v>
      </c>
      <c r="U504" s="124" t="s">
        <v>140</v>
      </c>
      <c r="V504" s="39">
        <v>6</v>
      </c>
      <c r="W504" s="29">
        <v>10482</v>
      </c>
      <c r="X504" s="29" t="s">
        <v>539</v>
      </c>
      <c r="Y504" s="29"/>
      <c r="Z504" s="30">
        <v>36.389999999999993</v>
      </c>
      <c r="AA504" s="136" t="s">
        <v>540</v>
      </c>
      <c r="AB504" s="136"/>
      <c r="AC504" s="122" t="s">
        <v>155</v>
      </c>
      <c r="AD504" s="32">
        <v>1.85</v>
      </c>
      <c r="AE504" s="32" t="s">
        <v>147</v>
      </c>
    </row>
    <row r="505" spans="1:31">
      <c r="A505" s="135">
        <v>3</v>
      </c>
      <c r="B505" s="38" t="s">
        <v>536</v>
      </c>
      <c r="C505" s="122">
        <v>21</v>
      </c>
      <c r="D505" s="122">
        <v>926</v>
      </c>
      <c r="E505" s="33">
        <v>805722</v>
      </c>
      <c r="F505" s="34">
        <v>121</v>
      </c>
      <c r="G505" s="34">
        <v>926121</v>
      </c>
      <c r="H505" s="119">
        <v>25.38</v>
      </c>
      <c r="I505" s="101"/>
      <c r="J505" s="100">
        <v>25.38</v>
      </c>
      <c r="K505" s="22" t="s">
        <v>137</v>
      </c>
      <c r="L505" s="11" t="s">
        <v>138</v>
      </c>
      <c r="M505" s="23" t="s">
        <v>181</v>
      </c>
      <c r="N505" s="122" t="s">
        <v>140</v>
      </c>
      <c r="O505" s="122">
        <v>4</v>
      </c>
      <c r="P505" s="24" t="s">
        <v>554</v>
      </c>
      <c r="Q505" s="25">
        <v>9000</v>
      </c>
      <c r="R505" s="26" t="s">
        <v>555</v>
      </c>
      <c r="S505" s="27" t="s">
        <v>214</v>
      </c>
      <c r="T505" s="27" t="s">
        <v>144</v>
      </c>
      <c r="U505" s="124" t="s">
        <v>140</v>
      </c>
      <c r="V505" s="39">
        <v>6</v>
      </c>
      <c r="W505" s="29">
        <v>7614</v>
      </c>
      <c r="X505" s="29" t="s">
        <v>539</v>
      </c>
      <c r="Y505" s="29"/>
      <c r="Z505" s="30">
        <v>27.38</v>
      </c>
      <c r="AA505" s="136" t="s">
        <v>540</v>
      </c>
      <c r="AB505" s="136"/>
      <c r="AC505" s="122" t="s">
        <v>146</v>
      </c>
      <c r="AD505" s="32">
        <v>1.75</v>
      </c>
      <c r="AE505" s="32" t="s">
        <v>147</v>
      </c>
    </row>
    <row r="506" spans="1:31">
      <c r="A506" s="135">
        <v>3</v>
      </c>
      <c r="B506" s="38" t="s">
        <v>536</v>
      </c>
      <c r="C506" s="122">
        <v>22</v>
      </c>
      <c r="D506" s="122">
        <v>926</v>
      </c>
      <c r="E506" s="33">
        <v>805723</v>
      </c>
      <c r="F506" s="34">
        <v>122</v>
      </c>
      <c r="G506" s="34">
        <v>926122</v>
      </c>
      <c r="H506" s="119">
        <v>13.77</v>
      </c>
      <c r="I506" s="101"/>
      <c r="J506" s="100">
        <v>13.77</v>
      </c>
      <c r="K506" s="22" t="s">
        <v>137</v>
      </c>
      <c r="L506" s="11" t="s">
        <v>138</v>
      </c>
      <c r="M506" s="23" t="s">
        <v>184</v>
      </c>
      <c r="N506" s="122" t="s">
        <v>140</v>
      </c>
      <c r="O506" s="122">
        <v>4</v>
      </c>
      <c r="P506" s="24" t="s">
        <v>554</v>
      </c>
      <c r="Q506" s="25">
        <v>9000</v>
      </c>
      <c r="R506" s="26" t="s">
        <v>555</v>
      </c>
      <c r="S506" s="27" t="s">
        <v>214</v>
      </c>
      <c r="T506" s="27" t="s">
        <v>144</v>
      </c>
      <c r="U506" s="124" t="s">
        <v>140</v>
      </c>
      <c r="V506" s="39">
        <v>6</v>
      </c>
      <c r="W506" s="29">
        <v>4131</v>
      </c>
      <c r="X506" s="29" t="s">
        <v>539</v>
      </c>
      <c r="Y506" s="29"/>
      <c r="Z506" s="30">
        <v>15.639999999999999</v>
      </c>
      <c r="AA506" s="136" t="s">
        <v>540</v>
      </c>
      <c r="AB506" s="136"/>
      <c r="AC506" s="122" t="s">
        <v>146</v>
      </c>
      <c r="AD506" s="32">
        <v>1.75</v>
      </c>
      <c r="AE506" s="32" t="s">
        <v>147</v>
      </c>
    </row>
    <row r="507" spans="1:31">
      <c r="A507" s="135">
        <v>3</v>
      </c>
      <c r="B507" s="38" t="s">
        <v>536</v>
      </c>
      <c r="C507" s="122">
        <v>23</v>
      </c>
      <c r="D507" s="122">
        <v>926</v>
      </c>
      <c r="E507" s="33">
        <v>805755</v>
      </c>
      <c r="F507" s="34">
        <v>123</v>
      </c>
      <c r="G507" s="34">
        <v>926123</v>
      </c>
      <c r="H507" s="119">
        <v>19.2</v>
      </c>
      <c r="I507" s="101">
        <v>19.2</v>
      </c>
      <c r="J507" s="100"/>
      <c r="K507" s="125" t="s">
        <v>148</v>
      </c>
      <c r="L507" s="11" t="s">
        <v>148</v>
      </c>
      <c r="M507" s="23" t="s">
        <v>149</v>
      </c>
      <c r="N507" s="122" t="s">
        <v>140</v>
      </c>
      <c r="O507" s="122"/>
      <c r="P507" s="11" t="s">
        <v>556</v>
      </c>
      <c r="Q507" s="45">
        <v>20400</v>
      </c>
      <c r="R507" s="21" t="s">
        <v>358</v>
      </c>
      <c r="S507" s="46" t="s">
        <v>159</v>
      </c>
      <c r="T507" s="46" t="s">
        <v>144</v>
      </c>
      <c r="U507" s="47" t="s">
        <v>255</v>
      </c>
      <c r="V507" s="48">
        <v>0</v>
      </c>
      <c r="W507" s="47"/>
      <c r="X507" s="29"/>
      <c r="Y507" s="29"/>
      <c r="Z507" s="47"/>
      <c r="AA507" s="49"/>
      <c r="AB507" s="49"/>
      <c r="AC507" s="122" t="s">
        <v>155</v>
      </c>
      <c r="AD507" s="32">
        <v>1.85</v>
      </c>
      <c r="AE507" s="32" t="s">
        <v>147</v>
      </c>
    </row>
    <row r="508" spans="1:31">
      <c r="A508" s="135">
        <v>3</v>
      </c>
      <c r="B508" s="38" t="s">
        <v>536</v>
      </c>
      <c r="C508" s="122">
        <v>24</v>
      </c>
      <c r="D508" s="122">
        <v>926</v>
      </c>
      <c r="E508" s="33">
        <v>805754</v>
      </c>
      <c r="F508" s="34">
        <v>124</v>
      </c>
      <c r="G508" s="34">
        <v>926124</v>
      </c>
      <c r="H508" s="119">
        <v>19.98</v>
      </c>
      <c r="I508" s="100">
        <v>19.98</v>
      </c>
      <c r="J508" s="100"/>
      <c r="K508" s="125" t="s">
        <v>148</v>
      </c>
      <c r="L508" s="11" t="s">
        <v>148</v>
      </c>
      <c r="M508" s="23" t="s">
        <v>149</v>
      </c>
      <c r="N508" s="122" t="s">
        <v>140</v>
      </c>
      <c r="O508" s="122"/>
      <c r="P508" s="11" t="s">
        <v>556</v>
      </c>
      <c r="Q508" s="45">
        <v>20400</v>
      </c>
      <c r="R508" s="21" t="s">
        <v>358</v>
      </c>
      <c r="S508" s="46" t="s">
        <v>159</v>
      </c>
      <c r="T508" s="46" t="s">
        <v>144</v>
      </c>
      <c r="U508" s="47" t="s">
        <v>255</v>
      </c>
      <c r="V508" s="48">
        <v>0</v>
      </c>
      <c r="W508" s="47"/>
      <c r="X508" s="29"/>
      <c r="Y508" s="29"/>
      <c r="Z508" s="47"/>
      <c r="AA508" s="49"/>
      <c r="AB508" s="49"/>
      <c r="AC508" s="122" t="s">
        <v>155</v>
      </c>
      <c r="AD508" s="32">
        <v>1.85</v>
      </c>
      <c r="AE508" s="32" t="s">
        <v>147</v>
      </c>
    </row>
    <row r="509" spans="1:31">
      <c r="A509" s="135">
        <v>3</v>
      </c>
      <c r="B509" s="38" t="s">
        <v>536</v>
      </c>
      <c r="C509" s="122">
        <v>25</v>
      </c>
      <c r="D509" s="122">
        <v>926</v>
      </c>
      <c r="E509" s="33">
        <v>805757</v>
      </c>
      <c r="F509" s="34">
        <v>125</v>
      </c>
      <c r="G509" s="34">
        <v>926125</v>
      </c>
      <c r="H509" s="119">
        <v>17.02</v>
      </c>
      <c r="I509" s="101"/>
      <c r="J509" s="101">
        <v>17.02</v>
      </c>
      <c r="K509" s="22" t="s">
        <v>170</v>
      </c>
      <c r="L509" s="11" t="s">
        <v>86</v>
      </c>
      <c r="M509" s="23" t="s">
        <v>156</v>
      </c>
      <c r="N509" s="122" t="s">
        <v>255</v>
      </c>
      <c r="O509" s="122">
        <v>3</v>
      </c>
      <c r="P509" s="24" t="s">
        <v>556</v>
      </c>
      <c r="Q509" s="25">
        <v>20400</v>
      </c>
      <c r="R509" s="26" t="s">
        <v>358</v>
      </c>
      <c r="S509" s="27" t="s">
        <v>159</v>
      </c>
      <c r="T509" s="27" t="s">
        <v>144</v>
      </c>
      <c r="U509" s="124" t="s">
        <v>140</v>
      </c>
      <c r="V509" s="39">
        <v>6</v>
      </c>
      <c r="W509" s="29">
        <v>5106</v>
      </c>
      <c r="X509" s="29" t="s">
        <v>539</v>
      </c>
      <c r="Y509" s="29"/>
      <c r="Z509" s="30">
        <v>17.02</v>
      </c>
      <c r="AA509" s="136" t="s">
        <v>540</v>
      </c>
      <c r="AB509" s="136"/>
      <c r="AC509" s="122" t="s">
        <v>155</v>
      </c>
      <c r="AD509" s="32">
        <v>1.85</v>
      </c>
      <c r="AE509" s="32" t="s">
        <v>147</v>
      </c>
    </row>
    <row r="510" spans="1:31">
      <c r="A510" s="135">
        <v>3</v>
      </c>
      <c r="B510" s="38" t="s">
        <v>536</v>
      </c>
      <c r="C510" s="122">
        <v>26</v>
      </c>
      <c r="D510" s="122">
        <v>926</v>
      </c>
      <c r="E510" s="33">
        <v>805759</v>
      </c>
      <c r="F510" s="34">
        <v>126</v>
      </c>
      <c r="G510" s="34">
        <v>926126</v>
      </c>
      <c r="H510" s="119">
        <v>5.57</v>
      </c>
      <c r="I510" s="100">
        <v>5.57</v>
      </c>
      <c r="J510" s="100"/>
      <c r="K510" s="22" t="s">
        <v>148</v>
      </c>
      <c r="L510" s="23" t="s">
        <v>148</v>
      </c>
      <c r="M510" s="23" t="s">
        <v>184</v>
      </c>
      <c r="N510" s="122" t="s">
        <v>255</v>
      </c>
      <c r="O510" s="122"/>
      <c r="P510" s="11" t="s">
        <v>556</v>
      </c>
      <c r="Q510" s="45">
        <v>20400</v>
      </c>
      <c r="R510" s="21" t="s">
        <v>358</v>
      </c>
      <c r="S510" s="46" t="s">
        <v>159</v>
      </c>
      <c r="T510" s="46" t="s">
        <v>144</v>
      </c>
      <c r="U510" s="47" t="s">
        <v>255</v>
      </c>
      <c r="V510" s="48">
        <v>0</v>
      </c>
      <c r="W510" s="47"/>
      <c r="X510" s="29"/>
      <c r="Y510" s="29"/>
      <c r="Z510" s="47"/>
      <c r="AA510" s="49"/>
      <c r="AB510" s="49"/>
      <c r="AC510" s="21" t="s">
        <v>155</v>
      </c>
      <c r="AD510" s="31">
        <v>1.85</v>
      </c>
      <c r="AE510" s="32" t="s">
        <v>147</v>
      </c>
    </row>
    <row r="511" spans="1:31">
      <c r="A511" s="135">
        <v>4</v>
      </c>
      <c r="B511" s="20" t="s">
        <v>557</v>
      </c>
      <c r="C511" s="122">
        <v>1</v>
      </c>
      <c r="D511" s="21">
        <v>919</v>
      </c>
      <c r="E511" s="34">
        <v>1901</v>
      </c>
      <c r="F511" s="34">
        <v>101</v>
      </c>
      <c r="G511" s="34">
        <v>919101</v>
      </c>
      <c r="H511" s="119">
        <v>15.63</v>
      </c>
      <c r="I511" s="101"/>
      <c r="J511" s="100">
        <v>15.63</v>
      </c>
      <c r="K511" s="22" t="s">
        <v>137</v>
      </c>
      <c r="L511" s="11" t="s">
        <v>138</v>
      </c>
      <c r="M511" s="23" t="s">
        <v>559</v>
      </c>
      <c r="N511" s="122" t="s">
        <v>140</v>
      </c>
      <c r="O511" s="122">
        <v>4</v>
      </c>
      <c r="P511" s="24" t="s">
        <v>560</v>
      </c>
      <c r="Q511" s="25">
        <v>22400</v>
      </c>
      <c r="R511" s="26" t="s">
        <v>142</v>
      </c>
      <c r="S511" s="27" t="s">
        <v>159</v>
      </c>
      <c r="T511" s="27" t="s">
        <v>144</v>
      </c>
      <c r="U511" s="124" t="s">
        <v>140</v>
      </c>
      <c r="V511" s="39">
        <v>10</v>
      </c>
      <c r="W511" s="29">
        <v>7815</v>
      </c>
      <c r="X511" s="29" t="s">
        <v>561</v>
      </c>
      <c r="Y511" s="29">
        <v>2</v>
      </c>
      <c r="Z511" s="30">
        <v>15.63</v>
      </c>
      <c r="AA511" s="136" t="s">
        <v>562</v>
      </c>
      <c r="AB511" s="136">
        <v>2</v>
      </c>
      <c r="AC511" s="21" t="s">
        <v>155</v>
      </c>
      <c r="AD511" s="31">
        <v>1.75</v>
      </c>
      <c r="AE511" s="32" t="s">
        <v>147</v>
      </c>
    </row>
    <row r="512" spans="1:31">
      <c r="A512" s="135">
        <v>4</v>
      </c>
      <c r="B512" s="20" t="s">
        <v>557</v>
      </c>
      <c r="C512" s="122">
        <v>2</v>
      </c>
      <c r="D512" s="21">
        <v>919</v>
      </c>
      <c r="E512" s="33">
        <v>1902</v>
      </c>
      <c r="F512" s="34">
        <v>102</v>
      </c>
      <c r="G512" s="34">
        <v>919102</v>
      </c>
      <c r="H512" s="119">
        <v>26.01</v>
      </c>
      <c r="I512" s="100"/>
      <c r="J512" s="100">
        <v>26.01</v>
      </c>
      <c r="K512" s="125" t="s">
        <v>137</v>
      </c>
      <c r="L512" s="11" t="s">
        <v>138</v>
      </c>
      <c r="M512" s="23" t="s">
        <v>563</v>
      </c>
      <c r="N512" s="122" t="s">
        <v>140</v>
      </c>
      <c r="O512" s="122">
        <v>4</v>
      </c>
      <c r="P512" s="24" t="s">
        <v>560</v>
      </c>
      <c r="Q512" s="25">
        <v>22400</v>
      </c>
      <c r="R512" s="26" t="s">
        <v>142</v>
      </c>
      <c r="S512" s="27" t="s">
        <v>159</v>
      </c>
      <c r="T512" s="27" t="s">
        <v>144</v>
      </c>
      <c r="U512" s="124" t="s">
        <v>140</v>
      </c>
      <c r="V512" s="39">
        <v>10</v>
      </c>
      <c r="W512" s="29">
        <v>13005</v>
      </c>
      <c r="X512" s="29" t="s">
        <v>561</v>
      </c>
      <c r="Y512" s="29"/>
      <c r="Z512" s="30">
        <v>26.01</v>
      </c>
      <c r="AA512" s="136" t="s">
        <v>562</v>
      </c>
      <c r="AB512" s="136">
        <v>2</v>
      </c>
      <c r="AC512" s="122" t="s">
        <v>155</v>
      </c>
      <c r="AD512" s="31">
        <v>1.75</v>
      </c>
      <c r="AE512" s="32" t="s">
        <v>147</v>
      </c>
    </row>
    <row r="513" spans="1:31">
      <c r="A513" s="135">
        <v>4</v>
      </c>
      <c r="B513" s="20" t="s">
        <v>557</v>
      </c>
      <c r="C513" s="122">
        <v>3</v>
      </c>
      <c r="D513" s="21">
        <v>919</v>
      </c>
      <c r="E513" s="33">
        <v>1903</v>
      </c>
      <c r="F513" s="34">
        <v>103</v>
      </c>
      <c r="G513" s="34">
        <v>919103</v>
      </c>
      <c r="H513" s="119">
        <v>24.69</v>
      </c>
      <c r="I513" s="100"/>
      <c r="J513" s="100">
        <v>24.69</v>
      </c>
      <c r="K513" s="125" t="s">
        <v>161</v>
      </c>
      <c r="L513" s="11" t="s">
        <v>138</v>
      </c>
      <c r="M513" s="23" t="s">
        <v>149</v>
      </c>
      <c r="N513" s="122" t="s">
        <v>140</v>
      </c>
      <c r="O513" s="122">
        <v>4</v>
      </c>
      <c r="P513" s="24" t="s">
        <v>564</v>
      </c>
      <c r="Q513" s="25">
        <v>26320</v>
      </c>
      <c r="R513" s="26" t="s">
        <v>142</v>
      </c>
      <c r="S513" s="27" t="s">
        <v>385</v>
      </c>
      <c r="T513" s="27" t="s">
        <v>144</v>
      </c>
      <c r="U513" s="124" t="s">
        <v>140</v>
      </c>
      <c r="V513" s="39">
        <v>6</v>
      </c>
      <c r="W513" s="29">
        <v>7407</v>
      </c>
      <c r="X513" s="29" t="s">
        <v>561</v>
      </c>
      <c r="Y513" s="29"/>
      <c r="Z513" s="30">
        <v>24.69</v>
      </c>
      <c r="AA513" s="136" t="s">
        <v>562</v>
      </c>
      <c r="AB513" s="136">
        <v>2</v>
      </c>
      <c r="AC513" s="122" t="s">
        <v>155</v>
      </c>
      <c r="AD513" s="31">
        <v>1.75</v>
      </c>
      <c r="AE513" s="32" t="s">
        <v>194</v>
      </c>
    </row>
    <row r="514" spans="1:31">
      <c r="A514" s="135">
        <v>4</v>
      </c>
      <c r="B514" s="20" t="s">
        <v>557</v>
      </c>
      <c r="C514" s="122">
        <v>4</v>
      </c>
      <c r="D514" s="21">
        <v>919</v>
      </c>
      <c r="E514" s="33">
        <v>1904</v>
      </c>
      <c r="F514" s="34">
        <v>104</v>
      </c>
      <c r="G514" s="34">
        <v>919104</v>
      </c>
      <c r="H514" s="119">
        <v>25.74</v>
      </c>
      <c r="I514" s="101"/>
      <c r="J514" s="100">
        <v>25.74</v>
      </c>
      <c r="K514" s="22" t="s">
        <v>161</v>
      </c>
      <c r="L514" s="23" t="s">
        <v>138</v>
      </c>
      <c r="M514" s="23" t="s">
        <v>149</v>
      </c>
      <c r="N514" s="122" t="s">
        <v>140</v>
      </c>
      <c r="O514" s="122">
        <v>4</v>
      </c>
      <c r="P514" s="24" t="s">
        <v>565</v>
      </c>
      <c r="Q514" s="25">
        <v>26320</v>
      </c>
      <c r="R514" s="26" t="s">
        <v>142</v>
      </c>
      <c r="S514" s="27" t="s">
        <v>385</v>
      </c>
      <c r="T514" s="27" t="s">
        <v>144</v>
      </c>
      <c r="U514" s="124" t="s">
        <v>140</v>
      </c>
      <c r="V514" s="39">
        <v>9</v>
      </c>
      <c r="W514" s="29">
        <v>11583</v>
      </c>
      <c r="X514" s="29" t="s">
        <v>561</v>
      </c>
      <c r="Y514" s="29"/>
      <c r="Z514" s="30">
        <v>25.74</v>
      </c>
      <c r="AA514" s="136" t="s">
        <v>562</v>
      </c>
      <c r="AB514" s="136">
        <v>2</v>
      </c>
      <c r="AC514" s="122" t="s">
        <v>155</v>
      </c>
      <c r="AD514" s="31">
        <v>1.75</v>
      </c>
      <c r="AE514" s="32" t="s">
        <v>147</v>
      </c>
    </row>
    <row r="515" spans="1:31">
      <c r="A515" s="135">
        <v>4</v>
      </c>
      <c r="B515" s="20" t="s">
        <v>557</v>
      </c>
      <c r="C515" s="122">
        <v>5</v>
      </c>
      <c r="D515" s="21">
        <v>919</v>
      </c>
      <c r="E515" s="33">
        <v>1905</v>
      </c>
      <c r="F515" s="34">
        <v>105</v>
      </c>
      <c r="G515" s="34">
        <v>919105</v>
      </c>
      <c r="H515" s="119">
        <v>19.440000000000001</v>
      </c>
      <c r="I515" s="100"/>
      <c r="J515" s="100">
        <v>19.440000000000001</v>
      </c>
      <c r="K515" s="22" t="s">
        <v>161</v>
      </c>
      <c r="L515" s="23" t="s">
        <v>138</v>
      </c>
      <c r="M515" s="23" t="s">
        <v>149</v>
      </c>
      <c r="N515" s="122" t="s">
        <v>140</v>
      </c>
      <c r="O515" s="122">
        <v>4</v>
      </c>
      <c r="P515" s="24" t="s">
        <v>566</v>
      </c>
      <c r="Q515" s="25">
        <v>26320</v>
      </c>
      <c r="R515" s="26" t="s">
        <v>142</v>
      </c>
      <c r="S515" s="27" t="s">
        <v>385</v>
      </c>
      <c r="T515" s="27" t="s">
        <v>144</v>
      </c>
      <c r="U515" s="124" t="s">
        <v>140</v>
      </c>
      <c r="V515" s="39">
        <v>11</v>
      </c>
      <c r="W515" s="29">
        <v>10692</v>
      </c>
      <c r="X515" s="29" t="s">
        <v>561</v>
      </c>
      <c r="Y515" s="29"/>
      <c r="Z515" s="30">
        <v>19.440000000000001</v>
      </c>
      <c r="AA515" s="136" t="s">
        <v>562</v>
      </c>
      <c r="AB515" s="136">
        <v>2</v>
      </c>
      <c r="AC515" s="122" t="s">
        <v>155</v>
      </c>
      <c r="AD515" s="32">
        <v>1.75</v>
      </c>
      <c r="AE515" s="32" t="s">
        <v>147</v>
      </c>
    </row>
    <row r="516" spans="1:31">
      <c r="A516" s="135">
        <v>4</v>
      </c>
      <c r="B516" s="20" t="s">
        <v>557</v>
      </c>
      <c r="C516" s="122">
        <v>6</v>
      </c>
      <c r="D516" s="21">
        <v>919</v>
      </c>
      <c r="E516" s="33">
        <v>1910</v>
      </c>
      <c r="F516" s="34">
        <v>106</v>
      </c>
      <c r="G516" s="34">
        <v>919106</v>
      </c>
      <c r="H516" s="119">
        <v>17.27</v>
      </c>
      <c r="I516" s="100"/>
      <c r="J516" s="100">
        <v>17.27</v>
      </c>
      <c r="K516" s="22" t="s">
        <v>137</v>
      </c>
      <c r="L516" s="23" t="s">
        <v>138</v>
      </c>
      <c r="M516" s="23" t="s">
        <v>184</v>
      </c>
      <c r="N516" s="122" t="s">
        <v>140</v>
      </c>
      <c r="O516" s="122">
        <v>4</v>
      </c>
      <c r="P516" s="24" t="s">
        <v>567</v>
      </c>
      <c r="Q516" s="25">
        <v>26320</v>
      </c>
      <c r="R516" s="26" t="s">
        <v>142</v>
      </c>
      <c r="S516" s="27" t="s">
        <v>385</v>
      </c>
      <c r="T516" s="27" t="s">
        <v>144</v>
      </c>
      <c r="U516" s="124" t="s">
        <v>140</v>
      </c>
      <c r="V516" s="39">
        <v>12</v>
      </c>
      <c r="W516" s="29">
        <v>10362</v>
      </c>
      <c r="X516" s="29" t="s">
        <v>561</v>
      </c>
      <c r="Y516" s="29"/>
      <c r="Z516" s="30">
        <v>17.27</v>
      </c>
      <c r="AA516" s="136" t="s">
        <v>562</v>
      </c>
      <c r="AB516" s="136">
        <v>2</v>
      </c>
      <c r="AC516" s="122" t="s">
        <v>146</v>
      </c>
      <c r="AD516" s="31">
        <v>1.75</v>
      </c>
      <c r="AE516" s="32" t="s">
        <v>147</v>
      </c>
    </row>
    <row r="517" spans="1:31">
      <c r="A517" s="135">
        <v>4</v>
      </c>
      <c r="B517" s="20" t="s">
        <v>557</v>
      </c>
      <c r="C517" s="122">
        <v>7</v>
      </c>
      <c r="D517" s="21">
        <v>919</v>
      </c>
      <c r="E517" s="33">
        <v>1909</v>
      </c>
      <c r="F517" s="34">
        <v>107</v>
      </c>
      <c r="G517" s="34">
        <v>919107</v>
      </c>
      <c r="H517" s="119">
        <v>26.67</v>
      </c>
      <c r="I517" s="100"/>
      <c r="J517" s="100">
        <v>26.67</v>
      </c>
      <c r="K517" s="22" t="s">
        <v>161</v>
      </c>
      <c r="L517" s="11" t="s">
        <v>138</v>
      </c>
      <c r="M517" s="23" t="s">
        <v>162</v>
      </c>
      <c r="N517" s="122" t="s">
        <v>140</v>
      </c>
      <c r="O517" s="122">
        <v>4</v>
      </c>
      <c r="P517" s="24" t="s">
        <v>564</v>
      </c>
      <c r="Q517" s="25">
        <v>26320</v>
      </c>
      <c r="R517" s="26" t="s">
        <v>142</v>
      </c>
      <c r="S517" s="27" t="s">
        <v>159</v>
      </c>
      <c r="T517" s="27" t="s">
        <v>144</v>
      </c>
      <c r="U517" s="124" t="s">
        <v>140</v>
      </c>
      <c r="V517" s="39">
        <v>6</v>
      </c>
      <c r="W517" s="29">
        <v>8001.0000000000009</v>
      </c>
      <c r="X517" s="29" t="s">
        <v>561</v>
      </c>
      <c r="Y517" s="29"/>
      <c r="Z517" s="30">
        <v>26.67</v>
      </c>
      <c r="AA517" s="136" t="s">
        <v>562</v>
      </c>
      <c r="AB517" s="136">
        <v>2</v>
      </c>
      <c r="AC517" s="122" t="s">
        <v>155</v>
      </c>
      <c r="AD517" s="31">
        <v>1.75</v>
      </c>
      <c r="AE517" s="32" t="s">
        <v>147</v>
      </c>
    </row>
    <row r="518" spans="1:31">
      <c r="A518" s="135">
        <v>4</v>
      </c>
      <c r="B518" s="20" t="s">
        <v>557</v>
      </c>
      <c r="C518" s="122">
        <v>8</v>
      </c>
      <c r="D518" s="21">
        <v>919</v>
      </c>
      <c r="E518" s="33">
        <v>1908</v>
      </c>
      <c r="F518" s="34">
        <v>108</v>
      </c>
      <c r="G518" s="34">
        <v>919108</v>
      </c>
      <c r="H518" s="119">
        <v>27.53</v>
      </c>
      <c r="I518" s="100"/>
      <c r="J518" s="100">
        <v>27.53</v>
      </c>
      <c r="K518" s="22" t="s">
        <v>137</v>
      </c>
      <c r="L518" s="11" t="s">
        <v>138</v>
      </c>
      <c r="M518" s="23" t="s">
        <v>181</v>
      </c>
      <c r="N518" s="122" t="s">
        <v>140</v>
      </c>
      <c r="O518" s="122">
        <v>4</v>
      </c>
      <c r="P518" s="24" t="s">
        <v>568</v>
      </c>
      <c r="Q518" s="25">
        <v>13120</v>
      </c>
      <c r="R518" s="26" t="s">
        <v>142</v>
      </c>
      <c r="S518" s="27" t="s">
        <v>159</v>
      </c>
      <c r="T518" s="27" t="s">
        <v>144</v>
      </c>
      <c r="U518" s="124" t="s">
        <v>140</v>
      </c>
      <c r="V518" s="39">
        <v>6</v>
      </c>
      <c r="W518" s="29">
        <v>8259</v>
      </c>
      <c r="X518" s="29" t="s">
        <v>561</v>
      </c>
      <c r="Y518" s="29"/>
      <c r="Z518" s="30">
        <v>27.53</v>
      </c>
      <c r="AA518" s="136" t="s">
        <v>562</v>
      </c>
      <c r="AB518" s="136">
        <v>2</v>
      </c>
      <c r="AC518" s="21" t="s">
        <v>146</v>
      </c>
      <c r="AD518" s="31">
        <v>1.75</v>
      </c>
      <c r="AE518" s="32" t="s">
        <v>147</v>
      </c>
    </row>
    <row r="519" spans="1:31">
      <c r="A519" s="135">
        <v>4</v>
      </c>
      <c r="B519" s="20" t="s">
        <v>557</v>
      </c>
      <c r="C519" s="122">
        <v>9</v>
      </c>
      <c r="D519" s="21">
        <v>919</v>
      </c>
      <c r="E519" s="33">
        <v>1907</v>
      </c>
      <c r="F519" s="34">
        <v>109</v>
      </c>
      <c r="G519" s="34">
        <v>919109</v>
      </c>
      <c r="H519" s="119">
        <v>15.06</v>
      </c>
      <c r="I519" s="100"/>
      <c r="J519" s="100">
        <v>15.06</v>
      </c>
      <c r="K519" s="22" t="s">
        <v>161</v>
      </c>
      <c r="L519" s="23" t="s">
        <v>138</v>
      </c>
      <c r="M519" s="23" t="s">
        <v>149</v>
      </c>
      <c r="N519" s="122" t="s">
        <v>140</v>
      </c>
      <c r="O519" s="122">
        <v>4</v>
      </c>
      <c r="P519" s="24" t="s">
        <v>569</v>
      </c>
      <c r="Q519" s="25">
        <v>16200</v>
      </c>
      <c r="R519" s="26" t="s">
        <v>384</v>
      </c>
      <c r="S519" s="27" t="s">
        <v>385</v>
      </c>
      <c r="T519" s="27" t="s">
        <v>144</v>
      </c>
      <c r="U519" s="124" t="s">
        <v>140</v>
      </c>
      <c r="V519" s="39">
        <v>11</v>
      </c>
      <c r="W519" s="29">
        <v>8283</v>
      </c>
      <c r="X519" s="29" t="s">
        <v>570</v>
      </c>
      <c r="Y519" s="29"/>
      <c r="Z519" s="30">
        <v>15.06</v>
      </c>
      <c r="AA519" s="136" t="s">
        <v>562</v>
      </c>
      <c r="AB519" s="136"/>
      <c r="AC519" s="122" t="s">
        <v>155</v>
      </c>
      <c r="AD519" s="31">
        <v>1.75</v>
      </c>
      <c r="AE519" s="32" t="s">
        <v>147</v>
      </c>
    </row>
    <row r="520" spans="1:31">
      <c r="A520" s="135">
        <v>4</v>
      </c>
      <c r="B520" s="20" t="s">
        <v>557</v>
      </c>
      <c r="C520" s="122">
        <v>10</v>
      </c>
      <c r="D520" s="21">
        <v>919</v>
      </c>
      <c r="E520" s="33" t="s">
        <v>571</v>
      </c>
      <c r="F520" s="34">
        <v>110</v>
      </c>
      <c r="G520" s="34">
        <v>919110</v>
      </c>
      <c r="H520" s="119">
        <v>9.8699999999999992</v>
      </c>
      <c r="I520" s="100"/>
      <c r="J520" s="100">
        <v>9.8699999999999992</v>
      </c>
      <c r="K520" s="22" t="s">
        <v>137</v>
      </c>
      <c r="L520" s="23" t="s">
        <v>138</v>
      </c>
      <c r="M520" s="23" t="s">
        <v>406</v>
      </c>
      <c r="N520" s="122" t="s">
        <v>140</v>
      </c>
      <c r="O520" s="122">
        <v>4</v>
      </c>
      <c r="P520" s="24" t="s">
        <v>572</v>
      </c>
      <c r="Q520" s="25">
        <v>16200</v>
      </c>
      <c r="R520" s="26" t="s">
        <v>142</v>
      </c>
      <c r="S520" s="27" t="s">
        <v>159</v>
      </c>
      <c r="T520" s="27" t="s">
        <v>144</v>
      </c>
      <c r="U520" s="124" t="s">
        <v>140</v>
      </c>
      <c r="V520" s="39">
        <v>11</v>
      </c>
      <c r="W520" s="29">
        <v>5428.5</v>
      </c>
      <c r="X520" s="29" t="s">
        <v>570</v>
      </c>
      <c r="Y520" s="29"/>
      <c r="Z520" s="30">
        <v>9.8699999999999992</v>
      </c>
      <c r="AA520" s="136" t="s">
        <v>562</v>
      </c>
      <c r="AB520" s="136"/>
      <c r="AC520" s="122" t="s">
        <v>155</v>
      </c>
      <c r="AD520" s="32">
        <v>1.75</v>
      </c>
      <c r="AE520" s="32" t="s">
        <v>147</v>
      </c>
    </row>
    <row r="521" spans="1:31">
      <c r="A521" s="135">
        <v>4</v>
      </c>
      <c r="B521" s="20" t="s">
        <v>557</v>
      </c>
      <c r="C521" s="122">
        <v>12</v>
      </c>
      <c r="D521" s="21">
        <v>919</v>
      </c>
      <c r="E521" s="33" t="s">
        <v>573</v>
      </c>
      <c r="F521" s="34">
        <v>112</v>
      </c>
      <c r="G521" s="34">
        <v>919112</v>
      </c>
      <c r="H521" s="119">
        <v>5.03</v>
      </c>
      <c r="I521" s="100"/>
      <c r="J521" s="100">
        <v>5.03</v>
      </c>
      <c r="K521" s="22" t="s">
        <v>137</v>
      </c>
      <c r="L521" s="11" t="s">
        <v>138</v>
      </c>
      <c r="M521" s="23" t="s">
        <v>559</v>
      </c>
      <c r="N521" s="122" t="s">
        <v>140</v>
      </c>
      <c r="O521" s="122">
        <v>4</v>
      </c>
      <c r="P521" s="24" t="s">
        <v>572</v>
      </c>
      <c r="Q521" s="25">
        <v>16200</v>
      </c>
      <c r="R521" s="26" t="s">
        <v>142</v>
      </c>
      <c r="S521" s="27" t="s">
        <v>159</v>
      </c>
      <c r="T521" s="27" t="s">
        <v>144</v>
      </c>
      <c r="U521" s="124" t="s">
        <v>140</v>
      </c>
      <c r="V521" s="39">
        <v>11</v>
      </c>
      <c r="W521" s="29">
        <v>2766.5</v>
      </c>
      <c r="X521" s="29" t="s">
        <v>570</v>
      </c>
      <c r="Y521" s="29"/>
      <c r="Z521" s="30">
        <v>5.03</v>
      </c>
      <c r="AA521" s="136" t="s">
        <v>562</v>
      </c>
      <c r="AB521" s="136"/>
      <c r="AC521" s="21" t="s">
        <v>155</v>
      </c>
      <c r="AD521" s="31">
        <v>1.75</v>
      </c>
      <c r="AE521" s="32" t="s">
        <v>147</v>
      </c>
    </row>
    <row r="522" spans="1:31">
      <c r="A522" s="135">
        <v>4</v>
      </c>
      <c r="B522" s="20" t="s">
        <v>557</v>
      </c>
      <c r="C522" s="122">
        <v>13</v>
      </c>
      <c r="D522" s="21">
        <v>919</v>
      </c>
      <c r="E522" s="33" t="s">
        <v>574</v>
      </c>
      <c r="F522" s="34">
        <v>113</v>
      </c>
      <c r="G522" s="34">
        <v>919113</v>
      </c>
      <c r="H522" s="119">
        <v>7</v>
      </c>
      <c r="I522" s="101"/>
      <c r="J522" s="100">
        <v>7</v>
      </c>
      <c r="K522" s="125" t="s">
        <v>137</v>
      </c>
      <c r="L522" s="11" t="s">
        <v>138</v>
      </c>
      <c r="M522" s="23" t="s">
        <v>406</v>
      </c>
      <c r="N522" s="122" t="s">
        <v>140</v>
      </c>
      <c r="O522" s="122">
        <v>4</v>
      </c>
      <c r="P522" s="24" t="s">
        <v>568</v>
      </c>
      <c r="Q522" s="25">
        <v>13120</v>
      </c>
      <c r="R522" s="26" t="s">
        <v>142</v>
      </c>
      <c r="S522" s="27" t="s">
        <v>159</v>
      </c>
      <c r="T522" s="27" t="s">
        <v>144</v>
      </c>
      <c r="U522" s="124" t="s">
        <v>140</v>
      </c>
      <c r="V522" s="39">
        <v>6</v>
      </c>
      <c r="W522" s="29">
        <v>2100</v>
      </c>
      <c r="X522" s="29" t="s">
        <v>570</v>
      </c>
      <c r="Y522" s="29"/>
      <c r="Z522" s="30">
        <v>7</v>
      </c>
      <c r="AA522" s="136" t="s">
        <v>562</v>
      </c>
      <c r="AB522" s="136"/>
      <c r="AC522" s="122" t="s">
        <v>155</v>
      </c>
      <c r="AD522" s="32">
        <v>1.75</v>
      </c>
      <c r="AE522" s="32" t="s">
        <v>147</v>
      </c>
    </row>
    <row r="523" spans="1:31">
      <c r="A523" s="135">
        <v>4</v>
      </c>
      <c r="B523" s="20" t="s">
        <v>557</v>
      </c>
      <c r="C523" s="122">
        <v>14</v>
      </c>
      <c r="D523" s="21">
        <v>919</v>
      </c>
      <c r="E523" s="33" t="s">
        <v>575</v>
      </c>
      <c r="F523" s="34">
        <v>114</v>
      </c>
      <c r="G523" s="34">
        <v>919114</v>
      </c>
      <c r="H523" s="119">
        <v>7.56</v>
      </c>
      <c r="I523" s="100"/>
      <c r="J523" s="100">
        <v>7.56</v>
      </c>
      <c r="K523" s="125" t="s">
        <v>137</v>
      </c>
      <c r="L523" s="11" t="s">
        <v>138</v>
      </c>
      <c r="M523" s="23" t="s">
        <v>576</v>
      </c>
      <c r="N523" s="122" t="s">
        <v>140</v>
      </c>
      <c r="O523" s="122">
        <v>4</v>
      </c>
      <c r="P523" s="24" t="s">
        <v>568</v>
      </c>
      <c r="Q523" s="25">
        <v>13120</v>
      </c>
      <c r="R523" s="26" t="s">
        <v>142</v>
      </c>
      <c r="S523" s="27" t="s">
        <v>159</v>
      </c>
      <c r="T523" s="27" t="s">
        <v>144</v>
      </c>
      <c r="U523" s="124" t="s">
        <v>140</v>
      </c>
      <c r="V523" s="39">
        <v>6</v>
      </c>
      <c r="W523" s="29">
        <v>2268</v>
      </c>
      <c r="X523" s="29" t="s">
        <v>570</v>
      </c>
      <c r="Y523" s="29"/>
      <c r="Z523" s="30">
        <v>7.56</v>
      </c>
      <c r="AA523" s="136" t="s">
        <v>562</v>
      </c>
      <c r="AB523" s="136"/>
      <c r="AC523" s="122" t="s">
        <v>155</v>
      </c>
      <c r="AD523" s="31">
        <v>1.75</v>
      </c>
      <c r="AE523" s="32" t="s">
        <v>147</v>
      </c>
    </row>
    <row r="524" spans="1:31">
      <c r="A524" s="135">
        <v>4</v>
      </c>
      <c r="B524" s="20" t="s">
        <v>557</v>
      </c>
      <c r="C524" s="122">
        <v>15</v>
      </c>
      <c r="D524" s="21">
        <v>919</v>
      </c>
      <c r="E524" s="33">
        <v>1913</v>
      </c>
      <c r="F524" s="34">
        <v>115</v>
      </c>
      <c r="G524" s="34">
        <v>919115</v>
      </c>
      <c r="H524" s="119">
        <v>30.99</v>
      </c>
      <c r="I524" s="100"/>
      <c r="J524" s="100">
        <v>30.99</v>
      </c>
      <c r="K524" s="125" t="s">
        <v>137</v>
      </c>
      <c r="L524" s="11" t="s">
        <v>138</v>
      </c>
      <c r="M524" s="23" t="s">
        <v>149</v>
      </c>
      <c r="N524" s="122" t="s">
        <v>140</v>
      </c>
      <c r="O524" s="122">
        <v>4</v>
      </c>
      <c r="P524" s="24" t="s">
        <v>577</v>
      </c>
      <c r="Q524" s="25">
        <v>21420</v>
      </c>
      <c r="R524" s="26" t="s">
        <v>384</v>
      </c>
      <c r="S524" s="27" t="s">
        <v>385</v>
      </c>
      <c r="T524" s="27" t="s">
        <v>144</v>
      </c>
      <c r="U524" s="124" t="s">
        <v>140</v>
      </c>
      <c r="V524" s="39">
        <v>15</v>
      </c>
      <c r="W524" s="29">
        <v>23242.5</v>
      </c>
      <c r="X524" s="29" t="s">
        <v>570</v>
      </c>
      <c r="Y524" s="29"/>
      <c r="Z524" s="30">
        <v>30.99</v>
      </c>
      <c r="AA524" s="136" t="s">
        <v>562</v>
      </c>
      <c r="AB524" s="136"/>
      <c r="AC524" s="122" t="s">
        <v>146</v>
      </c>
      <c r="AD524" s="31">
        <v>1.75</v>
      </c>
      <c r="AE524" s="32" t="s">
        <v>147</v>
      </c>
    </row>
    <row r="525" spans="1:31">
      <c r="A525" s="135">
        <v>4</v>
      </c>
      <c r="B525" s="20" t="s">
        <v>557</v>
      </c>
      <c r="C525" s="122">
        <v>16</v>
      </c>
      <c r="D525" s="21">
        <v>919</v>
      </c>
      <c r="E525" s="33" t="s">
        <v>578</v>
      </c>
      <c r="F525" s="34">
        <v>116</v>
      </c>
      <c r="G525" s="34">
        <v>919116</v>
      </c>
      <c r="H525" s="119">
        <v>9.57</v>
      </c>
      <c r="I525" s="100"/>
      <c r="J525" s="100">
        <v>9.57</v>
      </c>
      <c r="K525" s="22" t="s">
        <v>137</v>
      </c>
      <c r="L525" s="11" t="s">
        <v>138</v>
      </c>
      <c r="M525" s="23" t="s">
        <v>184</v>
      </c>
      <c r="N525" s="122" t="s">
        <v>140</v>
      </c>
      <c r="O525" s="122">
        <v>5</v>
      </c>
      <c r="P525" s="24" t="s">
        <v>579</v>
      </c>
      <c r="Q525" s="25">
        <v>21420</v>
      </c>
      <c r="R525" s="26" t="s">
        <v>142</v>
      </c>
      <c r="S525" s="27" t="s">
        <v>159</v>
      </c>
      <c r="T525" s="27" t="s">
        <v>144</v>
      </c>
      <c r="U525" s="124" t="s">
        <v>140</v>
      </c>
      <c r="V525" s="39">
        <v>7</v>
      </c>
      <c r="W525" s="29">
        <v>3349.5</v>
      </c>
      <c r="X525" s="29" t="s">
        <v>570</v>
      </c>
      <c r="Y525" s="29"/>
      <c r="Z525" s="30">
        <v>9.57</v>
      </c>
      <c r="AA525" s="136" t="s">
        <v>562</v>
      </c>
      <c r="AB525" s="136"/>
      <c r="AC525" s="21" t="s">
        <v>155</v>
      </c>
      <c r="AD525" s="31">
        <v>1.75</v>
      </c>
      <c r="AE525" s="32" t="s">
        <v>147</v>
      </c>
    </row>
    <row r="526" spans="1:31">
      <c r="A526" s="135">
        <v>4</v>
      </c>
      <c r="B526" s="20" t="s">
        <v>557</v>
      </c>
      <c r="C526" s="122">
        <v>17</v>
      </c>
      <c r="D526" s="21">
        <v>919</v>
      </c>
      <c r="E526" s="33">
        <v>1914</v>
      </c>
      <c r="F526" s="34">
        <v>117</v>
      </c>
      <c r="G526" s="34">
        <v>919117</v>
      </c>
      <c r="H526" s="119">
        <v>19.59</v>
      </c>
      <c r="I526" s="100"/>
      <c r="J526" s="101">
        <v>19.59</v>
      </c>
      <c r="K526" s="125" t="s">
        <v>161</v>
      </c>
      <c r="L526" s="11" t="s">
        <v>138</v>
      </c>
      <c r="M526" s="23" t="s">
        <v>149</v>
      </c>
      <c r="N526" s="122" t="s">
        <v>140</v>
      </c>
      <c r="O526" s="122">
        <v>5</v>
      </c>
      <c r="P526" s="24" t="s">
        <v>579</v>
      </c>
      <c r="Q526" s="25">
        <v>21420</v>
      </c>
      <c r="R526" s="26" t="s">
        <v>142</v>
      </c>
      <c r="S526" s="27" t="s">
        <v>159</v>
      </c>
      <c r="T526" s="27" t="s">
        <v>144</v>
      </c>
      <c r="U526" s="124" t="s">
        <v>140</v>
      </c>
      <c r="V526" s="39">
        <v>7</v>
      </c>
      <c r="W526" s="29">
        <v>6856.5</v>
      </c>
      <c r="X526" s="29" t="s">
        <v>570</v>
      </c>
      <c r="Y526" s="29"/>
      <c r="Z526" s="30">
        <v>19.59</v>
      </c>
      <c r="AA526" s="136" t="s">
        <v>562</v>
      </c>
      <c r="AB526" s="136"/>
      <c r="AC526" s="122" t="s">
        <v>155</v>
      </c>
      <c r="AD526" s="31">
        <v>1.75</v>
      </c>
      <c r="AE526" s="32" t="s">
        <v>147</v>
      </c>
    </row>
    <row r="527" spans="1:31">
      <c r="A527" s="135">
        <v>4</v>
      </c>
      <c r="B527" s="20" t="s">
        <v>557</v>
      </c>
      <c r="C527" s="122">
        <v>18</v>
      </c>
      <c r="D527" s="21">
        <v>919</v>
      </c>
      <c r="E527" s="33">
        <v>1915</v>
      </c>
      <c r="F527" s="34">
        <v>118</v>
      </c>
      <c r="G527" s="34">
        <v>919118</v>
      </c>
      <c r="H527" s="119">
        <v>56.21</v>
      </c>
      <c r="I527" s="100"/>
      <c r="J527" s="100">
        <v>56.21</v>
      </c>
      <c r="K527" s="125" t="s">
        <v>161</v>
      </c>
      <c r="L527" s="11" t="s">
        <v>138</v>
      </c>
      <c r="M527" s="23" t="s">
        <v>149</v>
      </c>
      <c r="N527" s="122" t="s">
        <v>140</v>
      </c>
      <c r="O527" s="122">
        <v>4</v>
      </c>
      <c r="P527" s="24" t="s">
        <v>580</v>
      </c>
      <c r="Q527" s="25">
        <v>52000</v>
      </c>
      <c r="R527" s="26" t="s">
        <v>581</v>
      </c>
      <c r="S527" s="27" t="s">
        <v>385</v>
      </c>
      <c r="T527" s="27" t="s">
        <v>144</v>
      </c>
      <c r="U527" s="124" t="s">
        <v>140</v>
      </c>
      <c r="V527" s="39">
        <v>12</v>
      </c>
      <c r="W527" s="29">
        <v>33726</v>
      </c>
      <c r="X527" s="29" t="s">
        <v>570</v>
      </c>
      <c r="Y527" s="29"/>
      <c r="Z527" s="30">
        <v>56.21</v>
      </c>
      <c r="AA527" s="136" t="s">
        <v>562</v>
      </c>
      <c r="AB527" s="136"/>
      <c r="AC527" s="122" t="s">
        <v>155</v>
      </c>
      <c r="AD527" s="31">
        <v>1.75</v>
      </c>
      <c r="AE527" s="32" t="s">
        <v>147</v>
      </c>
    </row>
    <row r="528" spans="1:31">
      <c r="A528" s="135">
        <v>4</v>
      </c>
      <c r="B528" s="20" t="s">
        <v>557</v>
      </c>
      <c r="C528" s="122">
        <v>19</v>
      </c>
      <c r="D528" s="21">
        <v>919</v>
      </c>
      <c r="E528" s="33">
        <v>1916</v>
      </c>
      <c r="F528" s="34">
        <v>119</v>
      </c>
      <c r="G528" s="34">
        <v>919119</v>
      </c>
      <c r="H528" s="119">
        <v>107.01</v>
      </c>
      <c r="I528" s="100"/>
      <c r="J528" s="100">
        <v>107.01</v>
      </c>
      <c r="K528" s="125" t="s">
        <v>161</v>
      </c>
      <c r="L528" s="11" t="s">
        <v>138</v>
      </c>
      <c r="M528" s="23" t="s">
        <v>149</v>
      </c>
      <c r="N528" s="122" t="s">
        <v>140</v>
      </c>
      <c r="O528" s="122">
        <v>4</v>
      </c>
      <c r="P528" s="24" t="s">
        <v>582</v>
      </c>
      <c r="Q528" s="25">
        <v>52000</v>
      </c>
      <c r="R528" s="26" t="s">
        <v>581</v>
      </c>
      <c r="S528" s="27" t="s">
        <v>385</v>
      </c>
      <c r="T528" s="27" t="s">
        <v>144</v>
      </c>
      <c r="U528" s="124" t="s">
        <v>140</v>
      </c>
      <c r="V528" s="39">
        <v>10</v>
      </c>
      <c r="W528" s="29">
        <v>53505</v>
      </c>
      <c r="X528" s="29" t="s">
        <v>570</v>
      </c>
      <c r="Y528" s="29"/>
      <c r="Z528" s="30">
        <v>107.01</v>
      </c>
      <c r="AA528" s="136" t="s">
        <v>562</v>
      </c>
      <c r="AB528" s="136"/>
      <c r="AC528" s="122" t="s">
        <v>155</v>
      </c>
      <c r="AD528" s="31">
        <v>1.75</v>
      </c>
      <c r="AE528" s="32" t="s">
        <v>147</v>
      </c>
    </row>
    <row r="529" spans="1:31">
      <c r="A529" s="135">
        <v>4</v>
      </c>
      <c r="B529" s="38" t="s">
        <v>557</v>
      </c>
      <c r="C529" s="122">
        <v>17</v>
      </c>
      <c r="D529" s="21">
        <v>919</v>
      </c>
      <c r="E529" s="33" t="s">
        <v>193</v>
      </c>
      <c r="F529" s="34">
        <v>120</v>
      </c>
      <c r="G529" s="34">
        <v>919120</v>
      </c>
      <c r="H529" s="119">
        <v>13.569000000000001</v>
      </c>
      <c r="I529" s="101">
        <v>13.569000000000001</v>
      </c>
      <c r="J529" s="100"/>
      <c r="K529" s="58" t="s">
        <v>148</v>
      </c>
      <c r="L529" s="6" t="s">
        <v>148</v>
      </c>
      <c r="M529" s="23"/>
      <c r="N529" s="122" t="s">
        <v>140</v>
      </c>
      <c r="O529" s="122">
        <v>4</v>
      </c>
      <c r="P529" s="11" t="s">
        <v>583</v>
      </c>
      <c r="Q529" s="45">
        <v>47200</v>
      </c>
      <c r="R529" s="21" t="s">
        <v>384</v>
      </c>
      <c r="S529" s="46" t="s">
        <v>361</v>
      </c>
      <c r="T529" s="46"/>
      <c r="U529" s="47" t="s">
        <v>278</v>
      </c>
      <c r="V529" s="48"/>
      <c r="W529" s="47"/>
      <c r="X529" s="47"/>
      <c r="Y529" s="47"/>
      <c r="Z529" s="47"/>
      <c r="AA529" s="49"/>
      <c r="AB529" s="49"/>
      <c r="AC529" s="21"/>
      <c r="AD529" s="31"/>
      <c r="AE529" s="32" t="s">
        <v>194</v>
      </c>
    </row>
    <row r="530" spans="1:31">
      <c r="A530" s="135">
        <v>4</v>
      </c>
      <c r="B530" s="38" t="s">
        <v>557</v>
      </c>
      <c r="C530" s="122">
        <v>18</v>
      </c>
      <c r="D530" s="21">
        <v>919</v>
      </c>
      <c r="E530" s="33" t="s">
        <v>193</v>
      </c>
      <c r="F530" s="34">
        <v>121</v>
      </c>
      <c r="G530" s="34">
        <v>919121</v>
      </c>
      <c r="H530" s="119">
        <v>13.268000000000001</v>
      </c>
      <c r="I530" s="100"/>
      <c r="J530" s="100">
        <v>13.268000000000001</v>
      </c>
      <c r="K530" s="125" t="s">
        <v>172</v>
      </c>
      <c r="L530" s="11" t="s">
        <v>86</v>
      </c>
      <c r="M530" s="23"/>
      <c r="N530" s="122" t="s">
        <v>140</v>
      </c>
      <c r="O530" s="122">
        <v>4</v>
      </c>
      <c r="P530" s="24" t="s">
        <v>584</v>
      </c>
      <c r="Q530" s="25">
        <v>47200</v>
      </c>
      <c r="R530" s="26" t="s">
        <v>384</v>
      </c>
      <c r="S530" s="27" t="s">
        <v>159</v>
      </c>
      <c r="T530" s="27" t="s">
        <v>144</v>
      </c>
      <c r="U530" s="124" t="s">
        <v>140</v>
      </c>
      <c r="V530" s="39">
        <v>6</v>
      </c>
      <c r="W530" s="29">
        <v>3980.4</v>
      </c>
      <c r="X530" s="29" t="s">
        <v>585</v>
      </c>
      <c r="Y530" s="29">
        <v>1</v>
      </c>
      <c r="Z530" s="30">
        <v>13.268000000000001</v>
      </c>
      <c r="AA530" s="136" t="s">
        <v>586</v>
      </c>
      <c r="AB530" s="136">
        <v>2</v>
      </c>
      <c r="AC530" s="122" t="s">
        <v>155</v>
      </c>
      <c r="AD530" s="31"/>
      <c r="AE530" s="32" t="s">
        <v>194</v>
      </c>
    </row>
    <row r="531" spans="1:31">
      <c r="A531" s="135">
        <v>4</v>
      </c>
      <c r="B531" s="38" t="s">
        <v>557</v>
      </c>
      <c r="C531" s="122">
        <v>19</v>
      </c>
      <c r="D531" s="21">
        <v>919</v>
      </c>
      <c r="E531" s="33" t="s">
        <v>193</v>
      </c>
      <c r="F531" s="34">
        <v>122</v>
      </c>
      <c r="G531" s="34">
        <v>919122</v>
      </c>
      <c r="H531" s="119">
        <v>17.373999999999999</v>
      </c>
      <c r="I531" s="101">
        <v>17.373999999999999</v>
      </c>
      <c r="J531" s="100"/>
      <c r="K531" s="58" t="s">
        <v>148</v>
      </c>
      <c r="L531" s="6" t="s">
        <v>148</v>
      </c>
      <c r="M531" s="23"/>
      <c r="N531" s="122" t="s">
        <v>140</v>
      </c>
      <c r="O531" s="122">
        <v>4</v>
      </c>
      <c r="P531" s="11" t="s">
        <v>583</v>
      </c>
      <c r="Q531" s="45">
        <v>47200</v>
      </c>
      <c r="R531" s="21" t="s">
        <v>384</v>
      </c>
      <c r="S531" s="46" t="s">
        <v>361</v>
      </c>
      <c r="T531" s="46" t="s">
        <v>587</v>
      </c>
      <c r="U531" s="47" t="s">
        <v>278</v>
      </c>
      <c r="V531" s="48"/>
      <c r="W531" s="47"/>
      <c r="X531" s="47"/>
      <c r="Y531" s="47"/>
      <c r="Z531" s="47"/>
      <c r="AA531" s="49"/>
      <c r="AB531" s="49"/>
      <c r="AC531" s="122"/>
      <c r="AD531" s="31"/>
      <c r="AE531" s="32" t="s">
        <v>194</v>
      </c>
    </row>
    <row r="532" spans="1:31">
      <c r="A532" s="135">
        <v>4</v>
      </c>
      <c r="B532" s="38" t="s">
        <v>557</v>
      </c>
      <c r="C532" s="122">
        <v>20</v>
      </c>
      <c r="D532" s="21">
        <v>919</v>
      </c>
      <c r="E532" s="33" t="s">
        <v>193</v>
      </c>
      <c r="F532" s="34">
        <v>123</v>
      </c>
      <c r="G532" s="34">
        <v>919123</v>
      </c>
      <c r="H532" s="119">
        <v>27.149000000000001</v>
      </c>
      <c r="I532" s="101"/>
      <c r="J532" s="100">
        <v>27.149000000000001</v>
      </c>
      <c r="K532" s="125" t="s">
        <v>172</v>
      </c>
      <c r="L532" s="11" t="s">
        <v>86</v>
      </c>
      <c r="M532" s="23"/>
      <c r="N532" s="122" t="s">
        <v>140</v>
      </c>
      <c r="O532" s="122">
        <v>4</v>
      </c>
      <c r="P532" s="24" t="s">
        <v>584</v>
      </c>
      <c r="Q532" s="25">
        <v>47200</v>
      </c>
      <c r="R532" s="26" t="s">
        <v>384</v>
      </c>
      <c r="S532" s="27" t="s">
        <v>159</v>
      </c>
      <c r="T532" s="27" t="s">
        <v>144</v>
      </c>
      <c r="U532" s="124" t="s">
        <v>140</v>
      </c>
      <c r="V532" s="39">
        <v>6</v>
      </c>
      <c r="W532" s="29">
        <v>8144.7000000000007</v>
      </c>
      <c r="X532" s="29" t="s">
        <v>585</v>
      </c>
      <c r="Y532" s="29"/>
      <c r="Z532" s="30">
        <v>27.149000000000001</v>
      </c>
      <c r="AA532" s="136" t="s">
        <v>586</v>
      </c>
      <c r="AB532" s="136">
        <v>2</v>
      </c>
      <c r="AC532" s="122" t="s">
        <v>155</v>
      </c>
      <c r="AD532" s="31"/>
      <c r="AE532" s="32" t="s">
        <v>194</v>
      </c>
    </row>
    <row r="533" spans="1:31">
      <c r="A533" s="135">
        <v>4</v>
      </c>
      <c r="B533" s="38" t="s">
        <v>557</v>
      </c>
      <c r="C533" s="122">
        <v>21</v>
      </c>
      <c r="D533" s="21">
        <v>919</v>
      </c>
      <c r="E533" s="33" t="s">
        <v>193</v>
      </c>
      <c r="F533" s="34">
        <v>124</v>
      </c>
      <c r="G533" s="34">
        <v>919124</v>
      </c>
      <c r="H533" s="119">
        <v>20.271000000000001</v>
      </c>
      <c r="I533" s="100"/>
      <c r="J533" s="100">
        <v>20.271000000000001</v>
      </c>
      <c r="K533" s="22" t="s">
        <v>172</v>
      </c>
      <c r="L533" s="11" t="s">
        <v>86</v>
      </c>
      <c r="M533" s="23"/>
      <c r="N533" s="122" t="s">
        <v>140</v>
      </c>
      <c r="O533" s="122">
        <v>4</v>
      </c>
      <c r="P533" s="24" t="s">
        <v>584</v>
      </c>
      <c r="Q533" s="25">
        <v>47200</v>
      </c>
      <c r="R533" s="26" t="s">
        <v>384</v>
      </c>
      <c r="S533" s="27" t="s">
        <v>159</v>
      </c>
      <c r="T533" s="27" t="s">
        <v>144</v>
      </c>
      <c r="U533" s="124" t="s">
        <v>140</v>
      </c>
      <c r="V533" s="39">
        <v>6</v>
      </c>
      <c r="W533" s="29">
        <v>6081.3</v>
      </c>
      <c r="X533" s="29" t="s">
        <v>585</v>
      </c>
      <c r="Y533" s="29"/>
      <c r="Z533" s="30">
        <v>20.271000000000001</v>
      </c>
      <c r="AA533" s="136" t="s">
        <v>586</v>
      </c>
      <c r="AB533" s="136">
        <v>2</v>
      </c>
      <c r="AC533" s="122" t="s">
        <v>155</v>
      </c>
      <c r="AD533" s="31"/>
      <c r="AE533" s="32" t="s">
        <v>194</v>
      </c>
    </row>
    <row r="534" spans="1:31">
      <c r="A534" s="135">
        <v>4</v>
      </c>
      <c r="B534" s="38" t="s">
        <v>557</v>
      </c>
      <c r="C534" s="122">
        <v>22</v>
      </c>
      <c r="D534" s="21">
        <v>919</v>
      </c>
      <c r="E534" s="33" t="s">
        <v>193</v>
      </c>
      <c r="F534" s="34">
        <v>125</v>
      </c>
      <c r="G534" s="34">
        <v>919125</v>
      </c>
      <c r="H534" s="119">
        <v>28.681000000000001</v>
      </c>
      <c r="I534" s="100"/>
      <c r="J534" s="100">
        <v>28.681000000000001</v>
      </c>
      <c r="K534" s="125" t="s">
        <v>172</v>
      </c>
      <c r="L534" s="11" t="s">
        <v>86</v>
      </c>
      <c r="M534" s="23"/>
      <c r="N534" s="122" t="s">
        <v>140</v>
      </c>
      <c r="O534" s="122">
        <v>4</v>
      </c>
      <c r="P534" s="24" t="s">
        <v>584</v>
      </c>
      <c r="Q534" s="25">
        <v>47200</v>
      </c>
      <c r="R534" s="26" t="s">
        <v>384</v>
      </c>
      <c r="S534" s="27" t="s">
        <v>159</v>
      </c>
      <c r="T534" s="27" t="s">
        <v>144</v>
      </c>
      <c r="U534" s="124" t="s">
        <v>140</v>
      </c>
      <c r="V534" s="39">
        <v>6</v>
      </c>
      <c r="W534" s="29">
        <v>8604.3000000000011</v>
      </c>
      <c r="X534" s="29" t="s">
        <v>585</v>
      </c>
      <c r="Y534" s="29"/>
      <c r="Z534" s="30">
        <v>28.681000000000001</v>
      </c>
      <c r="AA534" s="136" t="s">
        <v>586</v>
      </c>
      <c r="AB534" s="136">
        <v>2</v>
      </c>
      <c r="AC534" s="122" t="s">
        <v>155</v>
      </c>
      <c r="AD534" s="31"/>
      <c r="AE534" s="32" t="s">
        <v>194</v>
      </c>
    </row>
    <row r="535" spans="1:31">
      <c r="A535" s="135">
        <v>4</v>
      </c>
      <c r="B535" s="38" t="s">
        <v>557</v>
      </c>
      <c r="C535" s="122">
        <v>23</v>
      </c>
      <c r="D535" s="21">
        <v>919</v>
      </c>
      <c r="E535" s="33" t="s">
        <v>193</v>
      </c>
      <c r="F535" s="34">
        <v>126</v>
      </c>
      <c r="G535" s="34">
        <v>919126</v>
      </c>
      <c r="H535" s="119">
        <v>22.658000000000001</v>
      </c>
      <c r="I535" s="100"/>
      <c r="J535" s="100">
        <v>22.658000000000001</v>
      </c>
      <c r="K535" s="22" t="s">
        <v>172</v>
      </c>
      <c r="L535" s="11" t="s">
        <v>86</v>
      </c>
      <c r="M535" s="23"/>
      <c r="N535" s="122" t="s">
        <v>140</v>
      </c>
      <c r="O535" s="122">
        <v>4</v>
      </c>
      <c r="P535" s="24" t="s">
        <v>584</v>
      </c>
      <c r="Q535" s="25">
        <v>47200</v>
      </c>
      <c r="R535" s="26" t="s">
        <v>384</v>
      </c>
      <c r="S535" s="27" t="s">
        <v>159</v>
      </c>
      <c r="T535" s="27" t="s">
        <v>144</v>
      </c>
      <c r="U535" s="124" t="s">
        <v>140</v>
      </c>
      <c r="V535" s="39">
        <v>6</v>
      </c>
      <c r="W535" s="29">
        <v>6797.4000000000005</v>
      </c>
      <c r="X535" s="29" t="s">
        <v>585</v>
      </c>
      <c r="Y535" s="29"/>
      <c r="Z535" s="30">
        <v>22.658000000000001</v>
      </c>
      <c r="AA535" s="136" t="s">
        <v>586</v>
      </c>
      <c r="AB535" s="136">
        <v>2</v>
      </c>
      <c r="AC535" s="122" t="s">
        <v>155</v>
      </c>
      <c r="AD535" s="31"/>
      <c r="AE535" s="32" t="s">
        <v>194</v>
      </c>
    </row>
    <row r="536" spans="1:31">
      <c r="A536" s="135">
        <v>4</v>
      </c>
      <c r="B536" s="38" t="s">
        <v>557</v>
      </c>
      <c r="C536" s="122">
        <v>24</v>
      </c>
      <c r="D536" s="21">
        <v>919</v>
      </c>
      <c r="E536" s="33" t="s">
        <v>193</v>
      </c>
      <c r="F536" s="34">
        <v>127</v>
      </c>
      <c r="G536" s="34">
        <v>919127</v>
      </c>
      <c r="H536" s="119">
        <v>10.766</v>
      </c>
      <c r="I536" s="100">
        <v>10.766</v>
      </c>
      <c r="J536" s="100"/>
      <c r="K536" s="58" t="s">
        <v>148</v>
      </c>
      <c r="L536" s="6" t="s">
        <v>148</v>
      </c>
      <c r="M536" s="23"/>
      <c r="N536" s="122" t="s">
        <v>140</v>
      </c>
      <c r="O536" s="122">
        <v>4</v>
      </c>
      <c r="P536" s="11" t="s">
        <v>583</v>
      </c>
      <c r="Q536" s="45">
        <v>47200</v>
      </c>
      <c r="R536" s="21" t="s">
        <v>384</v>
      </c>
      <c r="S536" s="46" t="s">
        <v>361</v>
      </c>
      <c r="T536" s="46"/>
      <c r="U536" s="47" t="s">
        <v>278</v>
      </c>
      <c r="V536" s="48"/>
      <c r="W536" s="47"/>
      <c r="X536" s="47"/>
      <c r="Y536" s="47"/>
      <c r="Z536" s="47"/>
      <c r="AA536" s="49"/>
      <c r="AB536" s="49"/>
      <c r="AC536" s="122"/>
      <c r="AD536" s="31"/>
      <c r="AE536" s="32" t="s">
        <v>194</v>
      </c>
    </row>
    <row r="537" spans="1:31">
      <c r="A537" s="135">
        <v>4</v>
      </c>
      <c r="B537" s="38" t="s">
        <v>557</v>
      </c>
      <c r="C537" s="122">
        <v>25</v>
      </c>
      <c r="D537" s="21">
        <v>919</v>
      </c>
      <c r="E537" s="33" t="s">
        <v>193</v>
      </c>
      <c r="F537" s="34">
        <v>128</v>
      </c>
      <c r="G537" s="34">
        <v>919128</v>
      </c>
      <c r="H537" s="119">
        <v>28.538</v>
      </c>
      <c r="I537" s="100"/>
      <c r="J537" s="100">
        <v>28.538</v>
      </c>
      <c r="K537" s="22" t="s">
        <v>172</v>
      </c>
      <c r="L537" s="11" t="s">
        <v>86</v>
      </c>
      <c r="M537" s="23"/>
      <c r="N537" s="122" t="s">
        <v>140</v>
      </c>
      <c r="O537" s="122">
        <v>4</v>
      </c>
      <c r="P537" s="24" t="s">
        <v>584</v>
      </c>
      <c r="Q537" s="25">
        <v>47200</v>
      </c>
      <c r="R537" s="26" t="s">
        <v>384</v>
      </c>
      <c r="S537" s="27" t="s">
        <v>159</v>
      </c>
      <c r="T537" s="27" t="s">
        <v>144</v>
      </c>
      <c r="U537" s="124" t="s">
        <v>140</v>
      </c>
      <c r="V537" s="39">
        <v>6</v>
      </c>
      <c r="W537" s="29">
        <v>8561.4</v>
      </c>
      <c r="X537" s="29" t="s">
        <v>585</v>
      </c>
      <c r="Y537" s="29"/>
      <c r="Z537" s="30">
        <v>28.538</v>
      </c>
      <c r="AA537" s="136" t="s">
        <v>586</v>
      </c>
      <c r="AB537" s="136">
        <v>2</v>
      </c>
      <c r="AC537" s="122" t="s">
        <v>155</v>
      </c>
      <c r="AD537" s="31"/>
      <c r="AE537" s="32" t="s">
        <v>194</v>
      </c>
    </row>
    <row r="538" spans="1:31">
      <c r="A538" s="135">
        <v>4</v>
      </c>
      <c r="B538" s="38" t="s">
        <v>557</v>
      </c>
      <c r="C538" s="122">
        <v>26</v>
      </c>
      <c r="D538" s="21">
        <v>919</v>
      </c>
      <c r="E538" s="33" t="s">
        <v>193</v>
      </c>
      <c r="F538" s="34">
        <v>129</v>
      </c>
      <c r="G538" s="34">
        <v>919129</v>
      </c>
      <c r="H538" s="119">
        <v>26.658000000000001</v>
      </c>
      <c r="I538" s="100"/>
      <c r="J538" s="100">
        <v>26.658000000000001</v>
      </c>
      <c r="K538" s="22" t="s">
        <v>172</v>
      </c>
      <c r="L538" s="11" t="s">
        <v>86</v>
      </c>
      <c r="M538" s="23"/>
      <c r="N538" s="122" t="s">
        <v>140</v>
      </c>
      <c r="O538" s="122">
        <v>4</v>
      </c>
      <c r="P538" s="24" t="s">
        <v>584</v>
      </c>
      <c r="Q538" s="25">
        <v>47200</v>
      </c>
      <c r="R538" s="26" t="s">
        <v>384</v>
      </c>
      <c r="S538" s="27" t="s">
        <v>159</v>
      </c>
      <c r="T538" s="27" t="s">
        <v>144</v>
      </c>
      <c r="U538" s="124" t="s">
        <v>140</v>
      </c>
      <c r="V538" s="39">
        <v>6</v>
      </c>
      <c r="W538" s="29">
        <v>7997.4000000000005</v>
      </c>
      <c r="X538" s="29" t="s">
        <v>585</v>
      </c>
      <c r="Y538" s="29"/>
      <c r="Z538" s="30">
        <v>26.658000000000001</v>
      </c>
      <c r="AA538" s="136" t="s">
        <v>586</v>
      </c>
      <c r="AB538" s="136">
        <v>2</v>
      </c>
      <c r="AC538" s="122" t="s">
        <v>155</v>
      </c>
      <c r="AD538" s="31"/>
      <c r="AE538" s="32" t="s">
        <v>194</v>
      </c>
    </row>
    <row r="539" spans="1:31">
      <c r="A539" s="135">
        <v>4</v>
      </c>
      <c r="B539" s="38" t="s">
        <v>557</v>
      </c>
      <c r="C539" s="122">
        <v>27</v>
      </c>
      <c r="D539" s="21">
        <v>919</v>
      </c>
      <c r="E539" s="33" t="s">
        <v>193</v>
      </c>
      <c r="F539" s="34">
        <v>130</v>
      </c>
      <c r="G539" s="34">
        <v>919130</v>
      </c>
      <c r="H539" s="119">
        <v>20.02</v>
      </c>
      <c r="I539" s="100">
        <v>20.02</v>
      </c>
      <c r="J539" s="100"/>
      <c r="K539" s="58" t="s">
        <v>148</v>
      </c>
      <c r="L539" s="6" t="s">
        <v>148</v>
      </c>
      <c r="M539" s="23"/>
      <c r="N539" s="122" t="s">
        <v>140</v>
      </c>
      <c r="O539" s="122">
        <v>4</v>
      </c>
      <c r="P539" s="11" t="s">
        <v>583</v>
      </c>
      <c r="Q539" s="45">
        <v>47200</v>
      </c>
      <c r="R539" s="21" t="s">
        <v>384</v>
      </c>
      <c r="S539" s="46" t="s">
        <v>361</v>
      </c>
      <c r="T539" s="46"/>
      <c r="U539" s="47" t="s">
        <v>278</v>
      </c>
      <c r="V539" s="48"/>
      <c r="W539" s="47"/>
      <c r="X539" s="47"/>
      <c r="Y539" s="47"/>
      <c r="Z539" s="47"/>
      <c r="AA539" s="49"/>
      <c r="AB539" s="49"/>
      <c r="AC539" s="21"/>
      <c r="AD539" s="31"/>
      <c r="AE539" s="32" t="s">
        <v>194</v>
      </c>
    </row>
    <row r="540" spans="1:31">
      <c r="A540" s="135">
        <v>4</v>
      </c>
      <c r="B540" s="38" t="s">
        <v>557</v>
      </c>
      <c r="C540" s="122">
        <v>28</v>
      </c>
      <c r="D540" s="21">
        <v>919</v>
      </c>
      <c r="E540" s="33" t="s">
        <v>193</v>
      </c>
      <c r="F540" s="34">
        <v>131</v>
      </c>
      <c r="G540" s="34">
        <v>919131</v>
      </c>
      <c r="H540" s="119">
        <v>22.635000000000002</v>
      </c>
      <c r="I540" s="100">
        <v>22.635000000000002</v>
      </c>
      <c r="J540" s="100"/>
      <c r="K540" s="58" t="s">
        <v>148</v>
      </c>
      <c r="L540" s="6" t="s">
        <v>148</v>
      </c>
      <c r="M540" s="23"/>
      <c r="N540" s="122" t="s">
        <v>140</v>
      </c>
      <c r="O540" s="122">
        <v>4</v>
      </c>
      <c r="P540" s="11" t="s">
        <v>583</v>
      </c>
      <c r="Q540" s="45">
        <v>47200</v>
      </c>
      <c r="R540" s="21" t="s">
        <v>384</v>
      </c>
      <c r="S540" s="46" t="s">
        <v>361</v>
      </c>
      <c r="T540" s="46"/>
      <c r="U540" s="47" t="s">
        <v>278</v>
      </c>
      <c r="V540" s="48"/>
      <c r="W540" s="47"/>
      <c r="X540" s="47"/>
      <c r="Y540" s="47"/>
      <c r="Z540" s="47"/>
      <c r="AA540" s="49"/>
      <c r="AB540" s="49"/>
      <c r="AC540" s="21"/>
      <c r="AD540" s="31"/>
      <c r="AE540" s="32" t="s">
        <v>194</v>
      </c>
    </row>
    <row r="541" spans="1:31">
      <c r="A541" s="135">
        <v>4</v>
      </c>
      <c r="B541" s="38" t="s">
        <v>557</v>
      </c>
      <c r="C541" s="122">
        <v>29</v>
      </c>
      <c r="D541" s="21">
        <v>919</v>
      </c>
      <c r="E541" s="33" t="s">
        <v>193</v>
      </c>
      <c r="F541" s="34">
        <v>132</v>
      </c>
      <c r="G541" s="34">
        <v>919132</v>
      </c>
      <c r="H541" s="119">
        <v>21.716999999999999</v>
      </c>
      <c r="I541" s="100">
        <v>21.716999999999999</v>
      </c>
      <c r="J541" s="100"/>
      <c r="K541" s="58" t="s">
        <v>148</v>
      </c>
      <c r="L541" s="6" t="s">
        <v>148</v>
      </c>
      <c r="M541" s="23"/>
      <c r="N541" s="122" t="s">
        <v>140</v>
      </c>
      <c r="O541" s="122">
        <v>4</v>
      </c>
      <c r="P541" s="11" t="s">
        <v>583</v>
      </c>
      <c r="Q541" s="45">
        <v>47200</v>
      </c>
      <c r="R541" s="21" t="s">
        <v>384</v>
      </c>
      <c r="S541" s="46" t="s">
        <v>361</v>
      </c>
      <c r="T541" s="46"/>
      <c r="U541" s="47" t="s">
        <v>278</v>
      </c>
      <c r="V541" s="48"/>
      <c r="W541" s="47"/>
      <c r="X541" s="47"/>
      <c r="Y541" s="47"/>
      <c r="Z541" s="47"/>
      <c r="AA541" s="49"/>
      <c r="AB541" s="49"/>
      <c r="AC541" s="21"/>
      <c r="AD541" s="31"/>
      <c r="AE541" s="32" t="s">
        <v>194</v>
      </c>
    </row>
    <row r="542" spans="1:31">
      <c r="A542" s="135">
        <v>4</v>
      </c>
      <c r="B542" s="38" t="s">
        <v>557</v>
      </c>
      <c r="C542" s="122">
        <v>30</v>
      </c>
      <c r="D542" s="21">
        <v>919</v>
      </c>
      <c r="E542" s="33" t="s">
        <v>193</v>
      </c>
      <c r="F542" s="34">
        <v>133</v>
      </c>
      <c r="G542" s="34">
        <v>919133</v>
      </c>
      <c r="H542" s="119">
        <v>33.866999999999997</v>
      </c>
      <c r="I542" s="100">
        <v>33.866999999999997</v>
      </c>
      <c r="J542" s="100"/>
      <c r="K542" s="58" t="s">
        <v>148</v>
      </c>
      <c r="L542" s="6" t="s">
        <v>148</v>
      </c>
      <c r="M542" s="23"/>
      <c r="N542" s="122" t="s">
        <v>140</v>
      </c>
      <c r="O542" s="122">
        <v>4</v>
      </c>
      <c r="P542" s="11" t="s">
        <v>583</v>
      </c>
      <c r="Q542" s="45">
        <v>47200</v>
      </c>
      <c r="R542" s="21" t="s">
        <v>384</v>
      </c>
      <c r="S542" s="46" t="s">
        <v>361</v>
      </c>
      <c r="T542" s="46"/>
      <c r="U542" s="47" t="s">
        <v>278</v>
      </c>
      <c r="V542" s="48"/>
      <c r="W542" s="47"/>
      <c r="X542" s="47"/>
      <c r="Y542" s="47"/>
      <c r="Z542" s="47"/>
      <c r="AA542" s="49"/>
      <c r="AB542" s="49"/>
      <c r="AC542" s="21"/>
      <c r="AD542" s="31"/>
      <c r="AE542" s="32" t="s">
        <v>194</v>
      </c>
    </row>
    <row r="543" spans="1:31">
      <c r="A543" s="135">
        <v>4</v>
      </c>
      <c r="B543" s="20" t="s">
        <v>588</v>
      </c>
      <c r="C543" s="122">
        <v>1</v>
      </c>
      <c r="D543" s="21">
        <v>920</v>
      </c>
      <c r="E543" s="33">
        <v>1814</v>
      </c>
      <c r="F543" s="34">
        <v>101</v>
      </c>
      <c r="G543" s="34">
        <v>920101</v>
      </c>
      <c r="H543" s="119">
        <v>32.75</v>
      </c>
      <c r="I543" s="101"/>
      <c r="J543" s="101">
        <v>32.75</v>
      </c>
      <c r="K543" s="125" t="s">
        <v>137</v>
      </c>
      <c r="L543" s="11" t="s">
        <v>138</v>
      </c>
      <c r="M543" s="23" t="s">
        <v>590</v>
      </c>
      <c r="N543" s="122" t="s">
        <v>140</v>
      </c>
      <c r="O543" s="122">
        <v>4</v>
      </c>
      <c r="P543" s="24" t="s">
        <v>591</v>
      </c>
      <c r="Q543" s="25">
        <v>30080</v>
      </c>
      <c r="R543" s="26" t="s">
        <v>142</v>
      </c>
      <c r="S543" s="27" t="s">
        <v>159</v>
      </c>
      <c r="T543" s="27" t="s">
        <v>144</v>
      </c>
      <c r="U543" s="124" t="s">
        <v>140</v>
      </c>
      <c r="V543" s="39">
        <v>6</v>
      </c>
      <c r="W543" s="29">
        <v>9825</v>
      </c>
      <c r="X543" s="29" t="s">
        <v>570</v>
      </c>
      <c r="Y543" s="29"/>
      <c r="Z543" s="30">
        <v>32.75</v>
      </c>
      <c r="AA543" s="136" t="s">
        <v>592</v>
      </c>
      <c r="AB543" s="136"/>
      <c r="AC543" s="122" t="s">
        <v>146</v>
      </c>
      <c r="AD543" s="31">
        <v>1.75</v>
      </c>
      <c r="AE543" s="32" t="s">
        <v>194</v>
      </c>
    </row>
    <row r="544" spans="1:31">
      <c r="A544" s="135">
        <v>4</v>
      </c>
      <c r="B544" s="20" t="s">
        <v>588</v>
      </c>
      <c r="C544" s="122">
        <v>2</v>
      </c>
      <c r="D544" s="21">
        <v>920</v>
      </c>
      <c r="E544" s="33">
        <v>1819</v>
      </c>
      <c r="F544" s="34">
        <v>102</v>
      </c>
      <c r="G544" s="34">
        <v>920102</v>
      </c>
      <c r="H544" s="119">
        <v>23.95</v>
      </c>
      <c r="I544" s="101"/>
      <c r="J544" s="101">
        <v>23.95</v>
      </c>
      <c r="K544" s="125" t="s">
        <v>172</v>
      </c>
      <c r="L544" s="11" t="s">
        <v>86</v>
      </c>
      <c r="M544" s="23" t="s">
        <v>488</v>
      </c>
      <c r="N544" s="122" t="s">
        <v>140</v>
      </c>
      <c r="O544" s="122">
        <v>4</v>
      </c>
      <c r="P544" s="24" t="s">
        <v>591</v>
      </c>
      <c r="Q544" s="25">
        <v>30080</v>
      </c>
      <c r="R544" s="26" t="s">
        <v>142</v>
      </c>
      <c r="S544" s="27" t="s">
        <v>159</v>
      </c>
      <c r="T544" s="27" t="s">
        <v>144</v>
      </c>
      <c r="U544" s="124" t="s">
        <v>140</v>
      </c>
      <c r="V544" s="39">
        <v>6</v>
      </c>
      <c r="W544" s="29">
        <v>7185</v>
      </c>
      <c r="X544" s="29" t="s">
        <v>570</v>
      </c>
      <c r="Y544" s="29"/>
      <c r="Z544" s="30">
        <v>23.95</v>
      </c>
      <c r="AA544" s="136" t="s">
        <v>592</v>
      </c>
      <c r="AB544" s="136"/>
      <c r="AC544" s="122" t="s">
        <v>155</v>
      </c>
      <c r="AD544" s="31">
        <v>1.85</v>
      </c>
      <c r="AE544" s="32" t="s">
        <v>194</v>
      </c>
    </row>
    <row r="545" spans="1:31">
      <c r="A545" s="135">
        <v>4</v>
      </c>
      <c r="B545" s="20" t="s">
        <v>588</v>
      </c>
      <c r="C545" s="122"/>
      <c r="D545" s="21">
        <v>920</v>
      </c>
      <c r="E545" s="33" t="s">
        <v>593</v>
      </c>
      <c r="F545" s="34">
        <v>103</v>
      </c>
      <c r="G545" s="34">
        <v>920103</v>
      </c>
      <c r="H545" s="119">
        <v>23.340000000000003</v>
      </c>
      <c r="I545" s="101"/>
      <c r="J545" s="101">
        <v>23.340000000000003</v>
      </c>
      <c r="K545" s="125" t="s">
        <v>172</v>
      </c>
      <c r="L545" s="11" t="s">
        <v>86</v>
      </c>
      <c r="M545" s="23"/>
      <c r="N545" s="122" t="s">
        <v>140</v>
      </c>
      <c r="O545" s="122">
        <v>4</v>
      </c>
      <c r="P545" s="24" t="s">
        <v>594</v>
      </c>
      <c r="Q545" s="25">
        <v>51000</v>
      </c>
      <c r="R545" s="26" t="s">
        <v>142</v>
      </c>
      <c r="S545" s="27" t="s">
        <v>595</v>
      </c>
      <c r="T545" s="27" t="s">
        <v>144</v>
      </c>
      <c r="U545" s="124" t="s">
        <v>140</v>
      </c>
      <c r="V545" s="39">
        <v>8</v>
      </c>
      <c r="W545" s="29">
        <v>9336.0000000000018</v>
      </c>
      <c r="X545" s="29" t="s">
        <v>570</v>
      </c>
      <c r="Y545" s="29"/>
      <c r="Z545" s="30">
        <v>23.340000000000003</v>
      </c>
      <c r="AA545" s="136" t="s">
        <v>592</v>
      </c>
      <c r="AB545" s="136"/>
      <c r="AC545" s="122" t="s">
        <v>155</v>
      </c>
      <c r="AD545" s="31">
        <v>1.85</v>
      </c>
      <c r="AE545" s="32" t="s">
        <v>194</v>
      </c>
    </row>
    <row r="546" spans="1:31">
      <c r="A546" s="135">
        <v>4</v>
      </c>
      <c r="B546" s="20" t="s">
        <v>588</v>
      </c>
      <c r="C546" s="122">
        <v>3</v>
      </c>
      <c r="D546" s="21">
        <v>920</v>
      </c>
      <c r="E546" s="33">
        <v>1818</v>
      </c>
      <c r="F546" s="34">
        <v>103</v>
      </c>
      <c r="G546" s="34">
        <v>920103.1</v>
      </c>
      <c r="H546" s="119">
        <v>11.53</v>
      </c>
      <c r="I546" s="101"/>
      <c r="J546" s="101">
        <v>11.53</v>
      </c>
      <c r="K546" s="125" t="s">
        <v>137</v>
      </c>
      <c r="L546" s="11" t="s">
        <v>138</v>
      </c>
      <c r="M546" s="23" t="s">
        <v>310</v>
      </c>
      <c r="N546" s="122" t="s">
        <v>140</v>
      </c>
      <c r="O546" s="122"/>
      <c r="P546" s="24" t="s">
        <v>594</v>
      </c>
      <c r="Q546" s="25">
        <v>51000</v>
      </c>
      <c r="R546" s="26" t="s">
        <v>142</v>
      </c>
      <c r="S546" s="27" t="s">
        <v>595</v>
      </c>
      <c r="T546" s="27" t="s">
        <v>144</v>
      </c>
      <c r="U546" s="124" t="s">
        <v>140</v>
      </c>
      <c r="V546" s="39">
        <v>8</v>
      </c>
      <c r="W546" s="29">
        <v>4612</v>
      </c>
      <c r="X546" s="29" t="s">
        <v>570</v>
      </c>
      <c r="Y546" s="29"/>
      <c r="Z546" s="30">
        <v>11.53</v>
      </c>
      <c r="AA546" s="136" t="s">
        <v>592</v>
      </c>
      <c r="AB546" s="136"/>
      <c r="AC546" s="122" t="s">
        <v>155</v>
      </c>
      <c r="AD546" s="31">
        <v>1.75</v>
      </c>
      <c r="AE546" s="32" t="s">
        <v>194</v>
      </c>
    </row>
    <row r="547" spans="1:31">
      <c r="A547" s="135">
        <v>4</v>
      </c>
      <c r="B547" s="20" t="s">
        <v>588</v>
      </c>
      <c r="C547" s="122">
        <v>1</v>
      </c>
      <c r="D547" s="21">
        <v>920</v>
      </c>
      <c r="E547" s="33">
        <v>1817</v>
      </c>
      <c r="F547" s="34">
        <v>104</v>
      </c>
      <c r="G547" s="34">
        <v>920104</v>
      </c>
      <c r="H547" s="119">
        <v>33.6</v>
      </c>
      <c r="I547" s="101"/>
      <c r="J547" s="101">
        <v>33.6</v>
      </c>
      <c r="K547" s="35" t="s">
        <v>137</v>
      </c>
      <c r="L547" s="6" t="s">
        <v>138</v>
      </c>
      <c r="M547" s="23" t="s">
        <v>596</v>
      </c>
      <c r="N547" s="122" t="s">
        <v>140</v>
      </c>
      <c r="O547" s="122"/>
      <c r="P547" s="24" t="s">
        <v>591</v>
      </c>
      <c r="Q547" s="25">
        <v>30080</v>
      </c>
      <c r="R547" s="26" t="s">
        <v>142</v>
      </c>
      <c r="S547" s="27" t="s">
        <v>159</v>
      </c>
      <c r="T547" s="27" t="s">
        <v>144</v>
      </c>
      <c r="U547" s="124" t="s">
        <v>140</v>
      </c>
      <c r="V547" s="39">
        <v>6</v>
      </c>
      <c r="W547" s="29">
        <v>10080</v>
      </c>
      <c r="X547" s="29" t="s">
        <v>570</v>
      </c>
      <c r="Y547" s="29"/>
      <c r="Z547" s="30">
        <v>33.6</v>
      </c>
      <c r="AA547" s="136" t="s">
        <v>592</v>
      </c>
      <c r="AB547" s="136"/>
      <c r="AC547" s="122" t="s">
        <v>597</v>
      </c>
      <c r="AD547" s="31">
        <v>1.75</v>
      </c>
      <c r="AE547" s="32" t="s">
        <v>194</v>
      </c>
    </row>
    <row r="548" spans="1:31">
      <c r="A548" s="135">
        <v>4</v>
      </c>
      <c r="B548" s="20" t="s">
        <v>588</v>
      </c>
      <c r="C548" s="122">
        <v>2</v>
      </c>
      <c r="D548" s="21">
        <v>920</v>
      </c>
      <c r="E548" s="33">
        <v>1816</v>
      </c>
      <c r="F548" s="34">
        <v>105</v>
      </c>
      <c r="G548" s="34">
        <v>920105</v>
      </c>
      <c r="H548" s="119">
        <v>16.77</v>
      </c>
      <c r="I548" s="101"/>
      <c r="J548" s="101">
        <v>16.77</v>
      </c>
      <c r="K548" s="125" t="s">
        <v>137</v>
      </c>
      <c r="L548" s="11" t="s">
        <v>138</v>
      </c>
      <c r="M548" s="23" t="s">
        <v>310</v>
      </c>
      <c r="N548" s="122" t="s">
        <v>140</v>
      </c>
      <c r="O548" s="122">
        <v>4</v>
      </c>
      <c r="P548" s="24" t="s">
        <v>594</v>
      </c>
      <c r="Q548" s="25">
        <v>51000</v>
      </c>
      <c r="R548" s="26" t="s">
        <v>142</v>
      </c>
      <c r="S548" s="27" t="s">
        <v>595</v>
      </c>
      <c r="T548" s="27" t="s">
        <v>144</v>
      </c>
      <c r="U548" s="124" t="s">
        <v>140</v>
      </c>
      <c r="V548" s="39">
        <v>8</v>
      </c>
      <c r="W548" s="29">
        <v>6708</v>
      </c>
      <c r="X548" s="29" t="s">
        <v>570</v>
      </c>
      <c r="Y548" s="29"/>
      <c r="Z548" s="30">
        <v>16.77</v>
      </c>
      <c r="AA548" s="136" t="s">
        <v>592</v>
      </c>
      <c r="AB548" s="136"/>
      <c r="AC548" s="122" t="s">
        <v>155</v>
      </c>
      <c r="AD548" s="31">
        <v>1.75</v>
      </c>
      <c r="AE548" s="32" t="s">
        <v>194</v>
      </c>
    </row>
    <row r="549" spans="1:31">
      <c r="A549" s="135">
        <v>4</v>
      </c>
      <c r="B549" s="20" t="s">
        <v>588</v>
      </c>
      <c r="C549" s="122">
        <v>3</v>
      </c>
      <c r="D549" s="21">
        <v>920</v>
      </c>
      <c r="E549" s="33">
        <v>1812</v>
      </c>
      <c r="F549" s="34">
        <v>106</v>
      </c>
      <c r="G549" s="34">
        <v>920106</v>
      </c>
      <c r="H549" s="119">
        <v>67.040000000000006</v>
      </c>
      <c r="I549" s="101"/>
      <c r="J549" s="101">
        <v>67.040000000000006</v>
      </c>
      <c r="K549" s="125" t="s">
        <v>137</v>
      </c>
      <c r="L549" s="11" t="s">
        <v>138</v>
      </c>
      <c r="M549" s="23" t="s">
        <v>149</v>
      </c>
      <c r="N549" s="122" t="s">
        <v>140</v>
      </c>
      <c r="O549" s="122">
        <v>4</v>
      </c>
      <c r="P549" s="24" t="s">
        <v>594</v>
      </c>
      <c r="Q549" s="25">
        <v>51000</v>
      </c>
      <c r="R549" s="26" t="s">
        <v>142</v>
      </c>
      <c r="S549" s="27" t="s">
        <v>595</v>
      </c>
      <c r="T549" s="27" t="s">
        <v>144</v>
      </c>
      <c r="U549" s="124" t="s">
        <v>140</v>
      </c>
      <c r="V549" s="39">
        <v>8</v>
      </c>
      <c r="W549" s="29">
        <v>26816.000000000004</v>
      </c>
      <c r="X549" s="29" t="s">
        <v>598</v>
      </c>
      <c r="Y549" s="29"/>
      <c r="Z549" s="30">
        <v>67.040000000000006</v>
      </c>
      <c r="AA549" s="136" t="s">
        <v>599</v>
      </c>
      <c r="AB549" s="136">
        <v>2</v>
      </c>
      <c r="AC549" s="122" t="s">
        <v>146</v>
      </c>
      <c r="AD549" s="31">
        <v>1.75</v>
      </c>
      <c r="AE549" s="32" t="s">
        <v>194</v>
      </c>
    </row>
    <row r="550" spans="1:31">
      <c r="A550" s="135">
        <v>4</v>
      </c>
      <c r="B550" s="20" t="s">
        <v>588</v>
      </c>
      <c r="C550" s="122">
        <v>4</v>
      </c>
      <c r="D550" s="21">
        <v>920</v>
      </c>
      <c r="E550" s="33">
        <v>1811</v>
      </c>
      <c r="F550" s="34">
        <v>107</v>
      </c>
      <c r="G550" s="34">
        <v>920107</v>
      </c>
      <c r="H550" s="119">
        <v>47.06</v>
      </c>
      <c r="I550" s="105">
        <v>47.06</v>
      </c>
      <c r="J550" s="101"/>
      <c r="K550" s="35" t="s">
        <v>148</v>
      </c>
      <c r="L550" s="6" t="s">
        <v>148</v>
      </c>
      <c r="M550" s="23" t="s">
        <v>600</v>
      </c>
      <c r="N550" s="122" t="s">
        <v>140</v>
      </c>
      <c r="O550" s="122">
        <v>4</v>
      </c>
      <c r="P550" s="24" t="s">
        <v>601</v>
      </c>
      <c r="Q550" s="25">
        <v>25600</v>
      </c>
      <c r="R550" s="26" t="s">
        <v>142</v>
      </c>
      <c r="S550" s="27" t="s">
        <v>159</v>
      </c>
      <c r="T550" s="27" t="s">
        <v>587</v>
      </c>
      <c r="U550" s="124" t="s">
        <v>140</v>
      </c>
      <c r="V550" s="39">
        <v>10</v>
      </c>
      <c r="W550" s="29"/>
      <c r="X550" s="29" t="s">
        <v>570</v>
      </c>
      <c r="Y550" s="29"/>
      <c r="Z550" s="30">
        <v>0</v>
      </c>
      <c r="AA550" s="136"/>
      <c r="AB550" s="136"/>
      <c r="AC550" s="122" t="s">
        <v>155</v>
      </c>
      <c r="AD550" s="31">
        <v>1.85</v>
      </c>
      <c r="AE550" s="32" t="s">
        <v>194</v>
      </c>
    </row>
    <row r="551" spans="1:31">
      <c r="A551" s="135">
        <v>4</v>
      </c>
      <c r="B551" s="20" t="s">
        <v>588</v>
      </c>
      <c r="C551" s="122">
        <v>5</v>
      </c>
      <c r="D551" s="21">
        <v>920</v>
      </c>
      <c r="E551" s="33">
        <v>1804</v>
      </c>
      <c r="F551" s="34">
        <v>108</v>
      </c>
      <c r="G551" s="34">
        <v>920108</v>
      </c>
      <c r="H551" s="119">
        <v>44</v>
      </c>
      <c r="I551" s="101"/>
      <c r="J551" s="101">
        <v>44</v>
      </c>
      <c r="K551" s="125" t="s">
        <v>172</v>
      </c>
      <c r="L551" s="11" t="s">
        <v>86</v>
      </c>
      <c r="M551" s="23" t="s">
        <v>149</v>
      </c>
      <c r="N551" s="122" t="s">
        <v>140</v>
      </c>
      <c r="O551" s="122">
        <v>4</v>
      </c>
      <c r="P551" s="24" t="s">
        <v>602</v>
      </c>
      <c r="Q551" s="25">
        <v>37600</v>
      </c>
      <c r="R551" s="26" t="s">
        <v>142</v>
      </c>
      <c r="S551" s="27" t="s">
        <v>385</v>
      </c>
      <c r="T551" s="27" t="s">
        <v>144</v>
      </c>
      <c r="U551" s="124" t="s">
        <v>140</v>
      </c>
      <c r="V551" s="39">
        <v>6</v>
      </c>
      <c r="W551" s="29">
        <v>13200</v>
      </c>
      <c r="X551" s="29" t="s">
        <v>570</v>
      </c>
      <c r="Y551" s="29"/>
      <c r="Z551" s="30">
        <v>44</v>
      </c>
      <c r="AA551" s="136" t="s">
        <v>592</v>
      </c>
      <c r="AB551" s="136"/>
      <c r="AC551" s="122" t="s">
        <v>155</v>
      </c>
      <c r="AD551" s="31">
        <v>1.85</v>
      </c>
      <c r="AE551" s="32" t="s">
        <v>194</v>
      </c>
    </row>
    <row r="552" spans="1:31">
      <c r="A552" s="135">
        <v>4</v>
      </c>
      <c r="B552" s="20" t="s">
        <v>588</v>
      </c>
      <c r="C552" s="122">
        <v>6</v>
      </c>
      <c r="D552" s="21">
        <v>920</v>
      </c>
      <c r="E552" s="33">
        <v>1806</v>
      </c>
      <c r="F552" s="34">
        <v>109</v>
      </c>
      <c r="G552" s="34">
        <v>920109</v>
      </c>
      <c r="H552" s="119">
        <v>28.34</v>
      </c>
      <c r="I552" s="105">
        <v>28.34</v>
      </c>
      <c r="J552" s="101"/>
      <c r="K552" s="125" t="s">
        <v>148</v>
      </c>
      <c r="L552" s="11" t="s">
        <v>148</v>
      </c>
      <c r="M552" s="23" t="s">
        <v>290</v>
      </c>
      <c r="N552" s="122" t="s">
        <v>140</v>
      </c>
      <c r="O552" s="122"/>
      <c r="P552" s="24" t="s">
        <v>603</v>
      </c>
      <c r="Q552" s="25">
        <v>37600</v>
      </c>
      <c r="R552" s="26" t="s">
        <v>142</v>
      </c>
      <c r="S552" s="27" t="s">
        <v>159</v>
      </c>
      <c r="T552" s="27" t="s">
        <v>587</v>
      </c>
      <c r="U552" s="124" t="s">
        <v>140</v>
      </c>
      <c r="V552" s="39">
        <v>6</v>
      </c>
      <c r="W552" s="29"/>
      <c r="X552" s="29" t="s">
        <v>598</v>
      </c>
      <c r="Y552" s="29"/>
      <c r="Z552" s="30">
        <v>0</v>
      </c>
      <c r="AA552" s="136"/>
      <c r="AB552" s="136"/>
      <c r="AC552" s="122" t="s">
        <v>155</v>
      </c>
      <c r="AD552" s="31">
        <v>1.85</v>
      </c>
      <c r="AE552" s="32" t="s">
        <v>194</v>
      </c>
    </row>
    <row r="553" spans="1:31">
      <c r="A553" s="135">
        <v>4</v>
      </c>
      <c r="B553" s="20" t="s">
        <v>588</v>
      </c>
      <c r="C553" s="122">
        <v>7</v>
      </c>
      <c r="D553" s="21">
        <v>920</v>
      </c>
      <c r="E553" s="33">
        <v>1805</v>
      </c>
      <c r="F553" s="34">
        <v>110</v>
      </c>
      <c r="G553" s="34">
        <v>920110</v>
      </c>
      <c r="H553" s="119">
        <v>44.35</v>
      </c>
      <c r="I553" s="101"/>
      <c r="J553" s="101">
        <v>44.35</v>
      </c>
      <c r="K553" s="125" t="s">
        <v>172</v>
      </c>
      <c r="L553" s="11" t="s">
        <v>86</v>
      </c>
      <c r="M553" s="23" t="s">
        <v>604</v>
      </c>
      <c r="N553" s="122" t="s">
        <v>140</v>
      </c>
      <c r="O553" s="122">
        <v>4</v>
      </c>
      <c r="P553" s="24" t="s">
        <v>605</v>
      </c>
      <c r="Q553" s="25">
        <v>37600</v>
      </c>
      <c r="R553" s="26" t="s">
        <v>142</v>
      </c>
      <c r="S553" s="27" t="s">
        <v>385</v>
      </c>
      <c r="T553" s="27" t="s">
        <v>144</v>
      </c>
      <c r="U553" s="124" t="s">
        <v>140</v>
      </c>
      <c r="V553" s="39">
        <v>6</v>
      </c>
      <c r="W553" s="29">
        <v>13305</v>
      </c>
      <c r="X553" s="29" t="s">
        <v>598</v>
      </c>
      <c r="Y553" s="29"/>
      <c r="Z553" s="30">
        <v>44.35</v>
      </c>
      <c r="AA553" s="136" t="s">
        <v>599</v>
      </c>
      <c r="AB553" s="136">
        <v>2</v>
      </c>
      <c r="AC553" s="122" t="s">
        <v>155</v>
      </c>
      <c r="AD553" s="31">
        <v>1.85</v>
      </c>
      <c r="AE553" s="32" t="s">
        <v>194</v>
      </c>
    </row>
    <row r="554" spans="1:31">
      <c r="A554" s="135">
        <v>4</v>
      </c>
      <c r="B554" s="20" t="s">
        <v>588</v>
      </c>
      <c r="C554" s="122">
        <v>7</v>
      </c>
      <c r="D554" s="21">
        <v>920</v>
      </c>
      <c r="E554" s="33">
        <v>1801</v>
      </c>
      <c r="F554" s="34">
        <v>111</v>
      </c>
      <c r="G554" s="34">
        <v>920111</v>
      </c>
      <c r="H554" s="119">
        <v>21.15</v>
      </c>
      <c r="I554" s="101"/>
      <c r="J554" s="101">
        <v>21.15</v>
      </c>
      <c r="K554" s="35" t="s">
        <v>137</v>
      </c>
      <c r="L554" s="6" t="s">
        <v>138</v>
      </c>
      <c r="M554" s="23" t="s">
        <v>149</v>
      </c>
      <c r="N554" s="122" t="s">
        <v>140</v>
      </c>
      <c r="O554" s="122">
        <v>4</v>
      </c>
      <c r="P554" s="24" t="s">
        <v>603</v>
      </c>
      <c r="Q554" s="25">
        <v>37600</v>
      </c>
      <c r="R554" s="26" t="s">
        <v>142</v>
      </c>
      <c r="S554" s="27" t="s">
        <v>159</v>
      </c>
      <c r="T554" s="27" t="s">
        <v>144</v>
      </c>
      <c r="U554" s="124" t="s">
        <v>140</v>
      </c>
      <c r="V554" s="39">
        <v>6</v>
      </c>
      <c r="W554" s="29">
        <v>6345</v>
      </c>
      <c r="X554" s="29" t="s">
        <v>598</v>
      </c>
      <c r="Y554" s="29"/>
      <c r="Z554" s="30">
        <v>21.15</v>
      </c>
      <c r="AA554" s="136" t="s">
        <v>599</v>
      </c>
      <c r="AB554" s="136">
        <v>2</v>
      </c>
      <c r="AC554" s="122" t="s">
        <v>146</v>
      </c>
      <c r="AD554" s="31">
        <v>1.75</v>
      </c>
      <c r="AE554" s="32" t="s">
        <v>194</v>
      </c>
    </row>
    <row r="555" spans="1:31">
      <c r="A555" s="135">
        <v>4</v>
      </c>
      <c r="B555" s="20" t="s">
        <v>588</v>
      </c>
      <c r="C555" s="122">
        <v>9</v>
      </c>
      <c r="D555" s="21">
        <v>920</v>
      </c>
      <c r="E555" s="33">
        <v>1810</v>
      </c>
      <c r="F555" s="34">
        <v>113</v>
      </c>
      <c r="G555" s="34">
        <v>920113</v>
      </c>
      <c r="H555" s="119">
        <v>10.46</v>
      </c>
      <c r="I555" s="101"/>
      <c r="J555" s="101">
        <v>10.46</v>
      </c>
      <c r="K555" s="35" t="s">
        <v>137</v>
      </c>
      <c r="L555" s="6" t="s">
        <v>138</v>
      </c>
      <c r="M555" s="23" t="s">
        <v>559</v>
      </c>
      <c r="N555" s="122" t="s">
        <v>140</v>
      </c>
      <c r="O555" s="122"/>
      <c r="P555" s="24" t="s">
        <v>603</v>
      </c>
      <c r="Q555" s="25">
        <v>37600</v>
      </c>
      <c r="R555" s="26" t="s">
        <v>142</v>
      </c>
      <c r="S555" s="27" t="s">
        <v>606</v>
      </c>
      <c r="T555" s="27" t="s">
        <v>144</v>
      </c>
      <c r="U555" s="124" t="s">
        <v>140</v>
      </c>
      <c r="V555" s="39">
        <v>6</v>
      </c>
      <c r="W555" s="29">
        <v>3138.0000000000005</v>
      </c>
      <c r="X555" s="29" t="s">
        <v>570</v>
      </c>
      <c r="Y555" s="29"/>
      <c r="Z555" s="30">
        <v>10.46</v>
      </c>
      <c r="AA555" s="136" t="s">
        <v>592</v>
      </c>
      <c r="AB555" s="136"/>
      <c r="AC555" s="122" t="s">
        <v>155</v>
      </c>
      <c r="AD555" s="31">
        <v>1.75</v>
      </c>
      <c r="AE555" s="32" t="s">
        <v>194</v>
      </c>
    </row>
    <row r="556" spans="1:31">
      <c r="A556" s="135">
        <v>4</v>
      </c>
      <c r="B556" s="38" t="s">
        <v>101</v>
      </c>
      <c r="C556" s="122">
        <v>1</v>
      </c>
      <c r="D556" s="122">
        <v>910</v>
      </c>
      <c r="E556" s="33">
        <v>1702</v>
      </c>
      <c r="F556" s="34">
        <v>101</v>
      </c>
      <c r="G556" s="34">
        <v>910101</v>
      </c>
      <c r="H556" s="119">
        <v>31.22</v>
      </c>
      <c r="I556" s="101"/>
      <c r="J556" s="110">
        <v>31.22</v>
      </c>
      <c r="K556" s="125" t="s">
        <v>172</v>
      </c>
      <c r="L556" s="11" t="s">
        <v>86</v>
      </c>
      <c r="M556" s="23" t="s">
        <v>173</v>
      </c>
      <c r="N556" s="122" t="s">
        <v>140</v>
      </c>
      <c r="O556" s="122">
        <v>4</v>
      </c>
      <c r="P556" s="24" t="s">
        <v>453</v>
      </c>
      <c r="Q556" s="25">
        <v>13312</v>
      </c>
      <c r="R556" s="26"/>
      <c r="S556" s="27" t="s">
        <v>312</v>
      </c>
      <c r="T556" s="27" t="s">
        <v>144</v>
      </c>
      <c r="U556" s="124" t="s">
        <v>140</v>
      </c>
      <c r="V556" s="39">
        <v>9</v>
      </c>
      <c r="W556" s="29">
        <v>14049</v>
      </c>
      <c r="X556" s="29" t="s">
        <v>607</v>
      </c>
      <c r="Y556" s="29"/>
      <c r="Z556" s="30">
        <v>31.22</v>
      </c>
      <c r="AA556" s="136" t="s">
        <v>608</v>
      </c>
      <c r="AB556" s="136">
        <v>2</v>
      </c>
      <c r="AC556" s="122" t="s">
        <v>155</v>
      </c>
      <c r="AD556" s="31">
        <v>1.85</v>
      </c>
      <c r="AE556" s="32" t="s">
        <v>194</v>
      </c>
    </row>
    <row r="557" spans="1:31">
      <c r="A557" s="135">
        <v>4</v>
      </c>
      <c r="B557" s="38" t="s">
        <v>101</v>
      </c>
      <c r="C557" s="122">
        <v>1</v>
      </c>
      <c r="D557" s="122">
        <v>910</v>
      </c>
      <c r="E557" s="33">
        <v>1704</v>
      </c>
      <c r="F557" s="34">
        <v>102</v>
      </c>
      <c r="G557" s="34">
        <v>910102</v>
      </c>
      <c r="H557" s="119">
        <v>42.78</v>
      </c>
      <c r="I557" s="101"/>
      <c r="J557" s="107">
        <v>42.78</v>
      </c>
      <c r="K557" s="22" t="s">
        <v>137</v>
      </c>
      <c r="L557" s="23" t="s">
        <v>138</v>
      </c>
      <c r="M557" s="23" t="s">
        <v>609</v>
      </c>
      <c r="N557" s="122" t="s">
        <v>140</v>
      </c>
      <c r="O557" s="122">
        <v>4</v>
      </c>
      <c r="P557" s="24" t="s">
        <v>610</v>
      </c>
      <c r="Q557" s="25">
        <v>13312</v>
      </c>
      <c r="R557" s="26"/>
      <c r="S557" s="27" t="s">
        <v>312</v>
      </c>
      <c r="T557" s="27" t="s">
        <v>144</v>
      </c>
      <c r="U557" s="124" t="s">
        <v>140</v>
      </c>
      <c r="V557" s="39">
        <v>9</v>
      </c>
      <c r="W557" s="29">
        <v>19251</v>
      </c>
      <c r="X557" s="29" t="s">
        <v>607</v>
      </c>
      <c r="Y557" s="29"/>
      <c r="Z557" s="30">
        <v>42.78</v>
      </c>
      <c r="AA557" s="136" t="s">
        <v>608</v>
      </c>
      <c r="AB557" s="136">
        <v>2</v>
      </c>
      <c r="AC557" s="21" t="s">
        <v>155</v>
      </c>
      <c r="AD557" s="31">
        <v>1.75</v>
      </c>
      <c r="AE557" s="32" t="s">
        <v>194</v>
      </c>
    </row>
    <row r="558" spans="1:31">
      <c r="A558" s="135">
        <v>4</v>
      </c>
      <c r="B558" s="38" t="s">
        <v>101</v>
      </c>
      <c r="C558" s="122">
        <v>2</v>
      </c>
      <c r="D558" s="122">
        <v>910</v>
      </c>
      <c r="E558" s="33">
        <v>1703</v>
      </c>
      <c r="F558" s="34">
        <v>103</v>
      </c>
      <c r="G558" s="34">
        <v>910103</v>
      </c>
      <c r="H558" s="119">
        <v>36.840000000000003</v>
      </c>
      <c r="I558" s="100"/>
      <c r="J558" s="107">
        <v>36.840000000000003</v>
      </c>
      <c r="K558" s="22" t="s">
        <v>172</v>
      </c>
      <c r="L558" s="23" t="s">
        <v>86</v>
      </c>
      <c r="M558" s="23" t="s">
        <v>149</v>
      </c>
      <c r="N558" s="122" t="s">
        <v>140</v>
      </c>
      <c r="O558" s="122">
        <v>4</v>
      </c>
      <c r="P558" s="24" t="s">
        <v>458</v>
      </c>
      <c r="Q558" s="25">
        <v>6656</v>
      </c>
      <c r="R558" s="26"/>
      <c r="S558" s="27" t="s">
        <v>312</v>
      </c>
      <c r="T558" s="27" t="s">
        <v>144</v>
      </c>
      <c r="U558" s="124" t="s">
        <v>255</v>
      </c>
      <c r="V558" s="39">
        <v>3</v>
      </c>
      <c r="W558" s="29">
        <v>5526.0000000000009</v>
      </c>
      <c r="X558" s="29" t="s">
        <v>607</v>
      </c>
      <c r="Y558" s="29">
        <v>2</v>
      </c>
      <c r="Z558" s="30">
        <v>36.840000000000003</v>
      </c>
      <c r="AA558" s="136" t="s">
        <v>608</v>
      </c>
      <c r="AB558" s="136">
        <v>2</v>
      </c>
      <c r="AC558" s="21" t="s">
        <v>155</v>
      </c>
      <c r="AD558" s="31">
        <v>1.85</v>
      </c>
      <c r="AE558" s="32" t="s">
        <v>194</v>
      </c>
    </row>
    <row r="559" spans="1:31">
      <c r="A559" s="135">
        <v>4</v>
      </c>
      <c r="B559" s="38" t="s">
        <v>101</v>
      </c>
      <c r="C559" s="122">
        <v>2</v>
      </c>
      <c r="D559" s="122">
        <v>910</v>
      </c>
      <c r="E559" s="33">
        <v>1705</v>
      </c>
      <c r="F559" s="34">
        <v>104</v>
      </c>
      <c r="G559" s="34">
        <v>910104</v>
      </c>
      <c r="H559" s="119">
        <v>17.72</v>
      </c>
      <c r="I559" s="100"/>
      <c r="J559" s="100">
        <v>17.72</v>
      </c>
      <c r="K559" s="22" t="s">
        <v>170</v>
      </c>
      <c r="L559" s="11" t="s">
        <v>86</v>
      </c>
      <c r="M559" s="23" t="s">
        <v>149</v>
      </c>
      <c r="N559" s="122" t="s">
        <v>140</v>
      </c>
      <c r="O559" s="122">
        <v>4</v>
      </c>
      <c r="P559" s="24" t="s">
        <v>611</v>
      </c>
      <c r="Q559" s="25">
        <v>168800</v>
      </c>
      <c r="R559" s="26" t="s">
        <v>142</v>
      </c>
      <c r="S559" s="27" t="s">
        <v>159</v>
      </c>
      <c r="T559" s="27" t="s">
        <v>144</v>
      </c>
      <c r="U559" s="124" t="s">
        <v>140</v>
      </c>
      <c r="V559" s="39">
        <v>11</v>
      </c>
      <c r="W559" s="29">
        <v>9746</v>
      </c>
      <c r="X559" s="29" t="s">
        <v>607</v>
      </c>
      <c r="Y559" s="29"/>
      <c r="Z559" s="30">
        <v>17.72</v>
      </c>
      <c r="AA559" s="136" t="s">
        <v>608</v>
      </c>
      <c r="AB559" s="136">
        <v>2</v>
      </c>
      <c r="AC559" s="21" t="s">
        <v>155</v>
      </c>
      <c r="AD559" s="31">
        <v>1.75</v>
      </c>
      <c r="AE559" s="32" t="s">
        <v>194</v>
      </c>
    </row>
    <row r="560" spans="1:31">
      <c r="A560" s="135">
        <v>4</v>
      </c>
      <c r="B560" s="38" t="s">
        <v>101</v>
      </c>
      <c r="C560" s="122">
        <v>3</v>
      </c>
      <c r="D560" s="122">
        <v>910</v>
      </c>
      <c r="E560" s="33" t="s">
        <v>612</v>
      </c>
      <c r="F560" s="34">
        <v>105</v>
      </c>
      <c r="G560" s="34">
        <v>910105</v>
      </c>
      <c r="H560" s="119">
        <v>20.69</v>
      </c>
      <c r="I560" s="100"/>
      <c r="J560" s="100">
        <v>20.69</v>
      </c>
      <c r="K560" s="22" t="s">
        <v>170</v>
      </c>
      <c r="L560" s="11" t="s">
        <v>86</v>
      </c>
      <c r="M560" s="23" t="s">
        <v>613</v>
      </c>
      <c r="N560" s="122" t="s">
        <v>140</v>
      </c>
      <c r="O560" s="122">
        <v>4</v>
      </c>
      <c r="P560" s="24" t="s">
        <v>614</v>
      </c>
      <c r="Q560" s="25">
        <v>168800</v>
      </c>
      <c r="R560" s="26" t="s">
        <v>142</v>
      </c>
      <c r="S560" s="27" t="s">
        <v>159</v>
      </c>
      <c r="T560" s="27" t="s">
        <v>144</v>
      </c>
      <c r="U560" s="124" t="s">
        <v>140</v>
      </c>
      <c r="V560" s="39">
        <v>11</v>
      </c>
      <c r="W560" s="29">
        <v>11379.5</v>
      </c>
      <c r="X560" s="29" t="s">
        <v>607</v>
      </c>
      <c r="Y560" s="29"/>
      <c r="Z560" s="30">
        <v>20.69</v>
      </c>
      <c r="AA560" s="136" t="s">
        <v>608</v>
      </c>
      <c r="AB560" s="136">
        <v>2</v>
      </c>
      <c r="AC560" s="21" t="s">
        <v>155</v>
      </c>
      <c r="AD560" s="31">
        <v>1.85</v>
      </c>
      <c r="AE560" s="32" t="s">
        <v>194</v>
      </c>
    </row>
    <row r="561" spans="1:31">
      <c r="A561" s="135">
        <v>4</v>
      </c>
      <c r="B561" s="38" t="s">
        <v>101</v>
      </c>
      <c r="C561" s="122">
        <v>4</v>
      </c>
      <c r="D561" s="122">
        <v>910</v>
      </c>
      <c r="E561" s="33">
        <v>1706</v>
      </c>
      <c r="F561" s="34">
        <v>106</v>
      </c>
      <c r="G561" s="34">
        <v>910106</v>
      </c>
      <c r="H561" s="119">
        <v>24.35</v>
      </c>
      <c r="I561" s="100"/>
      <c r="J561" s="101">
        <v>24.35</v>
      </c>
      <c r="K561" s="125" t="s">
        <v>170</v>
      </c>
      <c r="L561" s="11" t="s">
        <v>86</v>
      </c>
      <c r="M561" s="23" t="s">
        <v>613</v>
      </c>
      <c r="N561" s="122" t="s">
        <v>140</v>
      </c>
      <c r="O561" s="122">
        <v>4</v>
      </c>
      <c r="P561" s="24" t="s">
        <v>611</v>
      </c>
      <c r="Q561" s="25">
        <v>168800</v>
      </c>
      <c r="R561" s="26" t="s">
        <v>142</v>
      </c>
      <c r="S561" s="27" t="s">
        <v>159</v>
      </c>
      <c r="T561" s="27" t="s">
        <v>144</v>
      </c>
      <c r="U561" s="124" t="s">
        <v>140</v>
      </c>
      <c r="V561" s="39">
        <v>11</v>
      </c>
      <c r="W561" s="29">
        <v>13392.5</v>
      </c>
      <c r="X561" s="29" t="s">
        <v>607</v>
      </c>
      <c r="Y561" s="29"/>
      <c r="Z561" s="30">
        <v>24.35</v>
      </c>
      <c r="AA561" s="136" t="s">
        <v>608</v>
      </c>
      <c r="AB561" s="136">
        <v>2</v>
      </c>
      <c r="AC561" s="122" t="s">
        <v>155</v>
      </c>
      <c r="AD561" s="31">
        <v>1.85</v>
      </c>
      <c r="AE561" s="32" t="s">
        <v>194</v>
      </c>
    </row>
    <row r="562" spans="1:31">
      <c r="A562" s="135">
        <v>4</v>
      </c>
      <c r="B562" s="38" t="s">
        <v>101</v>
      </c>
      <c r="C562" s="122">
        <v>5</v>
      </c>
      <c r="D562" s="122">
        <v>910</v>
      </c>
      <c r="E562" s="33" t="s">
        <v>615</v>
      </c>
      <c r="F562" s="34">
        <v>107</v>
      </c>
      <c r="G562" s="34">
        <v>910107</v>
      </c>
      <c r="H562" s="119">
        <v>21.05</v>
      </c>
      <c r="I562" s="100"/>
      <c r="J562" s="100">
        <v>21.05</v>
      </c>
      <c r="K562" s="22" t="s">
        <v>161</v>
      </c>
      <c r="L562" s="23" t="s">
        <v>138</v>
      </c>
      <c r="M562" s="23" t="s">
        <v>149</v>
      </c>
      <c r="N562" s="122" t="s">
        <v>140</v>
      </c>
      <c r="O562" s="122">
        <v>4</v>
      </c>
      <c r="P562" s="24" t="s">
        <v>611</v>
      </c>
      <c r="Q562" s="25">
        <v>168800</v>
      </c>
      <c r="R562" s="26" t="s">
        <v>142</v>
      </c>
      <c r="S562" s="27" t="s">
        <v>159</v>
      </c>
      <c r="T562" s="27" t="s">
        <v>144</v>
      </c>
      <c r="U562" s="124" t="s">
        <v>140</v>
      </c>
      <c r="V562" s="39">
        <v>11</v>
      </c>
      <c r="W562" s="29">
        <v>11577.5</v>
      </c>
      <c r="X562" s="29" t="s">
        <v>607</v>
      </c>
      <c r="Y562" s="29"/>
      <c r="Z562" s="30">
        <v>21.05</v>
      </c>
      <c r="AA562" s="136" t="s">
        <v>608</v>
      </c>
      <c r="AB562" s="136">
        <v>2</v>
      </c>
      <c r="AC562" s="122" t="s">
        <v>155</v>
      </c>
      <c r="AD562" s="31">
        <v>1.75</v>
      </c>
      <c r="AE562" s="32" t="s">
        <v>194</v>
      </c>
    </row>
    <row r="563" spans="1:31">
      <c r="A563" s="135">
        <v>4</v>
      </c>
      <c r="B563" s="38" t="s">
        <v>101</v>
      </c>
      <c r="C563" s="122">
        <v>6</v>
      </c>
      <c r="D563" s="122">
        <v>910</v>
      </c>
      <c r="E563" s="33">
        <v>1707</v>
      </c>
      <c r="F563" s="34">
        <v>108</v>
      </c>
      <c r="G563" s="34">
        <v>910108</v>
      </c>
      <c r="H563" s="119">
        <v>30.06</v>
      </c>
      <c r="I563" s="100"/>
      <c r="J563" s="100">
        <v>30.06</v>
      </c>
      <c r="K563" s="22" t="s">
        <v>161</v>
      </c>
      <c r="L563" s="11" t="s">
        <v>138</v>
      </c>
      <c r="M563" s="23" t="s">
        <v>149</v>
      </c>
      <c r="N563" s="122" t="s">
        <v>140</v>
      </c>
      <c r="O563" s="122">
        <v>4</v>
      </c>
      <c r="P563" s="24" t="s">
        <v>611</v>
      </c>
      <c r="Q563" s="25">
        <v>168800</v>
      </c>
      <c r="R563" s="26" t="s">
        <v>142</v>
      </c>
      <c r="S563" s="27" t="s">
        <v>159</v>
      </c>
      <c r="T563" s="27" t="s">
        <v>144</v>
      </c>
      <c r="U563" s="124" t="s">
        <v>140</v>
      </c>
      <c r="V563" s="39">
        <v>11</v>
      </c>
      <c r="W563" s="29">
        <v>16533</v>
      </c>
      <c r="X563" s="29" t="s">
        <v>607</v>
      </c>
      <c r="Y563" s="29"/>
      <c r="Z563" s="30">
        <v>30.06</v>
      </c>
      <c r="AA563" s="136" t="s">
        <v>608</v>
      </c>
      <c r="AB563" s="136">
        <v>2</v>
      </c>
      <c r="AC563" s="21" t="s">
        <v>155</v>
      </c>
      <c r="AD563" s="31">
        <v>1.75</v>
      </c>
      <c r="AE563" s="32" t="s">
        <v>194</v>
      </c>
    </row>
    <row r="564" spans="1:31">
      <c r="A564" s="135">
        <v>4</v>
      </c>
      <c r="B564" s="38" t="s">
        <v>101</v>
      </c>
      <c r="C564" s="122">
        <v>7</v>
      </c>
      <c r="D564" s="122">
        <v>910</v>
      </c>
      <c r="E564" s="33">
        <v>1708</v>
      </c>
      <c r="F564" s="34">
        <v>109</v>
      </c>
      <c r="G564" s="34">
        <v>910109</v>
      </c>
      <c r="H564" s="119">
        <v>25</v>
      </c>
      <c r="I564" s="100"/>
      <c r="J564" s="100">
        <v>25</v>
      </c>
      <c r="K564" s="22" t="s">
        <v>137</v>
      </c>
      <c r="L564" s="11" t="s">
        <v>138</v>
      </c>
      <c r="M564" s="23" t="s">
        <v>185</v>
      </c>
      <c r="N564" s="122" t="s">
        <v>140</v>
      </c>
      <c r="O564" s="122">
        <v>4</v>
      </c>
      <c r="P564" s="24" t="s">
        <v>616</v>
      </c>
      <c r="Q564" s="25">
        <v>168800</v>
      </c>
      <c r="R564" s="26" t="s">
        <v>142</v>
      </c>
      <c r="S564" s="27" t="s">
        <v>159</v>
      </c>
      <c r="T564" s="27" t="s">
        <v>144</v>
      </c>
      <c r="U564" s="124" t="s">
        <v>140</v>
      </c>
      <c r="V564" s="39">
        <v>11</v>
      </c>
      <c r="W564" s="29">
        <v>13750</v>
      </c>
      <c r="X564" s="29" t="s">
        <v>598</v>
      </c>
      <c r="Y564" s="29"/>
      <c r="Z564" s="30">
        <v>25</v>
      </c>
      <c r="AA564" s="136" t="s">
        <v>608</v>
      </c>
      <c r="AB564" s="136">
        <v>2</v>
      </c>
      <c r="AC564" s="21" t="s">
        <v>155</v>
      </c>
      <c r="AD564" s="31">
        <v>1.75</v>
      </c>
      <c r="AE564" s="32" t="s">
        <v>194</v>
      </c>
    </row>
    <row r="565" spans="1:31">
      <c r="A565" s="135">
        <v>4</v>
      </c>
      <c r="B565" s="38" t="s">
        <v>101</v>
      </c>
      <c r="C565" s="122">
        <v>8</v>
      </c>
      <c r="D565" s="122">
        <v>910</v>
      </c>
      <c r="E565" s="33">
        <v>1709</v>
      </c>
      <c r="F565" s="34">
        <v>110</v>
      </c>
      <c r="G565" s="34">
        <v>910110</v>
      </c>
      <c r="H565" s="119">
        <v>53.77</v>
      </c>
      <c r="I565" s="100"/>
      <c r="J565" s="100">
        <v>53.77</v>
      </c>
      <c r="K565" s="22" t="s">
        <v>137</v>
      </c>
      <c r="L565" s="11" t="s">
        <v>138</v>
      </c>
      <c r="M565" s="23" t="s">
        <v>181</v>
      </c>
      <c r="N565" s="122" t="s">
        <v>140</v>
      </c>
      <c r="O565" s="122">
        <v>4</v>
      </c>
      <c r="P565" s="24" t="s">
        <v>617</v>
      </c>
      <c r="Q565" s="25">
        <v>77200</v>
      </c>
      <c r="R565" s="26" t="s">
        <v>142</v>
      </c>
      <c r="S565" s="27" t="s">
        <v>159</v>
      </c>
      <c r="T565" s="27" t="s">
        <v>144</v>
      </c>
      <c r="U565" s="124" t="s">
        <v>140</v>
      </c>
      <c r="V565" s="39">
        <v>12</v>
      </c>
      <c r="W565" s="29">
        <v>32262.000000000004</v>
      </c>
      <c r="X565" s="29" t="s">
        <v>598</v>
      </c>
      <c r="Y565" s="29"/>
      <c r="Z565" s="30">
        <v>53.77</v>
      </c>
      <c r="AA565" s="136" t="s">
        <v>608</v>
      </c>
      <c r="AB565" s="136">
        <v>2</v>
      </c>
      <c r="AC565" s="122" t="s">
        <v>155</v>
      </c>
      <c r="AD565" s="31">
        <v>1.85</v>
      </c>
      <c r="AE565" s="32" t="s">
        <v>147</v>
      </c>
    </row>
    <row r="566" spans="1:31">
      <c r="A566" s="135">
        <v>4</v>
      </c>
      <c r="B566" s="38" t="s">
        <v>101</v>
      </c>
      <c r="C566" s="122">
        <v>9</v>
      </c>
      <c r="D566" s="122">
        <v>910</v>
      </c>
      <c r="E566" s="33" t="s">
        <v>67</v>
      </c>
      <c r="F566" s="34">
        <v>111</v>
      </c>
      <c r="G566" s="34">
        <v>910111</v>
      </c>
      <c r="H566" s="119">
        <v>25.04</v>
      </c>
      <c r="I566" s="100"/>
      <c r="J566" s="100">
        <v>25.04</v>
      </c>
      <c r="K566" s="22" t="s">
        <v>170</v>
      </c>
      <c r="L566" s="11" t="s">
        <v>86</v>
      </c>
      <c r="M566" s="23" t="s">
        <v>149</v>
      </c>
      <c r="N566" s="122" t="s">
        <v>140</v>
      </c>
      <c r="O566" s="122">
        <v>4</v>
      </c>
      <c r="P566" s="24" t="s">
        <v>618</v>
      </c>
      <c r="Q566" s="25">
        <v>77200</v>
      </c>
      <c r="R566" s="26" t="s">
        <v>142</v>
      </c>
      <c r="S566" s="27" t="s">
        <v>159</v>
      </c>
      <c r="T566" s="27" t="s">
        <v>144</v>
      </c>
      <c r="U566" s="124" t="s">
        <v>140</v>
      </c>
      <c r="V566" s="39">
        <v>12</v>
      </c>
      <c r="W566" s="29">
        <v>15024</v>
      </c>
      <c r="X566" s="29" t="s">
        <v>598</v>
      </c>
      <c r="Y566" s="29"/>
      <c r="Z566" s="30">
        <v>25.04</v>
      </c>
      <c r="AA566" s="136" t="s">
        <v>608</v>
      </c>
      <c r="AB566" s="136">
        <v>2</v>
      </c>
      <c r="AC566" s="122" t="s">
        <v>155</v>
      </c>
      <c r="AD566" s="31">
        <v>1.85</v>
      </c>
      <c r="AE566" s="32" t="s">
        <v>147</v>
      </c>
    </row>
    <row r="567" spans="1:31">
      <c r="A567" s="135">
        <v>4</v>
      </c>
      <c r="B567" s="38" t="s">
        <v>101</v>
      </c>
      <c r="C567" s="122">
        <v>10</v>
      </c>
      <c r="D567" s="122">
        <v>910</v>
      </c>
      <c r="E567" s="33">
        <v>1711</v>
      </c>
      <c r="F567" s="34">
        <v>112</v>
      </c>
      <c r="G567" s="34">
        <v>910112</v>
      </c>
      <c r="H567" s="119">
        <v>41</v>
      </c>
      <c r="I567" s="100"/>
      <c r="J567" s="100">
        <v>41</v>
      </c>
      <c r="K567" s="22" t="s">
        <v>161</v>
      </c>
      <c r="L567" s="11" t="s">
        <v>138</v>
      </c>
      <c r="M567" s="23" t="s">
        <v>149</v>
      </c>
      <c r="N567" s="122" t="s">
        <v>140</v>
      </c>
      <c r="O567" s="122">
        <v>4</v>
      </c>
      <c r="P567" s="24" t="s">
        <v>618</v>
      </c>
      <c r="Q567" s="25">
        <v>77200</v>
      </c>
      <c r="R567" s="26" t="s">
        <v>142</v>
      </c>
      <c r="S567" s="27" t="s">
        <v>159</v>
      </c>
      <c r="T567" s="27" t="s">
        <v>144</v>
      </c>
      <c r="U567" s="124" t="s">
        <v>140</v>
      </c>
      <c r="V567" s="39">
        <v>12</v>
      </c>
      <c r="W567" s="29">
        <v>24600</v>
      </c>
      <c r="X567" s="29" t="s">
        <v>598</v>
      </c>
      <c r="Y567" s="29"/>
      <c r="Z567" s="30">
        <v>41</v>
      </c>
      <c r="AA567" s="136" t="s">
        <v>608</v>
      </c>
      <c r="AB567" s="136">
        <v>2</v>
      </c>
      <c r="AC567" s="122" t="s">
        <v>155</v>
      </c>
      <c r="AD567" s="31">
        <v>1.75</v>
      </c>
      <c r="AE567" s="32" t="s">
        <v>147</v>
      </c>
    </row>
    <row r="568" spans="1:31">
      <c r="A568" s="135">
        <v>4</v>
      </c>
      <c r="B568" s="38" t="s">
        <v>101</v>
      </c>
      <c r="C568" s="122">
        <v>11</v>
      </c>
      <c r="D568" s="122">
        <v>910</v>
      </c>
      <c r="E568" s="33" t="s">
        <v>619</v>
      </c>
      <c r="F568" s="34">
        <v>113</v>
      </c>
      <c r="G568" s="34">
        <v>910113</v>
      </c>
      <c r="H568" s="119">
        <v>148.84</v>
      </c>
      <c r="I568" s="105">
        <v>148.84</v>
      </c>
      <c r="J568" s="100"/>
      <c r="K568" s="58" t="s">
        <v>148</v>
      </c>
      <c r="L568" s="35" t="s">
        <v>148</v>
      </c>
      <c r="M568" s="23" t="s">
        <v>175</v>
      </c>
      <c r="N568" s="122" t="s">
        <v>140</v>
      </c>
      <c r="O568" s="122">
        <v>4</v>
      </c>
      <c r="P568" s="12" t="s">
        <v>611</v>
      </c>
      <c r="Q568" s="9">
        <v>168800</v>
      </c>
      <c r="R568" s="116" t="s">
        <v>142</v>
      </c>
      <c r="S568" s="77" t="s">
        <v>159</v>
      </c>
      <c r="T568" s="77" t="s">
        <v>144</v>
      </c>
      <c r="U568" s="78" t="s">
        <v>140</v>
      </c>
      <c r="V568" s="10">
        <v>11</v>
      </c>
      <c r="W568" s="78"/>
      <c r="X568" s="79"/>
      <c r="Y568" s="79"/>
      <c r="Z568" s="80">
        <v>0</v>
      </c>
      <c r="AA568" s="141"/>
      <c r="AB568" s="141"/>
      <c r="AC568" s="21" t="s">
        <v>155</v>
      </c>
      <c r="AD568" s="31">
        <v>1.85</v>
      </c>
      <c r="AE568" s="32" t="s">
        <v>147</v>
      </c>
    </row>
    <row r="569" spans="1:31">
      <c r="A569" s="135">
        <v>4</v>
      </c>
      <c r="B569" s="38" t="s">
        <v>101</v>
      </c>
      <c r="C569" s="122">
        <v>11</v>
      </c>
      <c r="D569" s="122">
        <v>910</v>
      </c>
      <c r="E569" s="33">
        <v>1715</v>
      </c>
      <c r="F569" s="34">
        <v>116</v>
      </c>
      <c r="G569" s="34">
        <v>910116</v>
      </c>
      <c r="H569" s="119">
        <v>42.2</v>
      </c>
      <c r="I569" s="105">
        <v>42.2</v>
      </c>
      <c r="J569" s="100"/>
      <c r="K569" s="22" t="s">
        <v>148</v>
      </c>
      <c r="L569" s="125" t="s">
        <v>148</v>
      </c>
      <c r="M569" s="23" t="s">
        <v>171</v>
      </c>
      <c r="N569" s="122" t="s">
        <v>140</v>
      </c>
      <c r="O569" s="122">
        <v>4</v>
      </c>
      <c r="P569" s="12" t="s">
        <v>620</v>
      </c>
      <c r="Q569" s="9">
        <v>40000</v>
      </c>
      <c r="R569" s="116" t="s">
        <v>142</v>
      </c>
      <c r="S569" s="77" t="s">
        <v>159</v>
      </c>
      <c r="T569" s="77" t="s">
        <v>144</v>
      </c>
      <c r="U569" s="78" t="s">
        <v>255</v>
      </c>
      <c r="V569" s="10">
        <v>4</v>
      </c>
      <c r="W569" s="78"/>
      <c r="X569" s="79"/>
      <c r="Y569" s="79"/>
      <c r="Z569" s="80">
        <v>0</v>
      </c>
      <c r="AA569" s="141"/>
      <c r="AB569" s="141"/>
      <c r="AC569" s="122" t="s">
        <v>155</v>
      </c>
      <c r="AD569" s="31">
        <v>1.75</v>
      </c>
      <c r="AE569" s="32" t="s">
        <v>194</v>
      </c>
    </row>
    <row r="570" spans="1:31">
      <c r="A570" s="135">
        <v>4</v>
      </c>
      <c r="B570" s="38" t="s">
        <v>101</v>
      </c>
      <c r="C570" s="122">
        <v>12</v>
      </c>
      <c r="D570" s="122">
        <v>910</v>
      </c>
      <c r="E570" s="33">
        <v>1716</v>
      </c>
      <c r="F570" s="34">
        <v>117</v>
      </c>
      <c r="G570" s="34">
        <v>910117</v>
      </c>
      <c r="H570" s="119">
        <v>16.47</v>
      </c>
      <c r="I570" s="101">
        <v>16.47</v>
      </c>
      <c r="J570" s="101"/>
      <c r="K570" s="125" t="s">
        <v>148</v>
      </c>
      <c r="L570" s="22" t="s">
        <v>148</v>
      </c>
      <c r="M570" s="23" t="s">
        <v>171</v>
      </c>
      <c r="N570" s="122" t="s">
        <v>140</v>
      </c>
      <c r="O570" s="122">
        <v>4</v>
      </c>
      <c r="P570" s="12" t="s">
        <v>620</v>
      </c>
      <c r="Q570" s="9">
        <v>40000</v>
      </c>
      <c r="R570" s="116" t="s">
        <v>142</v>
      </c>
      <c r="S570" s="77" t="s">
        <v>159</v>
      </c>
      <c r="T570" s="77" t="s">
        <v>144</v>
      </c>
      <c r="U570" s="78" t="s">
        <v>255</v>
      </c>
      <c r="V570" s="10">
        <v>4</v>
      </c>
      <c r="W570" s="78"/>
      <c r="X570" s="79"/>
      <c r="Y570" s="79"/>
      <c r="Z570" s="80">
        <v>0</v>
      </c>
      <c r="AA570" s="141"/>
      <c r="AB570" s="141"/>
      <c r="AC570" s="21" t="s">
        <v>155</v>
      </c>
      <c r="AD570" s="31">
        <v>1.7</v>
      </c>
      <c r="AE570" s="32" t="s">
        <v>194</v>
      </c>
    </row>
    <row r="571" spans="1:31">
      <c r="A571" s="135">
        <v>4</v>
      </c>
      <c r="B571" s="38" t="s">
        <v>101</v>
      </c>
      <c r="C571" s="122">
        <v>13</v>
      </c>
      <c r="D571" s="122">
        <v>910</v>
      </c>
      <c r="E571" s="33">
        <v>1717</v>
      </c>
      <c r="F571" s="34">
        <v>118</v>
      </c>
      <c r="G571" s="34">
        <v>910118</v>
      </c>
      <c r="H571" s="119">
        <v>21.49</v>
      </c>
      <c r="I571" s="101">
        <v>21.49</v>
      </c>
      <c r="J571" s="100"/>
      <c r="K571" s="22" t="s">
        <v>148</v>
      </c>
      <c r="L571" s="22" t="s">
        <v>148</v>
      </c>
      <c r="M571" s="23" t="s">
        <v>162</v>
      </c>
      <c r="N571" s="122" t="s">
        <v>140</v>
      </c>
      <c r="O571" s="122">
        <v>4</v>
      </c>
      <c r="P571" s="12" t="s">
        <v>621</v>
      </c>
      <c r="Q571" s="9">
        <v>40000</v>
      </c>
      <c r="R571" s="116" t="s">
        <v>142</v>
      </c>
      <c r="S571" s="77" t="s">
        <v>159</v>
      </c>
      <c r="T571" s="77" t="s">
        <v>144</v>
      </c>
      <c r="U571" s="78" t="s">
        <v>255</v>
      </c>
      <c r="V571" s="10">
        <v>4</v>
      </c>
      <c r="W571" s="78"/>
      <c r="X571" s="79"/>
      <c r="Y571" s="79"/>
      <c r="Z571" s="80">
        <v>0</v>
      </c>
      <c r="AA571" s="141"/>
      <c r="AB571" s="141"/>
      <c r="AC571" s="122" t="s">
        <v>155</v>
      </c>
      <c r="AD571" s="31">
        <v>1.75</v>
      </c>
      <c r="AE571" s="32" t="s">
        <v>194</v>
      </c>
    </row>
    <row r="572" spans="1:31">
      <c r="A572" s="135">
        <v>4</v>
      </c>
      <c r="B572" s="38" t="s">
        <v>101</v>
      </c>
      <c r="C572" s="122">
        <v>14</v>
      </c>
      <c r="D572" s="122">
        <v>910</v>
      </c>
      <c r="E572" s="33" t="s">
        <v>68</v>
      </c>
      <c r="F572" s="34">
        <v>119</v>
      </c>
      <c r="G572" s="34">
        <v>910119</v>
      </c>
      <c r="H572" s="119">
        <v>6.54</v>
      </c>
      <c r="I572" s="101"/>
      <c r="J572" s="100">
        <v>6.54</v>
      </c>
      <c r="K572" s="22" t="s">
        <v>137</v>
      </c>
      <c r="L572" s="11" t="s">
        <v>138</v>
      </c>
      <c r="M572" s="23" t="s">
        <v>184</v>
      </c>
      <c r="N572" s="122" t="s">
        <v>140</v>
      </c>
      <c r="O572" s="122">
        <v>6</v>
      </c>
      <c r="P572" s="24" t="s">
        <v>620</v>
      </c>
      <c r="Q572" s="25">
        <v>40000</v>
      </c>
      <c r="R572" s="26" t="s">
        <v>142</v>
      </c>
      <c r="S572" s="27" t="s">
        <v>159</v>
      </c>
      <c r="T572" s="27" t="s">
        <v>144</v>
      </c>
      <c r="U572" s="124" t="s">
        <v>140</v>
      </c>
      <c r="V572" s="39">
        <v>7</v>
      </c>
      <c r="W572" s="29">
        <v>2289</v>
      </c>
      <c r="X572" s="29" t="s">
        <v>598</v>
      </c>
      <c r="Y572" s="29"/>
      <c r="Z572" s="30">
        <v>6.54</v>
      </c>
      <c r="AA572" s="136" t="s">
        <v>608</v>
      </c>
      <c r="AB572" s="136">
        <v>2</v>
      </c>
      <c r="AC572" s="21" t="s">
        <v>155</v>
      </c>
      <c r="AD572" s="31">
        <v>1.85</v>
      </c>
      <c r="AE572" s="32" t="s">
        <v>194</v>
      </c>
    </row>
    <row r="573" spans="1:31">
      <c r="A573" s="135">
        <v>4</v>
      </c>
      <c r="B573" s="38" t="s">
        <v>101</v>
      </c>
      <c r="C573" s="122">
        <v>15</v>
      </c>
      <c r="D573" s="122">
        <v>910</v>
      </c>
      <c r="E573" s="33">
        <v>1718</v>
      </c>
      <c r="F573" s="34">
        <v>120</v>
      </c>
      <c r="G573" s="34">
        <v>910120</v>
      </c>
      <c r="H573" s="119">
        <v>52.91</v>
      </c>
      <c r="I573" s="101"/>
      <c r="J573" s="101">
        <v>52.91</v>
      </c>
      <c r="K573" s="125" t="s">
        <v>161</v>
      </c>
      <c r="L573" s="11" t="s">
        <v>138</v>
      </c>
      <c r="M573" s="23" t="s">
        <v>149</v>
      </c>
      <c r="N573" s="122" t="s">
        <v>140</v>
      </c>
      <c r="O573" s="122">
        <v>6</v>
      </c>
      <c r="P573" s="24" t="s">
        <v>620</v>
      </c>
      <c r="Q573" s="25">
        <v>40000</v>
      </c>
      <c r="R573" s="26" t="s">
        <v>142</v>
      </c>
      <c r="S573" s="27" t="s">
        <v>159</v>
      </c>
      <c r="T573" s="27" t="s">
        <v>144</v>
      </c>
      <c r="U573" s="124" t="s">
        <v>140</v>
      </c>
      <c r="V573" s="39">
        <v>7</v>
      </c>
      <c r="W573" s="29">
        <v>18518.5</v>
      </c>
      <c r="X573" s="29" t="s">
        <v>598</v>
      </c>
      <c r="Y573" s="29"/>
      <c r="Z573" s="30">
        <v>52.91</v>
      </c>
      <c r="AA573" s="136" t="s">
        <v>608</v>
      </c>
      <c r="AB573" s="136">
        <v>2</v>
      </c>
      <c r="AC573" s="122" t="s">
        <v>155</v>
      </c>
      <c r="AD573" s="31">
        <v>1.75</v>
      </c>
      <c r="AE573" s="32" t="s">
        <v>194</v>
      </c>
    </row>
    <row r="574" spans="1:31">
      <c r="A574" s="135">
        <v>4</v>
      </c>
      <c r="B574" s="38" t="s">
        <v>106</v>
      </c>
      <c r="C574" s="122">
        <v>1</v>
      </c>
      <c r="D574" s="122">
        <v>913</v>
      </c>
      <c r="E574" s="33">
        <v>1721</v>
      </c>
      <c r="F574" s="34">
        <v>101</v>
      </c>
      <c r="G574" s="34">
        <v>913101</v>
      </c>
      <c r="H574" s="119">
        <v>15.21</v>
      </c>
      <c r="I574" s="100"/>
      <c r="J574" s="100">
        <v>15.21</v>
      </c>
      <c r="K574" s="58" t="s">
        <v>170</v>
      </c>
      <c r="L574" s="6" t="s">
        <v>86</v>
      </c>
      <c r="M574" s="23" t="s">
        <v>203</v>
      </c>
      <c r="N574" s="122" t="s">
        <v>140</v>
      </c>
      <c r="O574" s="122"/>
      <c r="P574" s="24" t="s">
        <v>622</v>
      </c>
      <c r="Q574" s="25">
        <v>40500</v>
      </c>
      <c r="R574" s="26" t="s">
        <v>142</v>
      </c>
      <c r="S574" s="27" t="s">
        <v>214</v>
      </c>
      <c r="T574" s="27" t="s">
        <v>144</v>
      </c>
      <c r="U574" s="124" t="s">
        <v>140</v>
      </c>
      <c r="V574" s="39">
        <v>7</v>
      </c>
      <c r="W574" s="29">
        <v>5323.5</v>
      </c>
      <c r="X574" s="29" t="s">
        <v>598</v>
      </c>
      <c r="Y574" s="29"/>
      <c r="Z574" s="30">
        <v>15.21</v>
      </c>
      <c r="AA574" s="136" t="s">
        <v>623</v>
      </c>
      <c r="AB574" s="136">
        <v>5</v>
      </c>
      <c r="AC574" s="21" t="s">
        <v>146</v>
      </c>
      <c r="AD574" s="31">
        <v>1.75</v>
      </c>
      <c r="AE574" s="32" t="s">
        <v>147</v>
      </c>
    </row>
    <row r="575" spans="1:31">
      <c r="A575" s="135">
        <v>4</v>
      </c>
      <c r="B575" s="38" t="s">
        <v>106</v>
      </c>
      <c r="C575" s="122">
        <v>2</v>
      </c>
      <c r="D575" s="122">
        <v>913</v>
      </c>
      <c r="E575" s="33" t="s">
        <v>91</v>
      </c>
      <c r="F575" s="34">
        <v>102</v>
      </c>
      <c r="G575" s="34">
        <v>913102</v>
      </c>
      <c r="H575" s="119">
        <v>13.59</v>
      </c>
      <c r="I575" s="101"/>
      <c r="J575" s="100">
        <v>13.59</v>
      </c>
      <c r="K575" s="22" t="s">
        <v>170</v>
      </c>
      <c r="L575" s="11" t="s">
        <v>86</v>
      </c>
      <c r="M575" s="23" t="s">
        <v>149</v>
      </c>
      <c r="N575" s="122" t="s">
        <v>140</v>
      </c>
      <c r="O575" s="122">
        <v>4</v>
      </c>
      <c r="P575" s="24" t="s">
        <v>622</v>
      </c>
      <c r="Q575" s="25">
        <v>40500</v>
      </c>
      <c r="R575" s="26" t="s">
        <v>142</v>
      </c>
      <c r="S575" s="27" t="s">
        <v>214</v>
      </c>
      <c r="T575" s="27" t="s">
        <v>144</v>
      </c>
      <c r="U575" s="124" t="s">
        <v>140</v>
      </c>
      <c r="V575" s="39">
        <v>7</v>
      </c>
      <c r="W575" s="29">
        <v>4756.5</v>
      </c>
      <c r="X575" s="29" t="s">
        <v>598</v>
      </c>
      <c r="Y575" s="29"/>
      <c r="Z575" s="30">
        <v>13.59</v>
      </c>
      <c r="AA575" s="136" t="s">
        <v>623</v>
      </c>
      <c r="AB575" s="136">
        <v>5</v>
      </c>
      <c r="AC575" s="21" t="s">
        <v>155</v>
      </c>
      <c r="AD575" s="31">
        <v>1.85</v>
      </c>
      <c r="AE575" s="32" t="s">
        <v>147</v>
      </c>
    </row>
    <row r="576" spans="1:31">
      <c r="A576" s="135">
        <v>4</v>
      </c>
      <c r="B576" s="38" t="s">
        <v>106</v>
      </c>
      <c r="C576" s="122">
        <v>3</v>
      </c>
      <c r="D576" s="122">
        <v>913</v>
      </c>
      <c r="E576" s="33" t="s">
        <v>92</v>
      </c>
      <c r="F576" s="34">
        <v>103</v>
      </c>
      <c r="G576" s="34">
        <v>913103</v>
      </c>
      <c r="H576" s="119">
        <v>9.4700000000000006</v>
      </c>
      <c r="I576" s="101"/>
      <c r="J576" s="101">
        <v>9.4700000000000006</v>
      </c>
      <c r="K576" s="58" t="s">
        <v>161</v>
      </c>
      <c r="L576" s="6" t="s">
        <v>138</v>
      </c>
      <c r="M576" s="23" t="s">
        <v>149</v>
      </c>
      <c r="N576" s="122" t="s">
        <v>140</v>
      </c>
      <c r="O576" s="122">
        <v>6</v>
      </c>
      <c r="P576" s="24" t="s">
        <v>622</v>
      </c>
      <c r="Q576" s="25">
        <v>40500</v>
      </c>
      <c r="R576" s="26" t="s">
        <v>142</v>
      </c>
      <c r="S576" s="27" t="s">
        <v>214</v>
      </c>
      <c r="T576" s="27" t="s">
        <v>144</v>
      </c>
      <c r="U576" s="124" t="s">
        <v>140</v>
      </c>
      <c r="V576" s="39">
        <v>7</v>
      </c>
      <c r="W576" s="29">
        <v>3314.5</v>
      </c>
      <c r="X576" s="29" t="s">
        <v>598</v>
      </c>
      <c r="Y576" s="29"/>
      <c r="Z576" s="30">
        <v>9.4700000000000006</v>
      </c>
      <c r="AA576" s="136" t="s">
        <v>623</v>
      </c>
      <c r="AB576" s="136">
        <v>5</v>
      </c>
      <c r="AC576" s="122" t="s">
        <v>155</v>
      </c>
      <c r="AD576" s="31">
        <v>1.75</v>
      </c>
      <c r="AE576" s="32" t="s">
        <v>147</v>
      </c>
    </row>
    <row r="577" spans="1:31">
      <c r="A577" s="135">
        <v>4</v>
      </c>
      <c r="B577" s="38" t="s">
        <v>106</v>
      </c>
      <c r="C577" s="122">
        <v>4</v>
      </c>
      <c r="D577" s="122">
        <v>913</v>
      </c>
      <c r="E577" s="33">
        <v>1720</v>
      </c>
      <c r="F577" s="34">
        <v>104</v>
      </c>
      <c r="G577" s="34">
        <v>913104</v>
      </c>
      <c r="H577" s="119">
        <v>13.73</v>
      </c>
      <c r="I577" s="100"/>
      <c r="J577" s="101">
        <v>13.73</v>
      </c>
      <c r="K577" s="125" t="s">
        <v>161</v>
      </c>
      <c r="L577" s="11" t="s">
        <v>138</v>
      </c>
      <c r="M577" s="23" t="s">
        <v>149</v>
      </c>
      <c r="N577" s="122" t="s">
        <v>140</v>
      </c>
      <c r="O577" s="122">
        <v>6</v>
      </c>
      <c r="P577" s="24" t="s">
        <v>622</v>
      </c>
      <c r="Q577" s="25">
        <v>4480</v>
      </c>
      <c r="R577" s="26" t="s">
        <v>142</v>
      </c>
      <c r="S577" s="27" t="s">
        <v>206</v>
      </c>
      <c r="T577" s="27" t="s">
        <v>624</v>
      </c>
      <c r="U577" s="124" t="s">
        <v>140</v>
      </c>
      <c r="V577" s="39">
        <v>6</v>
      </c>
      <c r="W577" s="29">
        <v>4119</v>
      </c>
      <c r="X577" s="29" t="s">
        <v>506</v>
      </c>
      <c r="Y577" s="29"/>
      <c r="Z577" s="30">
        <v>13.73</v>
      </c>
      <c r="AA577" s="136" t="s">
        <v>625</v>
      </c>
      <c r="AB577" s="136">
        <v>7</v>
      </c>
      <c r="AC577" s="122" t="s">
        <v>155</v>
      </c>
      <c r="AD577" s="31">
        <v>1.75</v>
      </c>
      <c r="AE577" s="32" t="s">
        <v>147</v>
      </c>
    </row>
    <row r="578" spans="1:31">
      <c r="A578" s="135">
        <v>4</v>
      </c>
      <c r="B578" s="38" t="s">
        <v>106</v>
      </c>
      <c r="C578" s="122">
        <v>5</v>
      </c>
      <c r="D578" s="122">
        <v>913</v>
      </c>
      <c r="E578" s="33">
        <v>1867</v>
      </c>
      <c r="F578" s="34">
        <v>105</v>
      </c>
      <c r="G578" s="34">
        <v>913105</v>
      </c>
      <c r="H578" s="119">
        <v>16.77</v>
      </c>
      <c r="I578" s="101"/>
      <c r="J578" s="100">
        <v>16.77</v>
      </c>
      <c r="K578" s="125" t="s">
        <v>161</v>
      </c>
      <c r="L578" s="11" t="s">
        <v>138</v>
      </c>
      <c r="M578" s="23" t="s">
        <v>149</v>
      </c>
      <c r="N578" s="122" t="s">
        <v>140</v>
      </c>
      <c r="O578" s="122">
        <v>4</v>
      </c>
      <c r="P578" s="24" t="s">
        <v>626</v>
      </c>
      <c r="Q578" s="25">
        <v>11776</v>
      </c>
      <c r="R578" s="26" t="s">
        <v>142</v>
      </c>
      <c r="S578" s="27" t="s">
        <v>308</v>
      </c>
      <c r="T578" s="27" t="s">
        <v>624</v>
      </c>
      <c r="U578" s="124" t="s">
        <v>140</v>
      </c>
      <c r="V578" s="39">
        <v>9</v>
      </c>
      <c r="W578" s="29">
        <v>7546.5</v>
      </c>
      <c r="X578" s="29" t="s">
        <v>506</v>
      </c>
      <c r="Y578" s="29"/>
      <c r="Z578" s="30">
        <v>16.77</v>
      </c>
      <c r="AA578" s="136" t="s">
        <v>625</v>
      </c>
      <c r="AB578" s="136">
        <v>7</v>
      </c>
      <c r="AC578" s="122" t="s">
        <v>155</v>
      </c>
      <c r="AD578" s="31">
        <v>1.75</v>
      </c>
      <c r="AE578" s="32" t="s">
        <v>147</v>
      </c>
    </row>
    <row r="579" spans="1:31">
      <c r="A579" s="135">
        <v>4</v>
      </c>
      <c r="B579" s="38" t="s">
        <v>106</v>
      </c>
      <c r="C579" s="122">
        <v>6</v>
      </c>
      <c r="D579" s="122">
        <v>913</v>
      </c>
      <c r="E579" s="33">
        <v>1866</v>
      </c>
      <c r="F579" s="34">
        <v>106</v>
      </c>
      <c r="G579" s="34">
        <v>913106</v>
      </c>
      <c r="H579" s="119">
        <v>18.23</v>
      </c>
      <c r="I579" s="100"/>
      <c r="J579" s="101">
        <v>18.23</v>
      </c>
      <c r="K579" s="125" t="s">
        <v>161</v>
      </c>
      <c r="L579" s="11" t="s">
        <v>138</v>
      </c>
      <c r="M579" s="23" t="s">
        <v>149</v>
      </c>
      <c r="N579" s="122" t="s">
        <v>140</v>
      </c>
      <c r="O579" s="122">
        <v>4</v>
      </c>
      <c r="P579" s="24" t="s">
        <v>627</v>
      </c>
      <c r="Q579" s="25">
        <v>12416</v>
      </c>
      <c r="R579" s="26" t="s">
        <v>142</v>
      </c>
      <c r="S579" s="27" t="s">
        <v>308</v>
      </c>
      <c r="T579" s="27" t="s">
        <v>624</v>
      </c>
      <c r="U579" s="124" t="s">
        <v>140</v>
      </c>
      <c r="V579" s="39">
        <v>9</v>
      </c>
      <c r="W579" s="29">
        <v>8203.5</v>
      </c>
      <c r="X579" s="29" t="s">
        <v>506</v>
      </c>
      <c r="Y579" s="29"/>
      <c r="Z579" s="30">
        <v>18.23</v>
      </c>
      <c r="AA579" s="136" t="s">
        <v>625</v>
      </c>
      <c r="AB579" s="136">
        <v>7</v>
      </c>
      <c r="AC579" s="122" t="s">
        <v>155</v>
      </c>
      <c r="AD579" s="31">
        <v>1.75</v>
      </c>
      <c r="AE579" s="32" t="s">
        <v>147</v>
      </c>
    </row>
    <row r="580" spans="1:31">
      <c r="A580" s="135">
        <v>4</v>
      </c>
      <c r="B580" s="38" t="s">
        <v>106</v>
      </c>
      <c r="C580" s="122">
        <v>8</v>
      </c>
      <c r="D580" s="122">
        <v>913</v>
      </c>
      <c r="E580" s="33">
        <v>1862</v>
      </c>
      <c r="F580" s="34">
        <v>108</v>
      </c>
      <c r="G580" s="34">
        <v>913108</v>
      </c>
      <c r="H580" s="119">
        <v>77.16</v>
      </c>
      <c r="I580" s="101"/>
      <c r="J580" s="100">
        <v>77.16</v>
      </c>
      <c r="K580" s="22" t="s">
        <v>137</v>
      </c>
      <c r="L580" s="11" t="s">
        <v>138</v>
      </c>
      <c r="M580" s="23" t="s">
        <v>184</v>
      </c>
      <c r="N580" s="122" t="s">
        <v>140</v>
      </c>
      <c r="O580" s="122">
        <v>6</v>
      </c>
      <c r="P580" s="24" t="s">
        <v>628</v>
      </c>
      <c r="Q580" s="25">
        <v>23840</v>
      </c>
      <c r="R580" s="26" t="s">
        <v>142</v>
      </c>
      <c r="S580" s="27" t="s">
        <v>308</v>
      </c>
      <c r="T580" s="27" t="s">
        <v>624</v>
      </c>
      <c r="U580" s="124" t="s">
        <v>140</v>
      </c>
      <c r="V580" s="39">
        <v>6</v>
      </c>
      <c r="W580" s="29">
        <v>23148</v>
      </c>
      <c r="X580" s="29" t="s">
        <v>598</v>
      </c>
      <c r="Y580" s="29"/>
      <c r="Z580" s="30">
        <v>77.16</v>
      </c>
      <c r="AA580" s="136" t="s">
        <v>623</v>
      </c>
      <c r="AB580" s="136">
        <v>5</v>
      </c>
      <c r="AC580" s="122" t="s">
        <v>146</v>
      </c>
      <c r="AD580" s="31">
        <v>1.85</v>
      </c>
      <c r="AE580" s="32" t="s">
        <v>147</v>
      </c>
    </row>
    <row r="581" spans="1:31">
      <c r="A581" s="135">
        <v>4</v>
      </c>
      <c r="B581" s="38" t="s">
        <v>106</v>
      </c>
      <c r="C581" s="122">
        <v>9</v>
      </c>
      <c r="D581" s="122">
        <v>913</v>
      </c>
      <c r="E581" s="33">
        <v>1868</v>
      </c>
      <c r="F581" s="34">
        <v>109</v>
      </c>
      <c r="G581" s="34">
        <v>913109</v>
      </c>
      <c r="H581" s="119">
        <v>14.7</v>
      </c>
      <c r="I581" s="101"/>
      <c r="J581" s="100">
        <v>14.7</v>
      </c>
      <c r="K581" s="22" t="s">
        <v>161</v>
      </c>
      <c r="L581" s="11" t="s">
        <v>138</v>
      </c>
      <c r="M581" s="23" t="s">
        <v>149</v>
      </c>
      <c r="N581" s="122" t="s">
        <v>140</v>
      </c>
      <c r="O581" s="122">
        <v>4</v>
      </c>
      <c r="P581" s="24" t="s">
        <v>629</v>
      </c>
      <c r="Q581" s="25">
        <v>8576</v>
      </c>
      <c r="R581" s="26" t="s">
        <v>142</v>
      </c>
      <c r="S581" s="27" t="s">
        <v>308</v>
      </c>
      <c r="T581" s="27" t="s">
        <v>624</v>
      </c>
      <c r="U581" s="124" t="s">
        <v>140</v>
      </c>
      <c r="V581" s="39">
        <v>9</v>
      </c>
      <c r="W581" s="29">
        <v>6615</v>
      </c>
      <c r="X581" s="29" t="s">
        <v>598</v>
      </c>
      <c r="Y581" s="29"/>
      <c r="Z581" s="30">
        <v>14.7</v>
      </c>
      <c r="AA581" s="136" t="s">
        <v>623</v>
      </c>
      <c r="AB581" s="136">
        <v>5</v>
      </c>
      <c r="AC581" s="21" t="s">
        <v>155</v>
      </c>
      <c r="AD581" s="31">
        <v>1.75</v>
      </c>
      <c r="AE581" s="32" t="s">
        <v>147</v>
      </c>
    </row>
    <row r="582" spans="1:31">
      <c r="A582" s="135">
        <v>4</v>
      </c>
      <c r="B582" s="38" t="s">
        <v>106</v>
      </c>
      <c r="C582" s="122">
        <v>10</v>
      </c>
      <c r="D582" s="122">
        <v>913</v>
      </c>
      <c r="E582" s="33" t="s">
        <v>94</v>
      </c>
      <c r="F582" s="34">
        <v>110</v>
      </c>
      <c r="G582" s="34">
        <v>913110</v>
      </c>
      <c r="H582" s="119">
        <v>15.78</v>
      </c>
      <c r="I582" s="101"/>
      <c r="J582" s="100">
        <v>15.78</v>
      </c>
      <c r="K582" s="125" t="s">
        <v>161</v>
      </c>
      <c r="L582" s="11" t="s">
        <v>138</v>
      </c>
      <c r="M582" s="23" t="s">
        <v>149</v>
      </c>
      <c r="N582" s="122" t="s">
        <v>140</v>
      </c>
      <c r="O582" s="122">
        <v>6</v>
      </c>
      <c r="P582" s="24" t="s">
        <v>622</v>
      </c>
      <c r="Q582" s="25">
        <v>40500</v>
      </c>
      <c r="R582" s="26" t="s">
        <v>142</v>
      </c>
      <c r="S582" s="27" t="s">
        <v>214</v>
      </c>
      <c r="T582" s="27" t="s">
        <v>144</v>
      </c>
      <c r="U582" s="124" t="s">
        <v>140</v>
      </c>
      <c r="V582" s="39">
        <v>7</v>
      </c>
      <c r="W582" s="29">
        <v>5523</v>
      </c>
      <c r="X582" s="29" t="s">
        <v>598</v>
      </c>
      <c r="Y582" s="29"/>
      <c r="Z582" s="30">
        <v>15.78</v>
      </c>
      <c r="AA582" s="136" t="s">
        <v>623</v>
      </c>
      <c r="AB582" s="136">
        <v>5</v>
      </c>
      <c r="AC582" s="122" t="s">
        <v>155</v>
      </c>
      <c r="AD582" s="31">
        <v>1.75</v>
      </c>
      <c r="AE582" s="32" t="s">
        <v>147</v>
      </c>
    </row>
    <row r="583" spans="1:31">
      <c r="A583" s="135">
        <v>4</v>
      </c>
      <c r="B583" s="38" t="s">
        <v>106</v>
      </c>
      <c r="C583" s="122">
        <v>11</v>
      </c>
      <c r="D583" s="122">
        <v>913</v>
      </c>
      <c r="E583" s="33" t="s">
        <v>630</v>
      </c>
      <c r="F583" s="34">
        <v>111</v>
      </c>
      <c r="G583" s="34">
        <v>913111</v>
      </c>
      <c r="H583" s="119">
        <v>11.49</v>
      </c>
      <c r="I583" s="100"/>
      <c r="J583" s="100">
        <v>11.49</v>
      </c>
      <c r="K583" s="22" t="s">
        <v>170</v>
      </c>
      <c r="L583" s="11" t="s">
        <v>86</v>
      </c>
      <c r="M583" s="23" t="s">
        <v>149</v>
      </c>
      <c r="N583" s="122" t="s">
        <v>140</v>
      </c>
      <c r="O583" s="122">
        <v>4</v>
      </c>
      <c r="P583" s="24" t="s">
        <v>622</v>
      </c>
      <c r="Q583" s="25">
        <v>40500</v>
      </c>
      <c r="R583" s="26" t="s">
        <v>142</v>
      </c>
      <c r="S583" s="27" t="s">
        <v>214</v>
      </c>
      <c r="T583" s="27" t="s">
        <v>144</v>
      </c>
      <c r="U583" s="124" t="s">
        <v>140</v>
      </c>
      <c r="V583" s="39">
        <v>7</v>
      </c>
      <c r="W583" s="29">
        <v>4021.5</v>
      </c>
      <c r="X583" s="29" t="s">
        <v>598</v>
      </c>
      <c r="Y583" s="29"/>
      <c r="Z583" s="30">
        <v>11.49</v>
      </c>
      <c r="AA583" s="136" t="s">
        <v>623</v>
      </c>
      <c r="AB583" s="136">
        <v>5</v>
      </c>
      <c r="AC583" s="122" t="s">
        <v>155</v>
      </c>
      <c r="AD583" s="31">
        <v>1.85</v>
      </c>
      <c r="AE583" s="32" t="s">
        <v>147</v>
      </c>
    </row>
    <row r="584" spans="1:31">
      <c r="A584" s="135">
        <v>4</v>
      </c>
      <c r="B584" s="38" t="s">
        <v>106</v>
      </c>
      <c r="C584" s="122">
        <v>12</v>
      </c>
      <c r="D584" s="122">
        <v>913</v>
      </c>
      <c r="E584" s="33">
        <v>1723</v>
      </c>
      <c r="F584" s="34">
        <v>112</v>
      </c>
      <c r="G584" s="34">
        <v>913112</v>
      </c>
      <c r="H584" s="119">
        <v>6.94</v>
      </c>
      <c r="I584" s="101"/>
      <c r="J584" s="100">
        <v>6.94</v>
      </c>
      <c r="K584" s="58" t="s">
        <v>170</v>
      </c>
      <c r="L584" s="6" t="s">
        <v>86</v>
      </c>
      <c r="M584" s="23" t="s">
        <v>203</v>
      </c>
      <c r="N584" s="122" t="s">
        <v>140</v>
      </c>
      <c r="O584" s="122"/>
      <c r="P584" s="24" t="s">
        <v>622</v>
      </c>
      <c r="Q584" s="25">
        <v>40500</v>
      </c>
      <c r="R584" s="26" t="s">
        <v>142</v>
      </c>
      <c r="S584" s="27" t="s">
        <v>214</v>
      </c>
      <c r="T584" s="27" t="s">
        <v>144</v>
      </c>
      <c r="U584" s="124" t="s">
        <v>140</v>
      </c>
      <c r="V584" s="39">
        <v>7</v>
      </c>
      <c r="W584" s="29">
        <v>2429</v>
      </c>
      <c r="X584" s="29" t="s">
        <v>598</v>
      </c>
      <c r="Y584" s="29"/>
      <c r="Z584" s="30">
        <v>6.94</v>
      </c>
      <c r="AA584" s="136" t="s">
        <v>623</v>
      </c>
      <c r="AB584" s="136">
        <v>5</v>
      </c>
      <c r="AC584" s="122" t="s">
        <v>146</v>
      </c>
      <c r="AD584" s="31">
        <v>1.75</v>
      </c>
      <c r="AE584" s="32" t="s">
        <v>147</v>
      </c>
    </row>
    <row r="585" spans="1:31">
      <c r="A585" s="135">
        <v>4</v>
      </c>
      <c r="B585" s="38" t="s">
        <v>106</v>
      </c>
      <c r="C585" s="122">
        <v>13</v>
      </c>
      <c r="D585" s="122">
        <v>913</v>
      </c>
      <c r="E585" s="33">
        <v>1724</v>
      </c>
      <c r="F585" s="34">
        <v>113</v>
      </c>
      <c r="G585" s="34">
        <v>913113</v>
      </c>
      <c r="H585" s="119">
        <v>17.579999999999998</v>
      </c>
      <c r="I585" s="100"/>
      <c r="J585" s="100">
        <v>17.579999999999998</v>
      </c>
      <c r="K585" s="22" t="s">
        <v>170</v>
      </c>
      <c r="L585" s="11" t="s">
        <v>86</v>
      </c>
      <c r="M585" s="23" t="s">
        <v>149</v>
      </c>
      <c r="N585" s="122" t="s">
        <v>140</v>
      </c>
      <c r="O585" s="122">
        <v>4</v>
      </c>
      <c r="P585" s="24" t="s">
        <v>622</v>
      </c>
      <c r="Q585" s="25">
        <v>40500</v>
      </c>
      <c r="R585" s="26" t="s">
        <v>142</v>
      </c>
      <c r="S585" s="27" t="s">
        <v>214</v>
      </c>
      <c r="T585" s="27" t="s">
        <v>144</v>
      </c>
      <c r="U585" s="124" t="s">
        <v>140</v>
      </c>
      <c r="V585" s="39">
        <v>7</v>
      </c>
      <c r="W585" s="29">
        <v>6152.9999999999991</v>
      </c>
      <c r="X585" s="29" t="s">
        <v>598</v>
      </c>
      <c r="Y585" s="29"/>
      <c r="Z585" s="30">
        <v>17.579999999999998</v>
      </c>
      <c r="AA585" s="136" t="s">
        <v>623</v>
      </c>
      <c r="AB585" s="136">
        <v>5</v>
      </c>
      <c r="AC585" s="122" t="s">
        <v>155</v>
      </c>
      <c r="AD585" s="31">
        <v>1.85</v>
      </c>
      <c r="AE585" s="32" t="s">
        <v>147</v>
      </c>
    </row>
    <row r="586" spans="1:31">
      <c r="A586" s="135">
        <v>4</v>
      </c>
      <c r="B586" s="38" t="s">
        <v>106</v>
      </c>
      <c r="C586" s="122">
        <v>14</v>
      </c>
      <c r="D586" s="122">
        <v>913</v>
      </c>
      <c r="E586" s="33" t="s">
        <v>631</v>
      </c>
      <c r="F586" s="34">
        <v>114</v>
      </c>
      <c r="G586" s="34">
        <v>913114</v>
      </c>
      <c r="H586" s="119">
        <v>17.95</v>
      </c>
      <c r="I586" s="101">
        <v>17.95</v>
      </c>
      <c r="J586" s="100"/>
      <c r="K586" s="22" t="s">
        <v>148</v>
      </c>
      <c r="L586" s="11" t="s">
        <v>148</v>
      </c>
      <c r="M586" s="23" t="s">
        <v>149</v>
      </c>
      <c r="N586" s="122" t="s">
        <v>140</v>
      </c>
      <c r="O586" s="122">
        <v>6</v>
      </c>
      <c r="P586" s="24" t="s">
        <v>622</v>
      </c>
      <c r="Q586" s="25">
        <v>40500</v>
      </c>
      <c r="R586" s="26" t="s">
        <v>142</v>
      </c>
      <c r="S586" s="27" t="s">
        <v>214</v>
      </c>
      <c r="T586" s="27" t="s">
        <v>144</v>
      </c>
      <c r="U586" s="124" t="s">
        <v>140</v>
      </c>
      <c r="V586" s="39">
        <v>7</v>
      </c>
      <c r="W586" s="30"/>
      <c r="X586" s="29"/>
      <c r="Y586" s="29"/>
      <c r="Z586" s="30">
        <v>0</v>
      </c>
      <c r="AA586" s="8"/>
      <c r="AB586" s="8"/>
      <c r="AC586" s="122" t="s">
        <v>155</v>
      </c>
      <c r="AD586" s="31">
        <v>1.85</v>
      </c>
      <c r="AE586" s="32" t="s">
        <v>147</v>
      </c>
    </row>
    <row r="587" spans="1:31">
      <c r="A587" s="135">
        <v>4</v>
      </c>
      <c r="B587" s="38" t="s">
        <v>106</v>
      </c>
      <c r="C587" s="122">
        <v>15</v>
      </c>
      <c r="D587" s="122">
        <v>913</v>
      </c>
      <c r="E587" s="33">
        <v>1725</v>
      </c>
      <c r="F587" s="34">
        <v>115</v>
      </c>
      <c r="G587" s="34">
        <v>913115</v>
      </c>
      <c r="H587" s="119">
        <v>10.41</v>
      </c>
      <c r="I587" s="101">
        <v>10.41</v>
      </c>
      <c r="J587" s="100"/>
      <c r="K587" s="22" t="s">
        <v>148</v>
      </c>
      <c r="L587" s="11" t="s">
        <v>148</v>
      </c>
      <c r="M587" s="23" t="s">
        <v>149</v>
      </c>
      <c r="N587" s="122" t="s">
        <v>140</v>
      </c>
      <c r="O587" s="122">
        <v>6</v>
      </c>
      <c r="P587" s="24" t="s">
        <v>622</v>
      </c>
      <c r="Q587" s="25">
        <v>40500</v>
      </c>
      <c r="R587" s="26" t="s">
        <v>142</v>
      </c>
      <c r="S587" s="27" t="s">
        <v>214</v>
      </c>
      <c r="T587" s="27" t="s">
        <v>144</v>
      </c>
      <c r="U587" s="124" t="s">
        <v>140</v>
      </c>
      <c r="V587" s="39">
        <v>7</v>
      </c>
      <c r="W587" s="30"/>
      <c r="X587" s="29"/>
      <c r="Y587" s="29"/>
      <c r="Z587" s="30">
        <v>0</v>
      </c>
      <c r="AA587" s="8"/>
      <c r="AB587" s="8"/>
      <c r="AC587" s="122" t="s">
        <v>155</v>
      </c>
      <c r="AD587" s="31">
        <v>1.85</v>
      </c>
      <c r="AE587" s="32" t="s">
        <v>147</v>
      </c>
    </row>
    <row r="588" spans="1:31">
      <c r="A588" s="135">
        <v>4</v>
      </c>
      <c r="B588" s="38" t="s">
        <v>106</v>
      </c>
      <c r="C588" s="122">
        <v>16</v>
      </c>
      <c r="D588" s="122">
        <v>913</v>
      </c>
      <c r="E588" s="33" t="s">
        <v>93</v>
      </c>
      <c r="F588" s="34">
        <v>116</v>
      </c>
      <c r="G588" s="34">
        <v>913116</v>
      </c>
      <c r="H588" s="119">
        <v>22.64</v>
      </c>
      <c r="I588" s="100"/>
      <c r="J588" s="100">
        <v>22.64</v>
      </c>
      <c r="K588" s="22" t="s">
        <v>137</v>
      </c>
      <c r="L588" s="11" t="s">
        <v>138</v>
      </c>
      <c r="M588" s="23" t="s">
        <v>184</v>
      </c>
      <c r="N588" s="122" t="s">
        <v>140</v>
      </c>
      <c r="O588" s="122">
        <v>4</v>
      </c>
      <c r="P588" s="24" t="s">
        <v>622</v>
      </c>
      <c r="Q588" s="25">
        <v>40500</v>
      </c>
      <c r="R588" s="26" t="s">
        <v>142</v>
      </c>
      <c r="S588" s="27" t="s">
        <v>214</v>
      </c>
      <c r="T588" s="27" t="s">
        <v>144</v>
      </c>
      <c r="U588" s="124" t="s">
        <v>140</v>
      </c>
      <c r="V588" s="39">
        <v>7</v>
      </c>
      <c r="W588" s="29">
        <v>7924</v>
      </c>
      <c r="X588" s="29" t="s">
        <v>598</v>
      </c>
      <c r="Y588" s="29"/>
      <c r="Z588" s="30">
        <v>22.64</v>
      </c>
      <c r="AA588" s="136" t="s">
        <v>623</v>
      </c>
      <c r="AB588" s="136">
        <v>5</v>
      </c>
      <c r="AC588" s="21" t="s">
        <v>146</v>
      </c>
      <c r="AD588" s="31">
        <v>1.75</v>
      </c>
      <c r="AE588" s="32" t="s">
        <v>147</v>
      </c>
    </row>
    <row r="589" spans="1:31">
      <c r="A589" s="81"/>
      <c r="B589" s="142" t="s">
        <v>632</v>
      </c>
      <c r="C589" s="133"/>
      <c r="D589" s="133"/>
      <c r="E589" s="82"/>
      <c r="F589" s="82"/>
      <c r="G589" s="82"/>
      <c r="H589" s="121">
        <v>13685.123500000014</v>
      </c>
      <c r="I589" s="112">
        <v>3508.2934999999989</v>
      </c>
      <c r="J589" s="113">
        <v>10176.830000000007</v>
      </c>
      <c r="K589" s="83"/>
      <c r="L589" s="84"/>
      <c r="M589" s="85"/>
      <c r="N589" s="86"/>
      <c r="O589" s="86"/>
      <c r="P589" s="87"/>
      <c r="Q589" s="87"/>
      <c r="R589" s="88"/>
      <c r="S589" s="89"/>
      <c r="T589" s="90"/>
      <c r="U589" s="91"/>
      <c r="V589" s="126"/>
      <c r="W589" s="92">
        <v>3612581.9999999995</v>
      </c>
      <c r="X589" s="92"/>
      <c r="Y589" s="92"/>
      <c r="Z589" s="92">
        <v>10442.905000000006</v>
      </c>
      <c r="AA589" s="93"/>
      <c r="AB589" s="93"/>
      <c r="AC589" s="90"/>
      <c r="AD589" s="90"/>
      <c r="AE589" s="94"/>
    </row>
  </sheetData>
  <autoFilter ref="A2:AS58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368"/>
  <sheetViews>
    <sheetView tabSelected="1" zoomScale="60" zoomScaleNormal="60" workbookViewId="0">
      <pane xSplit="5" ySplit="3" topLeftCell="F4" activePane="bottomRight" state="frozen"/>
      <selection pane="topRight" activeCell="G1" sqref="G1"/>
      <selection pane="bottomLeft" activeCell="A4" sqref="A4"/>
      <selection pane="bottomRight" activeCell="F19" sqref="F19"/>
    </sheetView>
  </sheetViews>
  <sheetFormatPr defaultRowHeight="23.5" customHeight="1"/>
  <cols>
    <col min="1" max="2" width="8.81640625" style="151" bestFit="1" customWidth="1"/>
    <col min="3" max="3" width="16.54296875" style="231" customWidth="1"/>
    <col min="4" max="4" width="12.08984375" style="151" customWidth="1"/>
    <col min="5" max="5" width="13.453125" style="151" bestFit="1" customWidth="1"/>
    <col min="6" max="6" width="8.81640625" style="151" bestFit="1" customWidth="1"/>
    <col min="7" max="7" width="12.54296875" style="231" customWidth="1"/>
    <col min="8" max="8" width="14.54296875" style="151" customWidth="1"/>
    <col min="9" max="9" width="8.81640625" style="151" bestFit="1" customWidth="1"/>
    <col min="10" max="10" width="11" style="231" customWidth="1"/>
    <col min="11" max="11" width="14.6328125" style="151" bestFit="1" customWidth="1"/>
    <col min="12" max="12" width="10.81640625" style="231" customWidth="1"/>
    <col min="13" max="13" width="14.6328125" style="151" bestFit="1" customWidth="1"/>
    <col min="14" max="14" width="11.26953125" style="231" customWidth="1"/>
    <col min="15" max="16" width="10.54296875" style="151" bestFit="1" customWidth="1"/>
    <col min="17" max="17" width="12.54296875" style="151" bestFit="1" customWidth="1"/>
    <col min="18" max="23" width="8.81640625" style="151" bestFit="1" customWidth="1"/>
    <col min="24" max="24" width="8.7265625" style="151"/>
    <col min="25" max="28" width="8.81640625" style="151" bestFit="1" customWidth="1"/>
    <col min="29" max="29" width="8.7265625" style="151"/>
    <col min="30" max="39" width="8.81640625" style="151" bestFit="1" customWidth="1"/>
    <col min="40" max="40" width="8.7265625" style="151"/>
    <col min="41" max="48" width="8.81640625" style="151" bestFit="1" customWidth="1"/>
    <col min="49" max="16384" width="8.7265625" style="151"/>
  </cols>
  <sheetData>
    <row r="1" spans="1:48" ht="23.5" customHeight="1">
      <c r="A1" s="147" t="s">
        <v>0</v>
      </c>
      <c r="B1" s="147"/>
      <c r="C1" s="147"/>
      <c r="D1" s="148"/>
      <c r="E1" s="148"/>
      <c r="F1" s="148"/>
      <c r="G1" s="245"/>
      <c r="H1" s="148"/>
      <c r="I1" s="148"/>
      <c r="J1" s="245"/>
      <c r="K1" s="148"/>
      <c r="L1" s="245"/>
      <c r="M1" s="148"/>
      <c r="N1" s="245"/>
      <c r="O1" s="148"/>
      <c r="P1" s="148"/>
      <c r="Q1" s="148"/>
      <c r="R1" s="149"/>
      <c r="S1" s="149"/>
      <c r="T1" s="149"/>
      <c r="U1" s="150" t="s">
        <v>1</v>
      </c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</row>
    <row r="2" spans="1:48" ht="23.5" customHeight="1">
      <c r="A2" s="152" t="s">
        <v>2</v>
      </c>
      <c r="B2" s="153" t="s">
        <v>3</v>
      </c>
      <c r="C2" s="152" t="s">
        <v>4</v>
      </c>
      <c r="D2" s="152" t="s">
        <v>5</v>
      </c>
      <c r="E2" s="152"/>
      <c r="F2" s="154" t="s">
        <v>6</v>
      </c>
      <c r="G2" s="246"/>
      <c r="H2" s="154"/>
      <c r="I2" s="154"/>
      <c r="J2" s="246"/>
      <c r="K2" s="154"/>
      <c r="L2" s="246"/>
      <c r="M2" s="154"/>
      <c r="N2" s="246"/>
      <c r="O2" s="154"/>
      <c r="P2" s="154"/>
      <c r="Q2" s="154"/>
      <c r="R2" s="155" t="s">
        <v>7</v>
      </c>
      <c r="S2" s="156"/>
      <c r="T2" s="156"/>
      <c r="U2" s="157" t="s">
        <v>8</v>
      </c>
      <c r="V2" s="158"/>
      <c r="W2" s="159"/>
      <c r="X2" s="160"/>
      <c r="Y2" s="145" t="s">
        <v>9</v>
      </c>
      <c r="Z2" s="157" t="s">
        <v>10</v>
      </c>
      <c r="AA2" s="158"/>
      <c r="AB2" s="159"/>
      <c r="AC2" s="160"/>
      <c r="AD2" s="145" t="s">
        <v>9</v>
      </c>
      <c r="AE2" s="146" t="s">
        <v>11</v>
      </c>
      <c r="AF2" s="146"/>
      <c r="AG2" s="146"/>
      <c r="AH2" s="161" t="s">
        <v>80</v>
      </c>
      <c r="AI2" s="162"/>
      <c r="AJ2" s="162"/>
      <c r="AK2" s="163" t="s">
        <v>81</v>
      </c>
      <c r="AL2" s="164"/>
      <c r="AM2" s="165"/>
      <c r="AN2" s="166" t="s">
        <v>79</v>
      </c>
      <c r="AO2" s="167" t="s">
        <v>82</v>
      </c>
      <c r="AP2" s="168" t="s">
        <v>83</v>
      </c>
      <c r="AQ2" s="169"/>
      <c r="AR2" s="170"/>
      <c r="AS2" s="167" t="s">
        <v>84</v>
      </c>
      <c r="AT2" s="171" t="s">
        <v>85</v>
      </c>
      <c r="AU2" s="171"/>
      <c r="AV2" s="171"/>
    </row>
    <row r="3" spans="1:48" ht="34.5" customHeight="1">
      <c r="A3" s="172"/>
      <c r="B3" s="173"/>
      <c r="C3" s="226"/>
      <c r="D3" s="174"/>
      <c r="E3" s="174"/>
      <c r="F3" s="175" t="s">
        <v>12</v>
      </c>
      <c r="G3" s="247" t="s">
        <v>13</v>
      </c>
      <c r="H3" s="176" t="s">
        <v>14</v>
      </c>
      <c r="I3" s="176" t="s">
        <v>15</v>
      </c>
      <c r="J3" s="247" t="s">
        <v>16</v>
      </c>
      <c r="K3" s="176" t="s">
        <v>17</v>
      </c>
      <c r="L3" s="247" t="s">
        <v>18</v>
      </c>
      <c r="M3" s="176" t="s">
        <v>19</v>
      </c>
      <c r="N3" s="247" t="s">
        <v>20</v>
      </c>
      <c r="O3" s="176" t="s">
        <v>21</v>
      </c>
      <c r="P3" s="176" t="s">
        <v>22</v>
      </c>
      <c r="Q3" s="177" t="s">
        <v>23</v>
      </c>
      <c r="R3" s="178" t="s">
        <v>24</v>
      </c>
      <c r="S3" s="178" t="s">
        <v>25</v>
      </c>
      <c r="T3" s="178" t="s">
        <v>26</v>
      </c>
      <c r="U3" s="178" t="s">
        <v>24</v>
      </c>
      <c r="V3" s="178" t="s">
        <v>25</v>
      </c>
      <c r="W3" s="178" t="s">
        <v>26</v>
      </c>
      <c r="X3" s="179"/>
      <c r="Y3" s="145"/>
      <c r="Z3" s="178" t="s">
        <v>24</v>
      </c>
      <c r="AA3" s="178" t="s">
        <v>25</v>
      </c>
      <c r="AB3" s="178" t="s">
        <v>26</v>
      </c>
      <c r="AC3" s="179"/>
      <c r="AD3" s="145"/>
      <c r="AE3" s="178" t="s">
        <v>24</v>
      </c>
      <c r="AF3" s="178" t="s">
        <v>25</v>
      </c>
      <c r="AG3" s="178" t="s">
        <v>26</v>
      </c>
      <c r="AH3" s="180" t="s">
        <v>24</v>
      </c>
      <c r="AI3" s="180" t="s">
        <v>25</v>
      </c>
      <c r="AJ3" s="180" t="s">
        <v>26</v>
      </c>
      <c r="AK3" s="181" t="s">
        <v>24</v>
      </c>
      <c r="AL3" s="181" t="s">
        <v>25</v>
      </c>
      <c r="AM3" s="181" t="s">
        <v>26</v>
      </c>
      <c r="AN3" s="181"/>
      <c r="AO3" s="182"/>
      <c r="AP3" s="183" t="s">
        <v>24</v>
      </c>
      <c r="AQ3" s="183" t="s">
        <v>25</v>
      </c>
      <c r="AR3" s="183" t="s">
        <v>26</v>
      </c>
      <c r="AS3" s="184"/>
      <c r="AT3" s="185" t="s">
        <v>24</v>
      </c>
      <c r="AU3" s="185" t="s">
        <v>25</v>
      </c>
      <c r="AV3" s="185" t="s">
        <v>26</v>
      </c>
    </row>
    <row r="4" spans="1:48" ht="23.5" customHeight="1">
      <c r="A4" s="186">
        <v>3</v>
      </c>
      <c r="B4" s="187">
        <v>59</v>
      </c>
      <c r="C4" s="227" t="s">
        <v>27</v>
      </c>
      <c r="D4" s="188">
        <v>874</v>
      </c>
      <c r="E4" s="188">
        <f>VLOOKUP(D4,รายแปลง!E:G,3,FALSE)</f>
        <v>903118</v>
      </c>
      <c r="F4" s="189">
        <v>8.18</v>
      </c>
      <c r="G4" s="248" t="s">
        <v>40</v>
      </c>
      <c r="H4" s="189">
        <v>3.6325599999999998</v>
      </c>
      <c r="I4" s="189">
        <v>1.4734137401016851</v>
      </c>
      <c r="J4" s="248" t="s">
        <v>41</v>
      </c>
      <c r="K4" s="190">
        <v>22.436110785949509</v>
      </c>
      <c r="L4" s="248" t="s">
        <v>28</v>
      </c>
      <c r="M4" s="190">
        <v>273.61470057178434</v>
      </c>
      <c r="N4" s="257" t="s">
        <v>30</v>
      </c>
      <c r="O4" s="190">
        <v>5094.9552567552582</v>
      </c>
      <c r="P4" s="190">
        <v>167.84176422601141</v>
      </c>
      <c r="Q4" s="190">
        <v>265.67711999621724</v>
      </c>
      <c r="R4" s="191" t="s">
        <v>31</v>
      </c>
      <c r="S4" s="192" t="s">
        <v>42</v>
      </c>
      <c r="T4" s="192" t="s">
        <v>33</v>
      </c>
      <c r="U4" s="193">
        <v>16</v>
      </c>
      <c r="V4" s="193">
        <v>16</v>
      </c>
      <c r="W4" s="193">
        <v>8</v>
      </c>
      <c r="X4" s="194" t="s">
        <v>39</v>
      </c>
      <c r="Y4" s="194">
        <v>50</v>
      </c>
      <c r="Z4" s="195">
        <v>21</v>
      </c>
      <c r="AA4" s="195">
        <v>7</v>
      </c>
      <c r="AB4" s="195">
        <v>18</v>
      </c>
      <c r="AC4" s="194" t="s">
        <v>35</v>
      </c>
      <c r="AD4" s="194">
        <v>50</v>
      </c>
      <c r="AE4" s="196">
        <v>18.5</v>
      </c>
      <c r="AF4" s="196">
        <v>11.5</v>
      </c>
      <c r="AG4" s="196">
        <v>13</v>
      </c>
    </row>
    <row r="5" spans="1:48" ht="23.5" customHeight="1">
      <c r="A5" s="186">
        <v>4</v>
      </c>
      <c r="B5" s="187">
        <v>59</v>
      </c>
      <c r="C5" s="227" t="s">
        <v>27</v>
      </c>
      <c r="D5" s="188">
        <v>875</v>
      </c>
      <c r="E5" s="188">
        <f>VLOOKUP(D5,รายแปลง!E:G,3,FALSE)</f>
        <v>903119</v>
      </c>
      <c r="F5" s="189">
        <v>7.95</v>
      </c>
      <c r="G5" s="248" t="s">
        <v>40</v>
      </c>
      <c r="H5" s="189">
        <v>5.3436399999999997</v>
      </c>
      <c r="I5" s="189">
        <v>2.5114673068387843</v>
      </c>
      <c r="J5" s="248" t="s">
        <v>29</v>
      </c>
      <c r="K5" s="190">
        <v>68.465561791297247</v>
      </c>
      <c r="L5" s="248" t="s">
        <v>29</v>
      </c>
      <c r="M5" s="190">
        <v>360.76753070776772</v>
      </c>
      <c r="N5" s="257" t="s">
        <v>30</v>
      </c>
      <c r="O5" s="190">
        <v>4751.8287246235432</v>
      </c>
      <c r="P5" s="190">
        <v>167.05023470302973</v>
      </c>
      <c r="Q5" s="190">
        <v>535.00748083755025</v>
      </c>
      <c r="R5" s="191" t="s">
        <v>43</v>
      </c>
      <c r="S5" s="192" t="s">
        <v>32</v>
      </c>
      <c r="T5" s="192" t="s">
        <v>33</v>
      </c>
      <c r="U5" s="193">
        <v>16</v>
      </c>
      <c r="V5" s="193">
        <v>8</v>
      </c>
      <c r="W5" s="193">
        <v>8</v>
      </c>
      <c r="X5" s="194" t="s">
        <v>34</v>
      </c>
      <c r="Y5" s="194">
        <v>50</v>
      </c>
      <c r="Z5" s="195">
        <v>21</v>
      </c>
      <c r="AA5" s="195">
        <v>7</v>
      </c>
      <c r="AB5" s="195">
        <v>18</v>
      </c>
      <c r="AC5" s="194" t="s">
        <v>35</v>
      </c>
      <c r="AD5" s="194">
        <v>50</v>
      </c>
      <c r="AE5" s="196">
        <v>18.5</v>
      </c>
      <c r="AF5" s="196">
        <v>7.5</v>
      </c>
      <c r="AG5" s="196">
        <v>13</v>
      </c>
    </row>
    <row r="6" spans="1:48" ht="23.5" customHeight="1">
      <c r="A6" s="186">
        <v>5</v>
      </c>
      <c r="B6" s="187">
        <v>59</v>
      </c>
      <c r="C6" s="227" t="s">
        <v>27</v>
      </c>
      <c r="D6" s="188">
        <v>877</v>
      </c>
      <c r="E6" s="188">
        <f>VLOOKUP(D6,รายแปลง!E:G,3,FALSE)</f>
        <v>903123</v>
      </c>
      <c r="F6" s="189">
        <v>8.5449999999999999</v>
      </c>
      <c r="G6" s="248" t="s">
        <v>36</v>
      </c>
      <c r="H6" s="189">
        <v>7.9190800000000001</v>
      </c>
      <c r="I6" s="189">
        <v>2.1810163819249095</v>
      </c>
      <c r="J6" s="248" t="s">
        <v>28</v>
      </c>
      <c r="K6" s="190">
        <v>34.053236276178104</v>
      </c>
      <c r="L6" s="248" t="s">
        <v>28</v>
      </c>
      <c r="M6" s="190">
        <v>416.61392892399499</v>
      </c>
      <c r="N6" s="257" t="s">
        <v>30</v>
      </c>
      <c r="O6" s="190">
        <v>3506.9291973337918</v>
      </c>
      <c r="P6" s="190">
        <v>161.62409806464393</v>
      </c>
      <c r="Q6" s="190">
        <v>866.9950726251268</v>
      </c>
      <c r="R6" s="191" t="s">
        <v>43</v>
      </c>
      <c r="S6" s="192" t="s">
        <v>32</v>
      </c>
      <c r="T6" s="192" t="s">
        <v>33</v>
      </c>
      <c r="U6" s="193">
        <v>16</v>
      </c>
      <c r="V6" s="193">
        <v>8</v>
      </c>
      <c r="W6" s="193">
        <v>8</v>
      </c>
      <c r="X6" s="194" t="s">
        <v>34</v>
      </c>
      <c r="Y6" s="194">
        <v>50</v>
      </c>
      <c r="Z6" s="195">
        <v>21</v>
      </c>
      <c r="AA6" s="195">
        <v>7</v>
      </c>
      <c r="AB6" s="195">
        <v>18</v>
      </c>
      <c r="AC6" s="194" t="s">
        <v>35</v>
      </c>
      <c r="AD6" s="194">
        <v>50</v>
      </c>
      <c r="AE6" s="196">
        <v>18.5</v>
      </c>
      <c r="AF6" s="196">
        <v>7.5</v>
      </c>
      <c r="AG6" s="196">
        <v>13</v>
      </c>
    </row>
    <row r="7" spans="1:48" ht="23.5" customHeight="1">
      <c r="A7" s="186">
        <v>8</v>
      </c>
      <c r="B7" s="187">
        <v>59</v>
      </c>
      <c r="C7" s="227" t="s">
        <v>27</v>
      </c>
      <c r="D7" s="188">
        <v>2003</v>
      </c>
      <c r="E7" s="188">
        <f>VLOOKUP(D7,รายแปลง!E:G,3,FALSE)</f>
        <v>901140</v>
      </c>
      <c r="F7" s="189">
        <v>8.3000000000000007</v>
      </c>
      <c r="G7" s="248" t="s">
        <v>40</v>
      </c>
      <c r="H7" s="189">
        <v>4.2146799999999995</v>
      </c>
      <c r="I7" s="189">
        <v>1.1681575815172738</v>
      </c>
      <c r="J7" s="248" t="s">
        <v>41</v>
      </c>
      <c r="K7" s="190">
        <v>172.64361913508409</v>
      </c>
      <c r="L7" s="248" t="s">
        <v>29</v>
      </c>
      <c r="M7" s="190">
        <v>471.24347326120602</v>
      </c>
      <c r="N7" s="257" t="s">
        <v>30</v>
      </c>
      <c r="O7" s="190">
        <v>3864.8697013667261</v>
      </c>
      <c r="P7" s="190">
        <v>157.36324026299343</v>
      </c>
      <c r="Q7" s="190">
        <v>87.815775966398689</v>
      </c>
      <c r="R7" s="191" t="s">
        <v>31</v>
      </c>
      <c r="S7" s="192" t="s">
        <v>32</v>
      </c>
      <c r="T7" s="192" t="s">
        <v>33</v>
      </c>
      <c r="U7" s="193">
        <v>16</v>
      </c>
      <c r="V7" s="193">
        <v>8</v>
      </c>
      <c r="W7" s="193">
        <v>8</v>
      </c>
      <c r="X7" s="194" t="s">
        <v>34</v>
      </c>
      <c r="Y7" s="194">
        <v>50</v>
      </c>
      <c r="Z7" s="195">
        <v>21</v>
      </c>
      <c r="AA7" s="195">
        <v>7</v>
      </c>
      <c r="AB7" s="195">
        <v>18</v>
      </c>
      <c r="AC7" s="194" t="s">
        <v>35</v>
      </c>
      <c r="AD7" s="194">
        <v>50</v>
      </c>
      <c r="AE7" s="196">
        <v>18.5</v>
      </c>
      <c r="AF7" s="196">
        <v>7.5</v>
      </c>
      <c r="AG7" s="196">
        <v>13</v>
      </c>
    </row>
    <row r="8" spans="1:48" ht="23.5" customHeight="1">
      <c r="A8" s="186">
        <v>9</v>
      </c>
      <c r="B8" s="187">
        <v>59</v>
      </c>
      <c r="C8" s="227" t="s">
        <v>27</v>
      </c>
      <c r="D8" s="188">
        <v>2004</v>
      </c>
      <c r="E8" s="188">
        <f>VLOOKUP(D8,รายแปลง!E:G,3,FALSE)</f>
        <v>901139</v>
      </c>
      <c r="F8" s="189">
        <v>8.1950000000000003</v>
      </c>
      <c r="G8" s="248" t="s">
        <v>40</v>
      </c>
      <c r="H8" s="189">
        <v>4.7497600000000002</v>
      </c>
      <c r="I8" s="189">
        <v>1.2378432596336415</v>
      </c>
      <c r="J8" s="248" t="s">
        <v>41</v>
      </c>
      <c r="K8" s="190">
        <v>176.09856678440303</v>
      </c>
      <c r="L8" s="248" t="s">
        <v>29</v>
      </c>
      <c r="M8" s="190">
        <v>457.42046615027664</v>
      </c>
      <c r="N8" s="257" t="s">
        <v>30</v>
      </c>
      <c r="O8" s="190">
        <v>3796.0841012457336</v>
      </c>
      <c r="P8" s="190">
        <v>171.99396782563915</v>
      </c>
      <c r="Q8" s="190">
        <v>63.872538248835461</v>
      </c>
      <c r="R8" s="191" t="s">
        <v>31</v>
      </c>
      <c r="S8" s="192" t="s">
        <v>32</v>
      </c>
      <c r="T8" s="192" t="s">
        <v>33</v>
      </c>
      <c r="U8" s="193">
        <v>16</v>
      </c>
      <c r="V8" s="193">
        <v>8</v>
      </c>
      <c r="W8" s="193">
        <v>8</v>
      </c>
      <c r="X8" s="194" t="s">
        <v>34</v>
      </c>
      <c r="Y8" s="194">
        <v>50</v>
      </c>
      <c r="Z8" s="195">
        <v>21</v>
      </c>
      <c r="AA8" s="195">
        <v>7</v>
      </c>
      <c r="AB8" s="195">
        <v>18</v>
      </c>
      <c r="AC8" s="194" t="s">
        <v>35</v>
      </c>
      <c r="AD8" s="194">
        <v>50</v>
      </c>
      <c r="AE8" s="196">
        <v>18.5</v>
      </c>
      <c r="AF8" s="196">
        <v>7.5</v>
      </c>
      <c r="AG8" s="196">
        <v>13</v>
      </c>
    </row>
    <row r="9" spans="1:48" ht="23.5" customHeight="1">
      <c r="A9" s="186">
        <v>10</v>
      </c>
      <c r="B9" s="187">
        <v>59</v>
      </c>
      <c r="C9" s="227" t="s">
        <v>27</v>
      </c>
      <c r="D9" s="188">
        <v>2006</v>
      </c>
      <c r="E9" s="188">
        <f>VLOOKUP(D9,รายแปลง!E:G,3,FALSE)</f>
        <v>901136</v>
      </c>
      <c r="F9" s="189">
        <v>8.43</v>
      </c>
      <c r="G9" s="248" t="s">
        <v>36</v>
      </c>
      <c r="H9" s="189">
        <v>4.3734400000000004</v>
      </c>
      <c r="I9" s="189">
        <v>0.83368770607005893</v>
      </c>
      <c r="J9" s="248" t="s">
        <v>37</v>
      </c>
      <c r="K9" s="190">
        <v>186.93631404929823</v>
      </c>
      <c r="L9" s="248" t="s">
        <v>29</v>
      </c>
      <c r="M9" s="190">
        <v>240.7422665706876</v>
      </c>
      <c r="N9" s="257" t="s">
        <v>30</v>
      </c>
      <c r="O9" s="190">
        <v>2949.260966561872</v>
      </c>
      <c r="P9" s="190">
        <v>200.43740475395151</v>
      </c>
      <c r="Q9" s="190">
        <v>294.63865348399247</v>
      </c>
      <c r="R9" s="191" t="s">
        <v>38</v>
      </c>
      <c r="S9" s="192" t="s">
        <v>32</v>
      </c>
      <c r="T9" s="192" t="s">
        <v>33</v>
      </c>
      <c r="U9" s="193">
        <v>16</v>
      </c>
      <c r="V9" s="193">
        <v>16</v>
      </c>
      <c r="W9" s="193">
        <v>8</v>
      </c>
      <c r="X9" s="194" t="s">
        <v>39</v>
      </c>
      <c r="Y9" s="194">
        <v>50</v>
      </c>
      <c r="Z9" s="195">
        <v>21</v>
      </c>
      <c r="AA9" s="195">
        <v>7</v>
      </c>
      <c r="AB9" s="195">
        <v>18</v>
      </c>
      <c r="AC9" s="194" t="s">
        <v>35</v>
      </c>
      <c r="AD9" s="194">
        <v>50</v>
      </c>
      <c r="AE9" s="196">
        <v>18.5</v>
      </c>
      <c r="AF9" s="196">
        <v>11.5</v>
      </c>
      <c r="AG9" s="196">
        <v>13</v>
      </c>
    </row>
    <row r="10" spans="1:48" ht="23.5" customHeight="1">
      <c r="A10" s="186">
        <v>11</v>
      </c>
      <c r="B10" s="187">
        <v>59</v>
      </c>
      <c r="C10" s="227" t="s">
        <v>44</v>
      </c>
      <c r="D10" s="188">
        <v>206</v>
      </c>
      <c r="E10" s="188">
        <f>VLOOKUP(D10,รายแปลง!E:G,3,FALSE)</f>
        <v>911101</v>
      </c>
      <c r="F10" s="189">
        <v>6.6749999999999998</v>
      </c>
      <c r="G10" s="248" t="s">
        <v>28</v>
      </c>
      <c r="H10" s="189">
        <v>2.1696159999999995</v>
      </c>
      <c r="I10" s="189">
        <v>0.40197365700227239</v>
      </c>
      <c r="J10" s="248" t="s">
        <v>37</v>
      </c>
      <c r="K10" s="190">
        <v>20.026871708718652</v>
      </c>
      <c r="L10" s="248" t="s">
        <v>28</v>
      </c>
      <c r="M10" s="190">
        <v>114.05966209283534</v>
      </c>
      <c r="N10" s="257" t="s">
        <v>29</v>
      </c>
      <c r="O10" s="190">
        <v>256.70574266587471</v>
      </c>
      <c r="P10" s="190">
        <v>75.994081201532481</v>
      </c>
      <c r="Q10" s="190">
        <v>33.134138744533331</v>
      </c>
      <c r="R10" s="191" t="s">
        <v>38</v>
      </c>
      <c r="S10" s="192" t="s">
        <v>42</v>
      </c>
      <c r="T10" s="192" t="s">
        <v>33</v>
      </c>
      <c r="U10" s="193">
        <v>16</v>
      </c>
      <c r="V10" s="193">
        <v>16</v>
      </c>
      <c r="W10" s="193">
        <v>8</v>
      </c>
      <c r="X10" s="194" t="s">
        <v>39</v>
      </c>
      <c r="Y10" s="194">
        <v>50</v>
      </c>
      <c r="Z10" s="195">
        <v>21</v>
      </c>
      <c r="AA10" s="195">
        <v>7</v>
      </c>
      <c r="AB10" s="195">
        <v>18</v>
      </c>
      <c r="AC10" s="194" t="s">
        <v>35</v>
      </c>
      <c r="AD10" s="194">
        <v>50</v>
      </c>
      <c r="AE10" s="196">
        <v>18.5</v>
      </c>
      <c r="AF10" s="196">
        <v>11.5</v>
      </c>
      <c r="AG10" s="196">
        <v>13</v>
      </c>
    </row>
    <row r="11" spans="1:48" ht="23.5" customHeight="1">
      <c r="A11" s="186">
        <v>17</v>
      </c>
      <c r="B11" s="187">
        <v>59</v>
      </c>
      <c r="C11" s="227" t="s">
        <v>44</v>
      </c>
      <c r="D11" s="188">
        <v>230</v>
      </c>
      <c r="E11" s="188">
        <f>VLOOKUP(D11,รายแปลง!E:G,3,FALSE)</f>
        <v>911113</v>
      </c>
      <c r="F11" s="189">
        <v>7.92</v>
      </c>
      <c r="G11" s="248" t="s">
        <v>40</v>
      </c>
      <c r="H11" s="189">
        <v>4.6968399999999999</v>
      </c>
      <c r="I11" s="189">
        <v>1.0322083564005904</v>
      </c>
      <c r="J11" s="248" t="s">
        <v>41</v>
      </c>
      <c r="K11" s="190">
        <v>54.50430027772542</v>
      </c>
      <c r="L11" s="248" t="s">
        <v>29</v>
      </c>
      <c r="M11" s="190">
        <v>291.87989345353435</v>
      </c>
      <c r="N11" s="257" t="s">
        <v>30</v>
      </c>
      <c r="O11" s="190">
        <v>3132.6881927161776</v>
      </c>
      <c r="P11" s="190">
        <v>392.69949717977966</v>
      </c>
      <c r="Q11" s="190">
        <v>218.83460609337072</v>
      </c>
      <c r="R11" s="191" t="s">
        <v>31</v>
      </c>
      <c r="S11" s="192" t="s">
        <v>32</v>
      </c>
      <c r="T11" s="192" t="s">
        <v>33</v>
      </c>
      <c r="U11" s="193">
        <v>16</v>
      </c>
      <c r="V11" s="193">
        <v>8</v>
      </c>
      <c r="W11" s="193">
        <v>8</v>
      </c>
      <c r="X11" s="194" t="s">
        <v>34</v>
      </c>
      <c r="Y11" s="194">
        <v>50</v>
      </c>
      <c r="Z11" s="195">
        <v>21</v>
      </c>
      <c r="AA11" s="195">
        <v>7</v>
      </c>
      <c r="AB11" s="195">
        <v>18</v>
      </c>
      <c r="AC11" s="194" t="s">
        <v>35</v>
      </c>
      <c r="AD11" s="194">
        <v>50</v>
      </c>
      <c r="AE11" s="196">
        <v>18.5</v>
      </c>
      <c r="AF11" s="196">
        <v>7.5</v>
      </c>
      <c r="AG11" s="196">
        <v>13</v>
      </c>
    </row>
    <row r="12" spans="1:48" ht="23.5" customHeight="1">
      <c r="A12" s="186">
        <v>18</v>
      </c>
      <c r="B12" s="187">
        <v>59</v>
      </c>
      <c r="C12" s="227" t="s">
        <v>44</v>
      </c>
      <c r="D12" s="188">
        <v>233</v>
      </c>
      <c r="E12" s="188">
        <f>VLOOKUP(D12,รายแปลง!E:G,3,FALSE)</f>
        <v>911118</v>
      </c>
      <c r="F12" s="189">
        <v>6.335</v>
      </c>
      <c r="G12" s="248" t="s">
        <v>28</v>
      </c>
      <c r="H12" s="189">
        <v>4.5851199999999999</v>
      </c>
      <c r="I12" s="189">
        <v>1.1743418670942931</v>
      </c>
      <c r="J12" s="248" t="s">
        <v>41</v>
      </c>
      <c r="K12" s="190">
        <v>16.557215387411745</v>
      </c>
      <c r="L12" s="248" t="s">
        <v>41</v>
      </c>
      <c r="M12" s="190">
        <v>356.30753575870744</v>
      </c>
      <c r="N12" s="257" t="s">
        <v>30</v>
      </c>
      <c r="O12" s="190">
        <v>1790.2710113097428</v>
      </c>
      <c r="P12" s="190">
        <v>163.63610364705619</v>
      </c>
      <c r="Q12" s="190">
        <v>412.81591035587348</v>
      </c>
      <c r="R12" s="191" t="s">
        <v>31</v>
      </c>
      <c r="S12" s="192" t="s">
        <v>42</v>
      </c>
      <c r="T12" s="192" t="s">
        <v>33</v>
      </c>
      <c r="U12" s="193">
        <v>16</v>
      </c>
      <c r="V12" s="193">
        <v>16</v>
      </c>
      <c r="W12" s="193">
        <v>8</v>
      </c>
      <c r="X12" s="194" t="s">
        <v>39</v>
      </c>
      <c r="Y12" s="194">
        <v>50</v>
      </c>
      <c r="Z12" s="195">
        <v>21</v>
      </c>
      <c r="AA12" s="195">
        <v>7</v>
      </c>
      <c r="AB12" s="195">
        <v>18</v>
      </c>
      <c r="AC12" s="194" t="s">
        <v>35</v>
      </c>
      <c r="AD12" s="194">
        <v>50</v>
      </c>
      <c r="AE12" s="196">
        <v>18.5</v>
      </c>
      <c r="AF12" s="196">
        <v>11.5</v>
      </c>
      <c r="AG12" s="196">
        <v>13</v>
      </c>
    </row>
    <row r="13" spans="1:48" ht="23.5" customHeight="1">
      <c r="A13" s="186">
        <v>19</v>
      </c>
      <c r="B13" s="187">
        <v>59</v>
      </c>
      <c r="C13" s="227" t="s">
        <v>44</v>
      </c>
      <c r="D13" s="188">
        <v>234</v>
      </c>
      <c r="E13" s="188">
        <f>VLOOKUP(D13,รายแปลง!E:G,3,FALSE)</f>
        <v>911116</v>
      </c>
      <c r="F13" s="189">
        <v>8.0399999999999991</v>
      </c>
      <c r="G13" s="248" t="s">
        <v>40</v>
      </c>
      <c r="H13" s="189">
        <v>4.0147599999999999</v>
      </c>
      <c r="I13" s="189">
        <v>1.0277491036020328</v>
      </c>
      <c r="J13" s="248" t="s">
        <v>41</v>
      </c>
      <c r="K13" s="190">
        <v>32.930434880907505</v>
      </c>
      <c r="L13" s="248" t="s">
        <v>28</v>
      </c>
      <c r="M13" s="190">
        <v>327.6342511038049</v>
      </c>
      <c r="N13" s="257" t="s">
        <v>30</v>
      </c>
      <c r="O13" s="190">
        <v>3997.091705480424</v>
      </c>
      <c r="P13" s="190">
        <v>144.23807392653373</v>
      </c>
      <c r="Q13" s="190">
        <v>83.525311654931429</v>
      </c>
      <c r="R13" s="191" t="s">
        <v>31</v>
      </c>
      <c r="S13" s="192" t="s">
        <v>32</v>
      </c>
      <c r="T13" s="192" t="s">
        <v>33</v>
      </c>
      <c r="U13" s="193">
        <v>16</v>
      </c>
      <c r="V13" s="193">
        <v>8</v>
      </c>
      <c r="W13" s="193">
        <v>8</v>
      </c>
      <c r="X13" s="194" t="s">
        <v>34</v>
      </c>
      <c r="Y13" s="194">
        <v>50</v>
      </c>
      <c r="Z13" s="195">
        <v>21</v>
      </c>
      <c r="AA13" s="195">
        <v>7</v>
      </c>
      <c r="AB13" s="195">
        <v>18</v>
      </c>
      <c r="AC13" s="194" t="s">
        <v>35</v>
      </c>
      <c r="AD13" s="194">
        <v>50</v>
      </c>
      <c r="AE13" s="196">
        <v>18.5</v>
      </c>
      <c r="AF13" s="196">
        <v>7.5</v>
      </c>
      <c r="AG13" s="196">
        <v>13</v>
      </c>
    </row>
    <row r="14" spans="1:48" ht="23.5" customHeight="1">
      <c r="A14" s="186">
        <v>20</v>
      </c>
      <c r="B14" s="187">
        <v>59</v>
      </c>
      <c r="C14" s="227" t="s">
        <v>44</v>
      </c>
      <c r="D14" s="188">
        <v>235</v>
      </c>
      <c r="E14" s="188">
        <f>VLOOKUP(D14,รายแปลง!E:G,3,FALSE)</f>
        <v>911117</v>
      </c>
      <c r="F14" s="189">
        <v>7.6850000000000005</v>
      </c>
      <c r="G14" s="248" t="s">
        <v>40</v>
      </c>
      <c r="H14" s="189">
        <v>5.4847599999999996</v>
      </c>
      <c r="I14" s="189">
        <v>1.3278210089933689</v>
      </c>
      <c r="J14" s="248" t="s">
        <v>41</v>
      </c>
      <c r="K14" s="190">
        <v>36.800156702759544</v>
      </c>
      <c r="L14" s="248" t="s">
        <v>28</v>
      </c>
      <c r="M14" s="190">
        <v>313.41397213817083</v>
      </c>
      <c r="N14" s="257" t="s">
        <v>30</v>
      </c>
      <c r="O14" s="190">
        <v>2592.8029694207107</v>
      </c>
      <c r="P14" s="190">
        <v>195.03623712256805</v>
      </c>
      <c r="Q14" s="190">
        <v>90.525308566705959</v>
      </c>
      <c r="R14" s="191" t="s">
        <v>31</v>
      </c>
      <c r="S14" s="192" t="s">
        <v>32</v>
      </c>
      <c r="T14" s="192" t="s">
        <v>33</v>
      </c>
      <c r="U14" s="193">
        <v>16</v>
      </c>
      <c r="V14" s="193">
        <v>8</v>
      </c>
      <c r="W14" s="193">
        <v>8</v>
      </c>
      <c r="X14" s="194" t="s">
        <v>34</v>
      </c>
      <c r="Y14" s="194">
        <v>50</v>
      </c>
      <c r="Z14" s="195">
        <v>21</v>
      </c>
      <c r="AA14" s="195">
        <v>7</v>
      </c>
      <c r="AB14" s="195">
        <v>18</v>
      </c>
      <c r="AC14" s="194" t="s">
        <v>35</v>
      </c>
      <c r="AD14" s="194">
        <v>50</v>
      </c>
      <c r="AE14" s="196">
        <v>18.5</v>
      </c>
      <c r="AF14" s="196">
        <v>7.5</v>
      </c>
      <c r="AG14" s="196">
        <v>13</v>
      </c>
    </row>
    <row r="15" spans="1:48" ht="23.5" customHeight="1">
      <c r="A15" s="186">
        <v>21</v>
      </c>
      <c r="B15" s="187">
        <v>59</v>
      </c>
      <c r="C15" s="227" t="s">
        <v>44</v>
      </c>
      <c r="D15" s="188">
        <v>239</v>
      </c>
      <c r="E15" s="188">
        <f>VLOOKUP(D15,รายแปลง!E:G,3,FALSE)</f>
        <v>911119</v>
      </c>
      <c r="F15" s="189">
        <v>7.33</v>
      </c>
      <c r="G15" s="248" t="s">
        <v>40</v>
      </c>
      <c r="H15" s="189">
        <v>2.7681999999999998</v>
      </c>
      <c r="I15" s="189">
        <v>1.4997606861921147</v>
      </c>
      <c r="J15" s="248" t="s">
        <v>41</v>
      </c>
      <c r="K15" s="190">
        <v>19.178002425150087</v>
      </c>
      <c r="L15" s="248" t="s">
        <v>41</v>
      </c>
      <c r="M15" s="190">
        <v>242.80027294657128</v>
      </c>
      <c r="N15" s="257" t="s">
        <v>30</v>
      </c>
      <c r="O15" s="190">
        <v>2246.6432329048062</v>
      </c>
      <c r="P15" s="190">
        <v>399.69615576787817</v>
      </c>
      <c r="Q15" s="190">
        <v>42.25439726087437</v>
      </c>
      <c r="R15" s="191" t="s">
        <v>31</v>
      </c>
      <c r="S15" s="192" t="s">
        <v>42</v>
      </c>
      <c r="T15" s="192" t="s">
        <v>33</v>
      </c>
      <c r="U15" s="193">
        <v>16</v>
      </c>
      <c r="V15" s="193">
        <v>16</v>
      </c>
      <c r="W15" s="193">
        <v>8</v>
      </c>
      <c r="X15" s="194" t="s">
        <v>39</v>
      </c>
      <c r="Y15" s="194">
        <v>50</v>
      </c>
      <c r="Z15" s="195">
        <v>21</v>
      </c>
      <c r="AA15" s="195">
        <v>7</v>
      </c>
      <c r="AB15" s="195">
        <v>18</v>
      </c>
      <c r="AC15" s="194" t="s">
        <v>35</v>
      </c>
      <c r="AD15" s="194">
        <v>50</v>
      </c>
      <c r="AE15" s="196">
        <v>18.5</v>
      </c>
      <c r="AF15" s="196">
        <v>11.5</v>
      </c>
      <c r="AG15" s="196">
        <v>13</v>
      </c>
    </row>
    <row r="16" spans="1:48" ht="23.5" customHeight="1">
      <c r="A16" s="186">
        <v>22</v>
      </c>
      <c r="B16" s="187">
        <v>59</v>
      </c>
      <c r="C16" s="227" t="s">
        <v>46</v>
      </c>
      <c r="D16" s="188">
        <v>805759</v>
      </c>
      <c r="E16" s="188">
        <f>VLOOKUP(D16,รายแปลง!E:G,3,FALSE)</f>
        <v>926126</v>
      </c>
      <c r="F16" s="189">
        <v>7.165</v>
      </c>
      <c r="G16" s="248" t="s">
        <v>28</v>
      </c>
      <c r="H16" s="189">
        <v>4.1970399999999994</v>
      </c>
      <c r="I16" s="189">
        <v>0.9672892633748198</v>
      </c>
      <c r="J16" s="248" t="s">
        <v>37</v>
      </c>
      <c r="K16" s="190">
        <v>17.83957206849092</v>
      </c>
      <c r="L16" s="248" t="s">
        <v>41</v>
      </c>
      <c r="M16" s="190">
        <v>309.18631860216806</v>
      </c>
      <c r="N16" s="257" t="s">
        <v>30</v>
      </c>
      <c r="O16" s="190">
        <v>2342.5143835493709</v>
      </c>
      <c r="P16" s="190">
        <v>906.17108671538972</v>
      </c>
      <c r="Q16" s="190">
        <v>52.839666544248466</v>
      </c>
      <c r="R16" s="191" t="s">
        <v>38</v>
      </c>
      <c r="S16" s="192" t="s">
        <v>42</v>
      </c>
      <c r="T16" s="192" t="s">
        <v>33</v>
      </c>
      <c r="U16" s="193">
        <v>16</v>
      </c>
      <c r="V16" s="193">
        <v>16</v>
      </c>
      <c r="W16" s="193">
        <v>8</v>
      </c>
      <c r="X16" s="194" t="s">
        <v>39</v>
      </c>
      <c r="Y16" s="194">
        <v>50</v>
      </c>
      <c r="Z16" s="195">
        <v>21</v>
      </c>
      <c r="AA16" s="195">
        <v>7</v>
      </c>
      <c r="AB16" s="195">
        <v>18</v>
      </c>
      <c r="AC16" s="194" t="s">
        <v>35</v>
      </c>
      <c r="AD16" s="194">
        <v>50</v>
      </c>
      <c r="AE16" s="196">
        <v>18.5</v>
      </c>
      <c r="AF16" s="196">
        <v>11.5</v>
      </c>
      <c r="AG16" s="196">
        <v>13</v>
      </c>
    </row>
    <row r="17" spans="1:33" ht="23.5" customHeight="1">
      <c r="A17" s="186">
        <v>23</v>
      </c>
      <c r="B17" s="187">
        <v>59</v>
      </c>
      <c r="C17" s="227" t="s">
        <v>46</v>
      </c>
      <c r="D17" s="188">
        <v>805738</v>
      </c>
      <c r="E17" s="188">
        <f>VLOOKUP(D17,รายแปลง!E:G,3,FALSE)</f>
        <v>926120</v>
      </c>
      <c r="F17" s="189">
        <v>7.5250000000000004</v>
      </c>
      <c r="G17" s="248" t="s">
        <v>40</v>
      </c>
      <c r="H17" s="189">
        <v>5.7728799999999998</v>
      </c>
      <c r="I17" s="189">
        <v>1.2660532131619573</v>
      </c>
      <c r="J17" s="248" t="s">
        <v>41</v>
      </c>
      <c r="K17" s="190">
        <v>183.63793750137233</v>
      </c>
      <c r="L17" s="248" t="s">
        <v>29</v>
      </c>
      <c r="M17" s="190">
        <v>374.33892801342199</v>
      </c>
      <c r="N17" s="257" t="s">
        <v>30</v>
      </c>
      <c r="O17" s="190">
        <v>2863.7149748018333</v>
      </c>
      <c r="P17" s="190">
        <v>964.09058458889217</v>
      </c>
      <c r="Q17" s="190">
        <v>37.745357261054224</v>
      </c>
      <c r="R17" s="191" t="s">
        <v>31</v>
      </c>
      <c r="S17" s="192" t="s">
        <v>32</v>
      </c>
      <c r="T17" s="192" t="s">
        <v>33</v>
      </c>
      <c r="U17" s="193">
        <v>16</v>
      </c>
      <c r="V17" s="193">
        <v>8</v>
      </c>
      <c r="W17" s="193">
        <v>8</v>
      </c>
      <c r="X17" s="194" t="s">
        <v>34</v>
      </c>
      <c r="Y17" s="194">
        <v>50</v>
      </c>
      <c r="Z17" s="195">
        <v>21</v>
      </c>
      <c r="AA17" s="195">
        <v>7</v>
      </c>
      <c r="AB17" s="195">
        <v>18</v>
      </c>
      <c r="AC17" s="194" t="s">
        <v>35</v>
      </c>
      <c r="AD17" s="194">
        <v>50</v>
      </c>
      <c r="AE17" s="196">
        <v>18.5</v>
      </c>
      <c r="AF17" s="196">
        <v>7.5</v>
      </c>
      <c r="AG17" s="196">
        <v>13</v>
      </c>
    </row>
    <row r="18" spans="1:33" ht="23.5" customHeight="1">
      <c r="A18" s="186">
        <v>24</v>
      </c>
      <c r="B18" s="187">
        <v>59</v>
      </c>
      <c r="C18" s="227" t="s">
        <v>46</v>
      </c>
      <c r="D18" s="188">
        <v>805730</v>
      </c>
      <c r="E18" s="188">
        <f>VLOOKUP(D18,รายแปลง!E:G,3,FALSE)</f>
        <v>926114</v>
      </c>
      <c r="F18" s="189">
        <v>6.915</v>
      </c>
      <c r="G18" s="248" t="s">
        <v>28</v>
      </c>
      <c r="H18" s="189">
        <v>14.81044</v>
      </c>
      <c r="I18" s="189">
        <v>1.1672401185320282</v>
      </c>
      <c r="J18" s="248" t="s">
        <v>41</v>
      </c>
      <c r="K18" s="190">
        <v>20.361918225234614</v>
      </c>
      <c r="L18" s="248" t="s">
        <v>28</v>
      </c>
      <c r="M18" s="190">
        <v>479.55442566551346</v>
      </c>
      <c r="N18" s="257" t="s">
        <v>30</v>
      </c>
      <c r="O18" s="190">
        <v>2150.2499136745282</v>
      </c>
      <c r="P18" s="190">
        <v>803.90688127856424</v>
      </c>
      <c r="Q18" s="190">
        <v>127.43002523938388</v>
      </c>
      <c r="R18" s="191" t="s">
        <v>31</v>
      </c>
      <c r="S18" s="192" t="s">
        <v>42</v>
      </c>
      <c r="T18" s="192" t="s">
        <v>33</v>
      </c>
      <c r="U18" s="193">
        <v>16</v>
      </c>
      <c r="V18" s="193">
        <v>16</v>
      </c>
      <c r="W18" s="193">
        <v>8</v>
      </c>
      <c r="X18" s="194" t="s">
        <v>39</v>
      </c>
      <c r="Y18" s="194">
        <v>50</v>
      </c>
      <c r="Z18" s="195">
        <v>21</v>
      </c>
      <c r="AA18" s="195">
        <v>7</v>
      </c>
      <c r="AB18" s="195">
        <v>18</v>
      </c>
      <c r="AC18" s="194" t="s">
        <v>35</v>
      </c>
      <c r="AD18" s="194">
        <v>50</v>
      </c>
      <c r="AE18" s="196">
        <v>18.5</v>
      </c>
      <c r="AF18" s="196">
        <v>11.5</v>
      </c>
      <c r="AG18" s="196">
        <v>13</v>
      </c>
    </row>
    <row r="19" spans="1:33" ht="23.5" customHeight="1">
      <c r="A19" s="186">
        <v>25</v>
      </c>
      <c r="B19" s="187">
        <v>59</v>
      </c>
      <c r="C19" s="227" t="s">
        <v>46</v>
      </c>
      <c r="D19" s="188">
        <v>805724</v>
      </c>
      <c r="E19" s="188">
        <f>VLOOKUP(D19,รายแปลง!E:G,3,FALSE)</f>
        <v>926118</v>
      </c>
      <c r="F19" s="189">
        <v>7.68</v>
      </c>
      <c r="G19" s="248" t="s">
        <v>40</v>
      </c>
      <c r="H19" s="189">
        <v>6.4961200000000003</v>
      </c>
      <c r="I19" s="189">
        <v>0.79974329227655394</v>
      </c>
      <c r="J19" s="248" t="s">
        <v>37</v>
      </c>
      <c r="K19" s="190">
        <v>23.378758161447948</v>
      </c>
      <c r="L19" s="248" t="s">
        <v>28</v>
      </c>
      <c r="M19" s="190">
        <v>298.4118290775358</v>
      </c>
      <c r="N19" s="257" t="s">
        <v>30</v>
      </c>
      <c r="O19" s="190">
        <v>2784.4288004311788</v>
      </c>
      <c r="P19" s="190">
        <v>364.67537464745283</v>
      </c>
      <c r="Q19" s="190">
        <v>42.339077701081038</v>
      </c>
      <c r="R19" s="191" t="s">
        <v>38</v>
      </c>
      <c r="S19" s="192" t="s">
        <v>42</v>
      </c>
      <c r="T19" s="192" t="s">
        <v>33</v>
      </c>
      <c r="U19" s="193">
        <v>16</v>
      </c>
      <c r="V19" s="193">
        <v>16</v>
      </c>
      <c r="W19" s="193">
        <v>8</v>
      </c>
      <c r="X19" s="194" t="s">
        <v>39</v>
      </c>
      <c r="Y19" s="194">
        <v>50</v>
      </c>
      <c r="Z19" s="195">
        <v>21</v>
      </c>
      <c r="AA19" s="195">
        <v>7</v>
      </c>
      <c r="AB19" s="195">
        <v>18</v>
      </c>
      <c r="AC19" s="194" t="s">
        <v>35</v>
      </c>
      <c r="AD19" s="194">
        <v>50</v>
      </c>
      <c r="AE19" s="196">
        <v>18.5</v>
      </c>
      <c r="AF19" s="196">
        <v>11.5</v>
      </c>
      <c r="AG19" s="196">
        <v>13</v>
      </c>
    </row>
    <row r="20" spans="1:33" ht="23.5" customHeight="1">
      <c r="A20" s="186">
        <v>26</v>
      </c>
      <c r="B20" s="187">
        <v>59</v>
      </c>
      <c r="C20" s="227" t="s">
        <v>46</v>
      </c>
      <c r="D20" s="188">
        <v>805733</v>
      </c>
      <c r="E20" s="188">
        <f>VLOOKUP(D20,รายแปลง!E:G,3,FALSE)</f>
        <v>926112</v>
      </c>
      <c r="F20" s="189">
        <v>8.09</v>
      </c>
      <c r="G20" s="248" t="s">
        <v>40</v>
      </c>
      <c r="H20" s="189">
        <v>6.3079599999999996</v>
      </c>
      <c r="I20" s="189">
        <v>0.80050678730652791</v>
      </c>
      <c r="J20" s="248" t="s">
        <v>37</v>
      </c>
      <c r="K20" s="190">
        <v>72.580155190329222</v>
      </c>
      <c r="L20" s="248" t="s">
        <v>29</v>
      </c>
      <c r="M20" s="190">
        <v>125.74736893738677</v>
      </c>
      <c r="N20" s="257" t="s">
        <v>30</v>
      </c>
      <c r="O20" s="190">
        <v>4396.3476545672402</v>
      </c>
      <c r="P20" s="190">
        <v>844.26664363778968</v>
      </c>
      <c r="Q20" s="190">
        <v>312.29387763089386</v>
      </c>
      <c r="R20" s="191" t="s">
        <v>38</v>
      </c>
      <c r="S20" s="192" t="s">
        <v>32</v>
      </c>
      <c r="T20" s="192" t="s">
        <v>33</v>
      </c>
      <c r="U20" s="193">
        <v>16</v>
      </c>
      <c r="V20" s="193">
        <v>16</v>
      </c>
      <c r="W20" s="193">
        <v>8</v>
      </c>
      <c r="X20" s="194" t="s">
        <v>39</v>
      </c>
      <c r="Y20" s="194">
        <v>50</v>
      </c>
      <c r="Z20" s="195">
        <v>21</v>
      </c>
      <c r="AA20" s="195">
        <v>7</v>
      </c>
      <c r="AB20" s="195">
        <v>18</v>
      </c>
      <c r="AC20" s="194" t="s">
        <v>35</v>
      </c>
      <c r="AD20" s="194">
        <v>50</v>
      </c>
      <c r="AE20" s="196">
        <v>18.5</v>
      </c>
      <c r="AF20" s="196">
        <v>11.5</v>
      </c>
      <c r="AG20" s="196">
        <v>13</v>
      </c>
    </row>
    <row r="21" spans="1:33" ht="23.5" customHeight="1">
      <c r="A21" s="186">
        <v>27</v>
      </c>
      <c r="B21" s="187">
        <v>59</v>
      </c>
      <c r="C21" s="227" t="s">
        <v>46</v>
      </c>
      <c r="D21" s="188">
        <v>805732</v>
      </c>
      <c r="E21" s="188">
        <f>VLOOKUP(D21,รายแปลง!E:G,3,FALSE)</f>
        <v>926111</v>
      </c>
      <c r="F21" s="189">
        <v>8.02</v>
      </c>
      <c r="G21" s="248" t="s">
        <v>40</v>
      </c>
      <c r="H21" s="189">
        <v>5.6905599999999996</v>
      </c>
      <c r="I21" s="189">
        <v>0.39900751476513974</v>
      </c>
      <c r="J21" s="248" t="s">
        <v>37</v>
      </c>
      <c r="K21" s="190">
        <v>13.380414294027439</v>
      </c>
      <c r="L21" s="248" t="s">
        <v>41</v>
      </c>
      <c r="M21" s="190">
        <v>170.51963472802967</v>
      </c>
      <c r="N21" s="257" t="s">
        <v>30</v>
      </c>
      <c r="O21" s="190">
        <v>2256.005929613686</v>
      </c>
      <c r="P21" s="190">
        <v>844.10142340625771</v>
      </c>
      <c r="Q21" s="190">
        <v>715.13759759475067</v>
      </c>
      <c r="R21" s="191" t="s">
        <v>38</v>
      </c>
      <c r="S21" s="192" t="s">
        <v>43</v>
      </c>
      <c r="T21" s="192" t="s">
        <v>33</v>
      </c>
      <c r="U21" s="193">
        <v>16</v>
      </c>
      <c r="V21" s="193">
        <v>16</v>
      </c>
      <c r="W21" s="193">
        <v>8</v>
      </c>
      <c r="X21" s="194" t="s">
        <v>39</v>
      </c>
      <c r="Y21" s="194">
        <v>50</v>
      </c>
      <c r="Z21" s="195">
        <v>21</v>
      </c>
      <c r="AA21" s="195">
        <v>7</v>
      </c>
      <c r="AB21" s="195">
        <v>18</v>
      </c>
      <c r="AC21" s="194" t="s">
        <v>35</v>
      </c>
      <c r="AD21" s="194">
        <v>50</v>
      </c>
      <c r="AE21" s="196">
        <v>18.5</v>
      </c>
      <c r="AF21" s="196">
        <v>11.5</v>
      </c>
      <c r="AG21" s="196">
        <v>13</v>
      </c>
    </row>
    <row r="22" spans="1:33" ht="23.5" customHeight="1">
      <c r="A22" s="186">
        <v>30</v>
      </c>
      <c r="B22" s="187">
        <v>59</v>
      </c>
      <c r="C22" s="227" t="s">
        <v>46</v>
      </c>
      <c r="D22" s="188">
        <v>805731</v>
      </c>
      <c r="E22" s="188">
        <f>VLOOKUP(D22,รายแปลง!E:G,3,FALSE)</f>
        <v>926110</v>
      </c>
      <c r="F22" s="189">
        <v>8.375</v>
      </c>
      <c r="G22" s="248" t="s">
        <v>40</v>
      </c>
      <c r="H22" s="189">
        <v>4.7791599999999992</v>
      </c>
      <c r="I22" s="189">
        <v>0.33420035628245359</v>
      </c>
      <c r="J22" s="248" t="s">
        <v>37</v>
      </c>
      <c r="K22" s="190">
        <v>103.32090121356114</v>
      </c>
      <c r="L22" s="248" t="s">
        <v>29</v>
      </c>
      <c r="M22" s="190">
        <v>394.82444404367544</v>
      </c>
      <c r="N22" s="257" t="s">
        <v>30</v>
      </c>
      <c r="O22" s="190">
        <v>4158.4656853413453</v>
      </c>
      <c r="P22" s="190">
        <v>653.8446987117818</v>
      </c>
      <c r="Q22" s="190">
        <v>599.01609825300909</v>
      </c>
      <c r="R22" s="191" t="s">
        <v>38</v>
      </c>
      <c r="S22" s="192" t="s">
        <v>32</v>
      </c>
      <c r="T22" s="192" t="s">
        <v>33</v>
      </c>
      <c r="U22" s="193">
        <v>16</v>
      </c>
      <c r="V22" s="193">
        <v>16</v>
      </c>
      <c r="W22" s="193">
        <v>8</v>
      </c>
      <c r="X22" s="194" t="s">
        <v>39</v>
      </c>
      <c r="Y22" s="194">
        <v>50</v>
      </c>
      <c r="Z22" s="195">
        <v>21</v>
      </c>
      <c r="AA22" s="195">
        <v>7</v>
      </c>
      <c r="AB22" s="195">
        <v>18</v>
      </c>
      <c r="AC22" s="194" t="s">
        <v>35</v>
      </c>
      <c r="AD22" s="194">
        <v>50</v>
      </c>
      <c r="AE22" s="196">
        <v>18.5</v>
      </c>
      <c r="AF22" s="196">
        <v>11.5</v>
      </c>
      <c r="AG22" s="196">
        <v>13</v>
      </c>
    </row>
    <row r="23" spans="1:33" ht="23.5" customHeight="1">
      <c r="A23" s="186">
        <v>34</v>
      </c>
      <c r="B23" s="187">
        <v>59</v>
      </c>
      <c r="C23" s="227" t="s">
        <v>46</v>
      </c>
      <c r="D23" s="188">
        <v>805729</v>
      </c>
      <c r="E23" s="188">
        <f>VLOOKUP(D23,รายแปลง!E:G,3,FALSE)</f>
        <v>926113</v>
      </c>
      <c r="F23" s="189">
        <v>8.3449999999999989</v>
      </c>
      <c r="G23" s="248" t="s">
        <v>40</v>
      </c>
      <c r="H23" s="189">
        <v>5.3024800000000001</v>
      </c>
      <c r="I23" s="189">
        <v>0.86894157396035099</v>
      </c>
      <c r="J23" s="248" t="s">
        <v>37</v>
      </c>
      <c r="K23" s="190">
        <v>46.093083514665437</v>
      </c>
      <c r="L23" s="248" t="s">
        <v>29</v>
      </c>
      <c r="M23" s="190">
        <v>212.71997448282949</v>
      </c>
      <c r="N23" s="257" t="s">
        <v>30</v>
      </c>
      <c r="O23" s="190">
        <v>3822.6871967639472</v>
      </c>
      <c r="P23" s="190">
        <v>782.02571503060062</v>
      </c>
      <c r="Q23" s="190">
        <v>281.95333977287606</v>
      </c>
      <c r="R23" s="191" t="s">
        <v>38</v>
      </c>
      <c r="S23" s="192" t="s">
        <v>32</v>
      </c>
      <c r="T23" s="192" t="s">
        <v>33</v>
      </c>
      <c r="U23" s="193">
        <v>16</v>
      </c>
      <c r="V23" s="193">
        <v>16</v>
      </c>
      <c r="W23" s="193">
        <v>8</v>
      </c>
      <c r="X23" s="194" t="s">
        <v>39</v>
      </c>
      <c r="Y23" s="194">
        <v>50</v>
      </c>
      <c r="Z23" s="195">
        <v>21</v>
      </c>
      <c r="AA23" s="195">
        <v>7</v>
      </c>
      <c r="AB23" s="195">
        <v>18</v>
      </c>
      <c r="AC23" s="194" t="s">
        <v>35</v>
      </c>
      <c r="AD23" s="194">
        <v>50</v>
      </c>
      <c r="AE23" s="196">
        <v>18.5</v>
      </c>
      <c r="AF23" s="196">
        <v>11.5</v>
      </c>
      <c r="AG23" s="196">
        <v>13</v>
      </c>
    </row>
    <row r="24" spans="1:33" ht="23.5" customHeight="1">
      <c r="A24" s="186">
        <v>36</v>
      </c>
      <c r="B24" s="187">
        <v>59</v>
      </c>
      <c r="C24" s="227" t="s">
        <v>46</v>
      </c>
      <c r="D24" s="188">
        <v>805716</v>
      </c>
      <c r="E24" s="188">
        <f>VLOOKUP(D24,รายแปลง!E:G,3,FALSE)</f>
        <v>926109</v>
      </c>
      <c r="F24" s="189">
        <v>7.8</v>
      </c>
      <c r="G24" s="248" t="s">
        <v>40</v>
      </c>
      <c r="H24" s="189">
        <v>10.000599999999999</v>
      </c>
      <c r="I24" s="189">
        <v>1.0401275371335243</v>
      </c>
      <c r="J24" s="248" t="s">
        <v>41</v>
      </c>
      <c r="K24" s="190">
        <v>81.217244722619654</v>
      </c>
      <c r="L24" s="248" t="s">
        <v>29</v>
      </c>
      <c r="M24" s="190">
        <v>184.24302428010765</v>
      </c>
      <c r="N24" s="257" t="s">
        <v>30</v>
      </c>
      <c r="O24" s="190">
        <v>5115.9283816396774</v>
      </c>
      <c r="P24" s="190">
        <v>646.45704243003661</v>
      </c>
      <c r="Q24" s="190">
        <v>529.66438653518821</v>
      </c>
      <c r="R24" s="191" t="s">
        <v>31</v>
      </c>
      <c r="S24" s="192" t="s">
        <v>32</v>
      </c>
      <c r="T24" s="192" t="s">
        <v>33</v>
      </c>
      <c r="U24" s="193">
        <v>16</v>
      </c>
      <c r="V24" s="193">
        <v>8</v>
      </c>
      <c r="W24" s="193">
        <v>8</v>
      </c>
      <c r="X24" s="194" t="s">
        <v>34</v>
      </c>
      <c r="Y24" s="194">
        <v>50</v>
      </c>
      <c r="Z24" s="195">
        <v>21</v>
      </c>
      <c r="AA24" s="195">
        <v>7</v>
      </c>
      <c r="AB24" s="195">
        <v>18</v>
      </c>
      <c r="AC24" s="194" t="s">
        <v>35</v>
      </c>
      <c r="AD24" s="194">
        <v>50</v>
      </c>
      <c r="AE24" s="196">
        <v>18.5</v>
      </c>
      <c r="AF24" s="196">
        <v>7.5</v>
      </c>
      <c r="AG24" s="196">
        <v>13</v>
      </c>
    </row>
    <row r="25" spans="1:33" ht="23.5" customHeight="1">
      <c r="A25" s="186">
        <v>39</v>
      </c>
      <c r="B25" s="187">
        <v>59</v>
      </c>
      <c r="C25" s="227" t="s">
        <v>48</v>
      </c>
      <c r="D25" s="188">
        <v>721</v>
      </c>
      <c r="E25" s="188">
        <f>VLOOKUP(D25,รายแปลง!E:G,3,FALSE)</f>
        <v>902119</v>
      </c>
      <c r="F25" s="189">
        <v>7.3049999999999997</v>
      </c>
      <c r="G25" s="248" t="s">
        <v>40</v>
      </c>
      <c r="H25" s="189">
        <v>10.518040000000001</v>
      </c>
      <c r="I25" s="189">
        <v>1.1649266750876215</v>
      </c>
      <c r="J25" s="248" t="s">
        <v>41</v>
      </c>
      <c r="K25" s="190">
        <v>153.92824167480876</v>
      </c>
      <c r="L25" s="248" t="s">
        <v>29</v>
      </c>
      <c r="M25" s="190">
        <v>454.54090112504014</v>
      </c>
      <c r="N25" s="257" t="s">
        <v>30</v>
      </c>
      <c r="O25" s="190">
        <v>3111.1344504018884</v>
      </c>
      <c r="P25" s="190">
        <v>167.46328770583875</v>
      </c>
      <c r="Q25" s="190">
        <v>77.372484297733322</v>
      </c>
      <c r="R25" s="191" t="s">
        <v>31</v>
      </c>
      <c r="S25" s="192" t="s">
        <v>32</v>
      </c>
      <c r="T25" s="192" t="s">
        <v>33</v>
      </c>
      <c r="U25" s="193">
        <v>16</v>
      </c>
      <c r="V25" s="193">
        <v>8</v>
      </c>
      <c r="W25" s="193">
        <v>8</v>
      </c>
      <c r="X25" s="194" t="s">
        <v>34</v>
      </c>
      <c r="Y25" s="194">
        <v>50</v>
      </c>
      <c r="Z25" s="195">
        <v>21</v>
      </c>
      <c r="AA25" s="195">
        <v>7</v>
      </c>
      <c r="AB25" s="195">
        <v>18</v>
      </c>
      <c r="AC25" s="194" t="s">
        <v>35</v>
      </c>
      <c r="AD25" s="194">
        <v>50</v>
      </c>
      <c r="AE25" s="196">
        <v>18.5</v>
      </c>
      <c r="AF25" s="196">
        <v>7.5</v>
      </c>
      <c r="AG25" s="196">
        <v>13</v>
      </c>
    </row>
    <row r="26" spans="1:33" ht="23.5" customHeight="1">
      <c r="A26" s="186">
        <v>42</v>
      </c>
      <c r="B26" s="187">
        <v>59</v>
      </c>
      <c r="C26" s="227" t="s">
        <v>48</v>
      </c>
      <c r="D26" s="188">
        <v>640</v>
      </c>
      <c r="E26" s="188">
        <f>VLOOKUP(D26,รายแปลง!E:G,3,FALSE)</f>
        <v>902137</v>
      </c>
      <c r="F26" s="189">
        <v>8.0650000000000013</v>
      </c>
      <c r="G26" s="248" t="s">
        <v>40</v>
      </c>
      <c r="H26" s="189">
        <v>6.8312799999999996</v>
      </c>
      <c r="I26" s="189">
        <v>1.1995818790717072</v>
      </c>
      <c r="J26" s="248" t="s">
        <v>41</v>
      </c>
      <c r="K26" s="190">
        <v>73.27090019854873</v>
      </c>
      <c r="L26" s="248" t="s">
        <v>29</v>
      </c>
      <c r="M26" s="190">
        <v>282.82999627374181</v>
      </c>
      <c r="N26" s="257" t="s">
        <v>30</v>
      </c>
      <c r="O26" s="190">
        <v>3865.1735016449193</v>
      </c>
      <c r="P26" s="190">
        <v>132.30304551775961</v>
      </c>
      <c r="Q26" s="190">
        <v>449.0629807399074</v>
      </c>
      <c r="R26" s="191" t="s">
        <v>31</v>
      </c>
      <c r="S26" s="192" t="s">
        <v>32</v>
      </c>
      <c r="T26" s="192" t="s">
        <v>33</v>
      </c>
      <c r="U26" s="193">
        <v>16</v>
      </c>
      <c r="V26" s="193">
        <v>8</v>
      </c>
      <c r="W26" s="193">
        <v>8</v>
      </c>
      <c r="X26" s="194" t="s">
        <v>34</v>
      </c>
      <c r="Y26" s="194">
        <v>50</v>
      </c>
      <c r="Z26" s="195">
        <v>21</v>
      </c>
      <c r="AA26" s="195">
        <v>7</v>
      </c>
      <c r="AB26" s="195">
        <v>18</v>
      </c>
      <c r="AC26" s="194" t="s">
        <v>35</v>
      </c>
      <c r="AD26" s="194">
        <v>50</v>
      </c>
      <c r="AE26" s="196">
        <v>18.5</v>
      </c>
      <c r="AF26" s="196">
        <v>7.5</v>
      </c>
      <c r="AG26" s="196">
        <v>13</v>
      </c>
    </row>
    <row r="27" spans="1:33" ht="23.5" customHeight="1">
      <c r="A27" s="186">
        <v>43</v>
      </c>
      <c r="B27" s="187">
        <v>59</v>
      </c>
      <c r="C27" s="227" t="s">
        <v>48</v>
      </c>
      <c r="D27" s="188">
        <v>726</v>
      </c>
      <c r="E27" s="188">
        <f>VLOOKUP(D27,รายแปลง!E:G,3,FALSE)</f>
        <v>902121</v>
      </c>
      <c r="F27" s="189">
        <v>7.4749999999999996</v>
      </c>
      <c r="G27" s="248" t="s">
        <v>40</v>
      </c>
      <c r="H27" s="189">
        <v>4.4733999999999998</v>
      </c>
      <c r="I27" s="189">
        <v>0.46511467565647457</v>
      </c>
      <c r="J27" s="248" t="s">
        <v>37</v>
      </c>
      <c r="K27" s="190">
        <v>123.09104248817485</v>
      </c>
      <c r="L27" s="248" t="s">
        <v>29</v>
      </c>
      <c r="M27" s="190">
        <v>143.04034111945248</v>
      </c>
      <c r="N27" s="257" t="s">
        <v>30</v>
      </c>
      <c r="O27" s="190">
        <v>2724.9124107371422</v>
      </c>
      <c r="P27" s="190">
        <v>194.06529212761734</v>
      </c>
      <c r="Q27" s="190">
        <v>114.82141768860419</v>
      </c>
      <c r="R27" s="191" t="s">
        <v>38</v>
      </c>
      <c r="S27" s="192" t="s">
        <v>32</v>
      </c>
      <c r="T27" s="192" t="s">
        <v>33</v>
      </c>
      <c r="U27" s="193">
        <v>16</v>
      </c>
      <c r="V27" s="193">
        <v>16</v>
      </c>
      <c r="W27" s="193">
        <v>8</v>
      </c>
      <c r="X27" s="194" t="s">
        <v>39</v>
      </c>
      <c r="Y27" s="194">
        <v>50</v>
      </c>
      <c r="Z27" s="195">
        <v>21</v>
      </c>
      <c r="AA27" s="195">
        <v>7</v>
      </c>
      <c r="AB27" s="195">
        <v>18</v>
      </c>
      <c r="AC27" s="194" t="s">
        <v>35</v>
      </c>
      <c r="AD27" s="194">
        <v>50</v>
      </c>
      <c r="AE27" s="196">
        <v>18.5</v>
      </c>
      <c r="AF27" s="196">
        <v>11.5</v>
      </c>
      <c r="AG27" s="196">
        <v>13</v>
      </c>
    </row>
    <row r="28" spans="1:33" ht="23.5" customHeight="1">
      <c r="A28" s="186">
        <v>44</v>
      </c>
      <c r="B28" s="187">
        <v>59</v>
      </c>
      <c r="C28" s="227" t="s">
        <v>48</v>
      </c>
      <c r="D28" s="188">
        <v>635</v>
      </c>
      <c r="E28" s="188">
        <f>VLOOKUP(D28,รายแปลง!E:G,3,FALSE)</f>
        <v>902103</v>
      </c>
      <c r="F28" s="189">
        <v>7.6850000000000005</v>
      </c>
      <c r="G28" s="248" t="s">
        <v>40</v>
      </c>
      <c r="H28" s="189">
        <v>1.7868279999999999</v>
      </c>
      <c r="I28" s="189">
        <v>0.86872828458622431</v>
      </c>
      <c r="J28" s="248" t="s">
        <v>37</v>
      </c>
      <c r="K28" s="190">
        <v>83.268471166672001</v>
      </c>
      <c r="L28" s="248" t="s">
        <v>29</v>
      </c>
      <c r="M28" s="190">
        <v>101.69069872093002</v>
      </c>
      <c r="N28" s="257" t="s">
        <v>29</v>
      </c>
      <c r="O28" s="190">
        <v>4589.5839495907921</v>
      </c>
      <c r="P28" s="190">
        <v>92.663393612091539</v>
      </c>
      <c r="Q28" s="190">
        <v>119.94093737843428</v>
      </c>
      <c r="R28" s="191" t="s">
        <v>38</v>
      </c>
      <c r="S28" s="192" t="s">
        <v>32</v>
      </c>
      <c r="T28" s="192" t="s">
        <v>33</v>
      </c>
      <c r="U28" s="193">
        <v>16</v>
      </c>
      <c r="V28" s="193">
        <v>16</v>
      </c>
      <c r="W28" s="193">
        <v>8</v>
      </c>
      <c r="X28" s="194" t="s">
        <v>39</v>
      </c>
      <c r="Y28" s="194">
        <v>50</v>
      </c>
      <c r="Z28" s="195">
        <v>21</v>
      </c>
      <c r="AA28" s="195">
        <v>7</v>
      </c>
      <c r="AB28" s="195">
        <v>18</v>
      </c>
      <c r="AC28" s="194" t="s">
        <v>35</v>
      </c>
      <c r="AD28" s="194">
        <v>50</v>
      </c>
      <c r="AE28" s="196">
        <v>18.5</v>
      </c>
      <c r="AF28" s="196">
        <v>11.5</v>
      </c>
      <c r="AG28" s="196">
        <v>13</v>
      </c>
    </row>
    <row r="29" spans="1:33" ht="23.5" customHeight="1">
      <c r="A29" s="186">
        <v>45</v>
      </c>
      <c r="B29" s="187">
        <v>59</v>
      </c>
      <c r="C29" s="227" t="s">
        <v>48</v>
      </c>
      <c r="D29" s="188">
        <v>740</v>
      </c>
      <c r="E29" s="188">
        <f>VLOOKUP(D29,รายแปลง!E:G,3,FALSE)</f>
        <v>902122</v>
      </c>
      <c r="F29" s="189">
        <v>7.65</v>
      </c>
      <c r="G29" s="248" t="s">
        <v>40</v>
      </c>
      <c r="H29" s="189">
        <v>2.8563999999999998</v>
      </c>
      <c r="I29" s="189">
        <v>1.458880033304133</v>
      </c>
      <c r="J29" s="248" t="s">
        <v>41</v>
      </c>
      <c r="K29" s="190">
        <v>123.56558504458539</v>
      </c>
      <c r="L29" s="248" t="s">
        <v>29</v>
      </c>
      <c r="M29" s="190">
        <v>145.68878666630565</v>
      </c>
      <c r="N29" s="257" t="s">
        <v>30</v>
      </c>
      <c r="O29" s="190">
        <v>2406.3326488769726</v>
      </c>
      <c r="P29" s="190">
        <v>143.59083653927109</v>
      </c>
      <c r="Q29" s="190">
        <v>82.177704074245185</v>
      </c>
      <c r="R29" s="191" t="s">
        <v>31</v>
      </c>
      <c r="S29" s="192" t="s">
        <v>32</v>
      </c>
      <c r="T29" s="192" t="s">
        <v>33</v>
      </c>
      <c r="U29" s="193">
        <v>16</v>
      </c>
      <c r="V29" s="193">
        <v>8</v>
      </c>
      <c r="W29" s="193">
        <v>8</v>
      </c>
      <c r="X29" s="194" t="s">
        <v>34</v>
      </c>
      <c r="Y29" s="194">
        <v>50</v>
      </c>
      <c r="Z29" s="195">
        <v>21</v>
      </c>
      <c r="AA29" s="195">
        <v>7</v>
      </c>
      <c r="AB29" s="195">
        <v>18</v>
      </c>
      <c r="AC29" s="194" t="s">
        <v>35</v>
      </c>
      <c r="AD29" s="194">
        <v>50</v>
      </c>
      <c r="AE29" s="196">
        <v>18.5</v>
      </c>
      <c r="AF29" s="196">
        <v>7.5</v>
      </c>
      <c r="AG29" s="196">
        <v>13</v>
      </c>
    </row>
    <row r="30" spans="1:33" ht="23.5" customHeight="1">
      <c r="A30" s="186">
        <v>47</v>
      </c>
      <c r="B30" s="187">
        <v>59</v>
      </c>
      <c r="C30" s="227" t="s">
        <v>48</v>
      </c>
      <c r="D30" s="188">
        <v>731</v>
      </c>
      <c r="E30" s="188">
        <f>VLOOKUP(D30,รายแปลง!E:G,3,FALSE)</f>
        <v>902131</v>
      </c>
      <c r="F30" s="189">
        <v>9.2949999999999999</v>
      </c>
      <c r="G30" s="248" t="s">
        <v>36</v>
      </c>
      <c r="H30" s="189">
        <v>9.2303200000000025</v>
      </c>
      <c r="I30" s="189">
        <v>0.76390487748240821</v>
      </c>
      <c r="J30" s="248" t="s">
        <v>37</v>
      </c>
      <c r="K30" s="190">
        <v>92.425919367721903</v>
      </c>
      <c r="L30" s="248" t="s">
        <v>29</v>
      </c>
      <c r="M30" s="190">
        <v>132.32296863720501</v>
      </c>
      <c r="N30" s="257" t="s">
        <v>30</v>
      </c>
      <c r="O30" s="190">
        <v>4213.9403771316993</v>
      </c>
      <c r="P30" s="190">
        <v>452.31677705750315</v>
      </c>
      <c r="Q30" s="190">
        <v>1457.8084329977755</v>
      </c>
      <c r="R30" s="191" t="s">
        <v>38</v>
      </c>
      <c r="S30" s="192" t="s">
        <v>32</v>
      </c>
      <c r="T30" s="192" t="s">
        <v>33</v>
      </c>
      <c r="U30" s="193">
        <v>16</v>
      </c>
      <c r="V30" s="193">
        <v>16</v>
      </c>
      <c r="W30" s="193">
        <v>8</v>
      </c>
      <c r="X30" s="194" t="s">
        <v>39</v>
      </c>
      <c r="Y30" s="194">
        <v>50</v>
      </c>
      <c r="Z30" s="195">
        <v>21</v>
      </c>
      <c r="AA30" s="195">
        <v>7</v>
      </c>
      <c r="AB30" s="195">
        <v>18</v>
      </c>
      <c r="AC30" s="194" t="s">
        <v>35</v>
      </c>
      <c r="AD30" s="194">
        <v>50</v>
      </c>
      <c r="AE30" s="196">
        <v>18.5</v>
      </c>
      <c r="AF30" s="196">
        <v>11.5</v>
      </c>
      <c r="AG30" s="196">
        <v>13</v>
      </c>
    </row>
    <row r="31" spans="1:33" ht="23.5" customHeight="1">
      <c r="A31" s="186">
        <v>48</v>
      </c>
      <c r="B31" s="187">
        <v>59</v>
      </c>
      <c r="C31" s="227" t="s">
        <v>49</v>
      </c>
      <c r="D31" s="188">
        <v>801354</v>
      </c>
      <c r="E31" s="188">
        <f>VLOOKUP(D31,รายแปลง!E:G,3,FALSE)</f>
        <v>921106</v>
      </c>
      <c r="F31" s="189">
        <v>8.3099999999999987</v>
      </c>
      <c r="G31" s="248" t="s">
        <v>40</v>
      </c>
      <c r="H31" s="189">
        <v>6.5784399999999996</v>
      </c>
      <c r="I31" s="189">
        <v>1.0747872816838333</v>
      </c>
      <c r="J31" s="248" t="s">
        <v>41</v>
      </c>
      <c r="K31" s="190">
        <v>15.393321200157573</v>
      </c>
      <c r="L31" s="248" t="s">
        <v>41</v>
      </c>
      <c r="M31" s="190">
        <v>170.33591660869723</v>
      </c>
      <c r="N31" s="257" t="s">
        <v>30</v>
      </c>
      <c r="O31" s="190">
        <v>4797.3922515463273</v>
      </c>
      <c r="P31" s="190">
        <v>1006.3079508838691</v>
      </c>
      <c r="Q31" s="190">
        <v>423.15169132231324</v>
      </c>
      <c r="R31" s="191" t="s">
        <v>31</v>
      </c>
      <c r="S31" s="192" t="s">
        <v>42</v>
      </c>
      <c r="T31" s="192" t="s">
        <v>33</v>
      </c>
      <c r="U31" s="193">
        <v>16</v>
      </c>
      <c r="V31" s="193">
        <v>16</v>
      </c>
      <c r="W31" s="193">
        <v>8</v>
      </c>
      <c r="X31" s="194" t="s">
        <v>39</v>
      </c>
      <c r="Y31" s="194">
        <v>50</v>
      </c>
      <c r="Z31" s="195">
        <v>21</v>
      </c>
      <c r="AA31" s="195">
        <v>7</v>
      </c>
      <c r="AB31" s="195">
        <v>18</v>
      </c>
      <c r="AC31" s="194" t="s">
        <v>35</v>
      </c>
      <c r="AD31" s="194">
        <v>50</v>
      </c>
      <c r="AE31" s="196">
        <v>18.5</v>
      </c>
      <c r="AF31" s="196">
        <v>11.5</v>
      </c>
      <c r="AG31" s="196">
        <v>13</v>
      </c>
    </row>
    <row r="32" spans="1:33" ht="23.5" customHeight="1">
      <c r="A32" s="186">
        <v>49</v>
      </c>
      <c r="B32" s="187">
        <v>59</v>
      </c>
      <c r="C32" s="227" t="s">
        <v>49</v>
      </c>
      <c r="D32" s="188">
        <v>801341</v>
      </c>
      <c r="E32" s="188">
        <f>VLOOKUP(D32,รายแปลง!E:G,3,FALSE)</f>
        <v>921124</v>
      </c>
      <c r="F32" s="189">
        <v>7.7850000000000001</v>
      </c>
      <c r="G32" s="248" t="s">
        <v>40</v>
      </c>
      <c r="H32" s="189">
        <v>10.91788</v>
      </c>
      <c r="I32" s="189">
        <v>1.6726711072303835</v>
      </c>
      <c r="J32" s="248" t="s">
        <v>28</v>
      </c>
      <c r="K32" s="190">
        <v>80.301403364435473</v>
      </c>
      <c r="L32" s="248" t="s">
        <v>29</v>
      </c>
      <c r="M32" s="190">
        <v>165.86088739854392</v>
      </c>
      <c r="N32" s="257" t="s">
        <v>30</v>
      </c>
      <c r="O32" s="190">
        <v>3243.5939847463314</v>
      </c>
      <c r="P32" s="190">
        <v>625.98193278423378</v>
      </c>
      <c r="Q32" s="190">
        <v>92.704103836952129</v>
      </c>
      <c r="R32" s="191" t="s">
        <v>31</v>
      </c>
      <c r="S32" s="192" t="s">
        <v>32</v>
      </c>
      <c r="T32" s="192" t="s">
        <v>33</v>
      </c>
      <c r="U32" s="193">
        <v>16</v>
      </c>
      <c r="V32" s="193">
        <v>8</v>
      </c>
      <c r="W32" s="193">
        <v>8</v>
      </c>
      <c r="X32" s="194" t="s">
        <v>34</v>
      </c>
      <c r="Y32" s="194">
        <v>50</v>
      </c>
      <c r="Z32" s="195">
        <v>21</v>
      </c>
      <c r="AA32" s="195">
        <v>7</v>
      </c>
      <c r="AB32" s="195">
        <v>18</v>
      </c>
      <c r="AC32" s="194" t="s">
        <v>35</v>
      </c>
      <c r="AD32" s="194">
        <v>50</v>
      </c>
      <c r="AE32" s="196">
        <v>18.5</v>
      </c>
      <c r="AF32" s="196">
        <v>7.5</v>
      </c>
      <c r="AG32" s="196">
        <v>13</v>
      </c>
    </row>
    <row r="33" spans="1:33" ht="23.5" customHeight="1">
      <c r="A33" s="186">
        <v>50</v>
      </c>
      <c r="B33" s="187">
        <v>59</v>
      </c>
      <c r="C33" s="227" t="s">
        <v>49</v>
      </c>
      <c r="D33" s="188">
        <v>801339</v>
      </c>
      <c r="E33" s="188">
        <f>VLOOKUP(D33,รายแปลง!E:G,3,FALSE)</f>
        <v>921123</v>
      </c>
      <c r="F33" s="189">
        <v>7.92</v>
      </c>
      <c r="G33" s="248" t="s">
        <v>40</v>
      </c>
      <c r="H33" s="189">
        <v>5.0907999999999998</v>
      </c>
      <c r="I33" s="189">
        <v>1.6199217707349844</v>
      </c>
      <c r="J33" s="248" t="s">
        <v>28</v>
      </c>
      <c r="K33" s="190">
        <v>124.86368281189802</v>
      </c>
      <c r="L33" s="248" t="s">
        <v>29</v>
      </c>
      <c r="M33" s="190">
        <v>256.71831644631942</v>
      </c>
      <c r="N33" s="257" t="s">
        <v>30</v>
      </c>
      <c r="O33" s="190">
        <v>2296.6656165684071</v>
      </c>
      <c r="P33" s="190">
        <v>196.95864929677879</v>
      </c>
      <c r="Q33" s="190">
        <v>261.28347322142292</v>
      </c>
      <c r="R33" s="191" t="s">
        <v>31</v>
      </c>
      <c r="S33" s="192" t="s">
        <v>32</v>
      </c>
      <c r="T33" s="192" t="s">
        <v>33</v>
      </c>
      <c r="U33" s="193">
        <v>16</v>
      </c>
      <c r="V33" s="193">
        <v>8</v>
      </c>
      <c r="W33" s="193">
        <v>8</v>
      </c>
      <c r="X33" s="194" t="s">
        <v>34</v>
      </c>
      <c r="Y33" s="194">
        <v>50</v>
      </c>
      <c r="Z33" s="195">
        <v>21</v>
      </c>
      <c r="AA33" s="195">
        <v>7</v>
      </c>
      <c r="AB33" s="195">
        <v>18</v>
      </c>
      <c r="AC33" s="194" t="s">
        <v>35</v>
      </c>
      <c r="AD33" s="194">
        <v>50</v>
      </c>
      <c r="AE33" s="196">
        <v>18.5</v>
      </c>
      <c r="AF33" s="196">
        <v>7.5</v>
      </c>
      <c r="AG33" s="196">
        <v>13</v>
      </c>
    </row>
    <row r="34" spans="1:33" ht="23.5" customHeight="1">
      <c r="A34" s="186">
        <v>56</v>
      </c>
      <c r="B34" s="187">
        <v>59</v>
      </c>
      <c r="C34" s="227" t="s">
        <v>50</v>
      </c>
      <c r="D34" s="188">
        <v>1514</v>
      </c>
      <c r="E34" s="188">
        <f>VLOOKUP(D34,รายแปลง!E:G,3,FALSE)</f>
        <v>908119</v>
      </c>
      <c r="F34" s="189">
        <v>8.3099999999999987</v>
      </c>
      <c r="G34" s="248" t="s">
        <v>40</v>
      </c>
      <c r="H34" s="189">
        <v>3.5796399999999995</v>
      </c>
      <c r="I34" s="189">
        <v>1.17327376566283</v>
      </c>
      <c r="J34" s="248" t="s">
        <v>41</v>
      </c>
      <c r="K34" s="190">
        <v>5.0291160728994821</v>
      </c>
      <c r="L34" s="248" t="s">
        <v>47</v>
      </c>
      <c r="M34" s="190">
        <v>161.62040295621915</v>
      </c>
      <c r="N34" s="257" t="s">
        <v>30</v>
      </c>
      <c r="O34" s="190">
        <v>7260.4824603418419</v>
      </c>
      <c r="P34" s="190">
        <v>355.57718011052464</v>
      </c>
      <c r="Q34" s="190">
        <v>1444.4361470938886</v>
      </c>
      <c r="R34" s="191" t="s">
        <v>31</v>
      </c>
      <c r="S34" s="192" t="s">
        <v>43</v>
      </c>
      <c r="T34" s="192" t="s">
        <v>33</v>
      </c>
      <c r="U34" s="193">
        <v>16</v>
      </c>
      <c r="V34" s="193">
        <v>16</v>
      </c>
      <c r="W34" s="193">
        <v>8</v>
      </c>
      <c r="X34" s="194" t="s">
        <v>39</v>
      </c>
      <c r="Y34" s="194">
        <v>50</v>
      </c>
      <c r="Z34" s="195">
        <v>21</v>
      </c>
      <c r="AA34" s="195">
        <v>7</v>
      </c>
      <c r="AB34" s="195">
        <v>18</v>
      </c>
      <c r="AC34" s="194" t="s">
        <v>35</v>
      </c>
      <c r="AD34" s="194">
        <v>50</v>
      </c>
      <c r="AE34" s="196">
        <v>18.5</v>
      </c>
      <c r="AF34" s="196">
        <v>11.5</v>
      </c>
      <c r="AG34" s="196">
        <v>13</v>
      </c>
    </row>
    <row r="35" spans="1:33" ht="23.5" customHeight="1">
      <c r="A35" s="186">
        <v>67</v>
      </c>
      <c r="B35" s="187">
        <v>59</v>
      </c>
      <c r="C35" s="227" t="s">
        <v>52</v>
      </c>
      <c r="D35" s="188">
        <v>912</v>
      </c>
      <c r="E35" s="188">
        <f>VLOOKUP(D35,รายแปลง!E:G,3,FALSE)</f>
        <v>906102</v>
      </c>
      <c r="F35" s="189">
        <v>7.6950000000000003</v>
      </c>
      <c r="G35" s="248" t="s">
        <v>40</v>
      </c>
      <c r="H35" s="189">
        <v>12.299680000000002</v>
      </c>
      <c r="I35" s="189">
        <v>1.9957389535552581</v>
      </c>
      <c r="J35" s="248" t="s">
        <v>28</v>
      </c>
      <c r="K35" s="190">
        <v>117.03999076096493</v>
      </c>
      <c r="L35" s="248" t="s">
        <v>29</v>
      </c>
      <c r="M35" s="190">
        <v>459.11454832437266</v>
      </c>
      <c r="N35" s="257" t="s">
        <v>30</v>
      </c>
      <c r="O35" s="190">
        <v>6742.4754569184797</v>
      </c>
      <c r="P35" s="190">
        <v>527.7438408579244</v>
      </c>
      <c r="Q35" s="190">
        <v>1961.9023733311697</v>
      </c>
      <c r="R35" s="191" t="s">
        <v>31</v>
      </c>
      <c r="S35" s="192" t="s">
        <v>32</v>
      </c>
      <c r="T35" s="192" t="s">
        <v>33</v>
      </c>
      <c r="U35" s="193">
        <v>16</v>
      </c>
      <c r="V35" s="193">
        <v>8</v>
      </c>
      <c r="W35" s="193">
        <v>8</v>
      </c>
      <c r="X35" s="194" t="s">
        <v>34</v>
      </c>
      <c r="Y35" s="194">
        <v>50</v>
      </c>
      <c r="Z35" s="195">
        <v>21</v>
      </c>
      <c r="AA35" s="195">
        <v>7</v>
      </c>
      <c r="AB35" s="195">
        <v>18</v>
      </c>
      <c r="AC35" s="194" t="s">
        <v>35</v>
      </c>
      <c r="AD35" s="194">
        <v>50</v>
      </c>
      <c r="AE35" s="196">
        <v>18.5</v>
      </c>
      <c r="AF35" s="196">
        <v>7.5</v>
      </c>
      <c r="AG35" s="196">
        <v>13</v>
      </c>
    </row>
    <row r="36" spans="1:33" ht="23.5" customHeight="1">
      <c r="A36" s="186">
        <v>68</v>
      </c>
      <c r="B36" s="187">
        <v>59</v>
      </c>
      <c r="C36" s="227" t="s">
        <v>52</v>
      </c>
      <c r="D36" s="188">
        <v>724</v>
      </c>
      <c r="E36" s="188">
        <f>VLOOKUP(D36,รายแปลง!E:G,3,FALSE)</f>
        <v>906147</v>
      </c>
      <c r="F36" s="189">
        <v>7.5949999999999998</v>
      </c>
      <c r="G36" s="248" t="s">
        <v>40</v>
      </c>
      <c r="H36" s="189">
        <v>9.0480400000000003</v>
      </c>
      <c r="I36" s="189">
        <v>1.9131671885611652</v>
      </c>
      <c r="J36" s="248" t="s">
        <v>28</v>
      </c>
      <c r="K36" s="190">
        <v>537.96892956365673</v>
      </c>
      <c r="L36" s="248" t="s">
        <v>29</v>
      </c>
      <c r="M36" s="190">
        <v>446.01190387267695</v>
      </c>
      <c r="N36" s="257" t="s">
        <v>30</v>
      </c>
      <c r="O36" s="190">
        <v>3322.5860930231038</v>
      </c>
      <c r="P36" s="190">
        <v>334.76984359609423</v>
      </c>
      <c r="Q36" s="190">
        <v>1508.1217780735942</v>
      </c>
      <c r="R36" s="191" t="s">
        <v>31</v>
      </c>
      <c r="S36" s="192" t="s">
        <v>32</v>
      </c>
      <c r="T36" s="192" t="s">
        <v>33</v>
      </c>
      <c r="U36" s="193">
        <v>16</v>
      </c>
      <c r="V36" s="193">
        <v>8</v>
      </c>
      <c r="W36" s="193">
        <v>8</v>
      </c>
      <c r="X36" s="194" t="s">
        <v>34</v>
      </c>
      <c r="Y36" s="194">
        <v>50</v>
      </c>
      <c r="Z36" s="195">
        <v>21</v>
      </c>
      <c r="AA36" s="195">
        <v>7</v>
      </c>
      <c r="AB36" s="195">
        <v>18</v>
      </c>
      <c r="AC36" s="194" t="s">
        <v>35</v>
      </c>
      <c r="AD36" s="194">
        <v>50</v>
      </c>
      <c r="AE36" s="196">
        <v>18.5</v>
      </c>
      <c r="AF36" s="196">
        <v>7.5</v>
      </c>
      <c r="AG36" s="196">
        <v>13</v>
      </c>
    </row>
    <row r="37" spans="1:33" ht="23.5" customHeight="1">
      <c r="A37" s="186">
        <v>69</v>
      </c>
      <c r="B37" s="187">
        <v>59</v>
      </c>
      <c r="C37" s="227" t="s">
        <v>52</v>
      </c>
      <c r="D37" s="188">
        <v>1018</v>
      </c>
      <c r="E37" s="188">
        <f>VLOOKUP(D37,รายแปลง!E:G,3,FALSE)</f>
        <v>906141</v>
      </c>
      <c r="F37" s="189">
        <v>7.8149999999999995</v>
      </c>
      <c r="G37" s="248" t="s">
        <v>40</v>
      </c>
      <c r="H37" s="189">
        <v>18.973480000000002</v>
      </c>
      <c r="I37" s="189">
        <v>1.4604000688062015</v>
      </c>
      <c r="J37" s="248" t="s">
        <v>41</v>
      </c>
      <c r="K37" s="190">
        <v>84.745689993559779</v>
      </c>
      <c r="L37" s="248" t="s">
        <v>29</v>
      </c>
      <c r="M37" s="190">
        <v>708.21338124107638</v>
      </c>
      <c r="N37" s="257" t="s">
        <v>30</v>
      </c>
      <c r="O37" s="190">
        <v>5753.9383025116804</v>
      </c>
      <c r="P37" s="190">
        <v>431.31549748023622</v>
      </c>
      <c r="Q37" s="190">
        <v>1692.1223117643481</v>
      </c>
      <c r="R37" s="191" t="s">
        <v>31</v>
      </c>
      <c r="S37" s="192" t="s">
        <v>32</v>
      </c>
      <c r="T37" s="192" t="s">
        <v>33</v>
      </c>
      <c r="U37" s="193">
        <v>16</v>
      </c>
      <c r="V37" s="193">
        <v>8</v>
      </c>
      <c r="W37" s="193">
        <v>8</v>
      </c>
      <c r="X37" s="194" t="s">
        <v>34</v>
      </c>
      <c r="Y37" s="194">
        <v>50</v>
      </c>
      <c r="Z37" s="195">
        <v>21</v>
      </c>
      <c r="AA37" s="195">
        <v>7</v>
      </c>
      <c r="AB37" s="195">
        <v>18</v>
      </c>
      <c r="AC37" s="194" t="s">
        <v>35</v>
      </c>
      <c r="AD37" s="194">
        <v>50</v>
      </c>
      <c r="AE37" s="196">
        <v>18.5</v>
      </c>
      <c r="AF37" s="196">
        <v>7.5</v>
      </c>
      <c r="AG37" s="196">
        <v>13</v>
      </c>
    </row>
    <row r="38" spans="1:33" ht="23.5" customHeight="1">
      <c r="A38" s="186">
        <v>70</v>
      </c>
      <c r="B38" s="187">
        <v>59</v>
      </c>
      <c r="C38" s="227" t="s">
        <v>52</v>
      </c>
      <c r="D38" s="188">
        <v>1028</v>
      </c>
      <c r="E38" s="188">
        <f>VLOOKUP(D38,รายแปลง!E:G,3,FALSE)</f>
        <v>906143</v>
      </c>
      <c r="F38" s="189">
        <v>8.245000000000001</v>
      </c>
      <c r="G38" s="248" t="s">
        <v>40</v>
      </c>
      <c r="H38" s="189">
        <v>0.22451200000000004</v>
      </c>
      <c r="I38" s="189">
        <v>1.6729376683630086</v>
      </c>
      <c r="J38" s="248" t="s">
        <v>28</v>
      </c>
      <c r="K38" s="190">
        <v>26.040838721192038</v>
      </c>
      <c r="L38" s="248" t="s">
        <v>28</v>
      </c>
      <c r="M38" s="190">
        <v>816.37090447796777</v>
      </c>
      <c r="N38" s="257" t="s">
        <v>30</v>
      </c>
      <c r="O38" s="190">
        <v>6372.3500008804376</v>
      </c>
      <c r="P38" s="190">
        <v>392.01312188740224</v>
      </c>
      <c r="Q38" s="190">
        <v>2446.9753647852058</v>
      </c>
      <c r="R38" s="191" t="s">
        <v>31</v>
      </c>
      <c r="S38" s="192" t="s">
        <v>42</v>
      </c>
      <c r="T38" s="192" t="s">
        <v>33</v>
      </c>
      <c r="U38" s="193">
        <v>16</v>
      </c>
      <c r="V38" s="193">
        <v>16</v>
      </c>
      <c r="W38" s="193">
        <v>8</v>
      </c>
      <c r="X38" s="194" t="s">
        <v>39</v>
      </c>
      <c r="Y38" s="194">
        <v>50</v>
      </c>
      <c r="Z38" s="195">
        <v>21</v>
      </c>
      <c r="AA38" s="195">
        <v>7</v>
      </c>
      <c r="AB38" s="195">
        <v>18</v>
      </c>
      <c r="AC38" s="194" t="s">
        <v>35</v>
      </c>
      <c r="AD38" s="194">
        <v>50</v>
      </c>
      <c r="AE38" s="196">
        <v>18.5</v>
      </c>
      <c r="AF38" s="196">
        <v>11.5</v>
      </c>
      <c r="AG38" s="196">
        <v>13</v>
      </c>
    </row>
    <row r="39" spans="1:33" ht="23.5" customHeight="1">
      <c r="A39" s="186">
        <v>71</v>
      </c>
      <c r="B39" s="187">
        <v>59</v>
      </c>
      <c r="C39" s="227" t="s">
        <v>52</v>
      </c>
      <c r="D39" s="188">
        <v>1013</v>
      </c>
      <c r="E39" s="188">
        <f>VLOOKUP(D39,รายแปลง!E:G,3,FALSE)</f>
        <v>906136</v>
      </c>
      <c r="F39" s="189">
        <v>7.3949999999999996</v>
      </c>
      <c r="G39" s="248" t="s">
        <v>40</v>
      </c>
      <c r="H39" s="189">
        <v>7.8602800000000004</v>
      </c>
      <c r="I39" s="189">
        <v>1.3984398726597043</v>
      </c>
      <c r="J39" s="248" t="s">
        <v>41</v>
      </c>
      <c r="K39" s="190">
        <v>95.348665219214837</v>
      </c>
      <c r="L39" s="248" t="s">
        <v>29</v>
      </c>
      <c r="M39" s="190">
        <v>353.51844801944469</v>
      </c>
      <c r="N39" s="257" t="s">
        <v>30</v>
      </c>
      <c r="O39" s="190">
        <v>1582.1475355578668</v>
      </c>
      <c r="P39" s="190">
        <v>374.82534472146932</v>
      </c>
      <c r="Q39" s="190">
        <v>1505.4717389979483</v>
      </c>
      <c r="R39" s="191" t="s">
        <v>31</v>
      </c>
      <c r="S39" s="192" t="s">
        <v>32</v>
      </c>
      <c r="T39" s="192" t="s">
        <v>33</v>
      </c>
      <c r="U39" s="193">
        <v>16</v>
      </c>
      <c r="V39" s="193">
        <v>8</v>
      </c>
      <c r="W39" s="193">
        <v>8</v>
      </c>
      <c r="X39" s="194" t="s">
        <v>34</v>
      </c>
      <c r="Y39" s="194">
        <v>50</v>
      </c>
      <c r="Z39" s="195">
        <v>21</v>
      </c>
      <c r="AA39" s="195">
        <v>7</v>
      </c>
      <c r="AB39" s="195">
        <v>18</v>
      </c>
      <c r="AC39" s="194" t="s">
        <v>35</v>
      </c>
      <c r="AD39" s="194">
        <v>50</v>
      </c>
      <c r="AE39" s="196">
        <v>18.5</v>
      </c>
      <c r="AF39" s="196">
        <v>7.5</v>
      </c>
      <c r="AG39" s="196">
        <v>13</v>
      </c>
    </row>
    <row r="40" spans="1:33" ht="23.5" customHeight="1">
      <c r="A40" s="186">
        <v>72</v>
      </c>
      <c r="B40" s="187">
        <v>59</v>
      </c>
      <c r="C40" s="227" t="s">
        <v>52</v>
      </c>
      <c r="D40" s="188">
        <v>1014</v>
      </c>
      <c r="E40" s="188">
        <f>VLOOKUP(D40,รายแปลง!E:G,3,FALSE)</f>
        <v>906140</v>
      </c>
      <c r="F40" s="189">
        <v>8.0749999999999993</v>
      </c>
      <c r="G40" s="248" t="s">
        <v>40</v>
      </c>
      <c r="H40" s="189">
        <v>6.9253599999999995</v>
      </c>
      <c r="I40" s="189">
        <v>0.92837820301172003</v>
      </c>
      <c r="J40" s="248" t="s">
        <v>37</v>
      </c>
      <c r="K40" s="190">
        <v>20.543687006900409</v>
      </c>
      <c r="L40" s="248" t="s">
        <v>28</v>
      </c>
      <c r="M40" s="190">
        <v>264.31707279430964</v>
      </c>
      <c r="N40" s="257" t="s">
        <v>30</v>
      </c>
      <c r="O40" s="190">
        <v>4502.059067595761</v>
      </c>
      <c r="P40" s="190">
        <v>153.32155155108313</v>
      </c>
      <c r="Q40" s="190">
        <v>1549.8120681692208</v>
      </c>
      <c r="R40" s="191" t="s">
        <v>38</v>
      </c>
      <c r="S40" s="192" t="s">
        <v>42</v>
      </c>
      <c r="T40" s="192" t="s">
        <v>33</v>
      </c>
      <c r="U40" s="193">
        <v>16</v>
      </c>
      <c r="V40" s="193">
        <v>16</v>
      </c>
      <c r="W40" s="193">
        <v>8</v>
      </c>
      <c r="X40" s="194" t="s">
        <v>39</v>
      </c>
      <c r="Y40" s="194">
        <v>50</v>
      </c>
      <c r="Z40" s="195">
        <v>21</v>
      </c>
      <c r="AA40" s="195">
        <v>7</v>
      </c>
      <c r="AB40" s="195">
        <v>18</v>
      </c>
      <c r="AC40" s="194" t="s">
        <v>35</v>
      </c>
      <c r="AD40" s="194">
        <v>50</v>
      </c>
      <c r="AE40" s="196">
        <v>18.5</v>
      </c>
      <c r="AF40" s="196">
        <v>11.5</v>
      </c>
      <c r="AG40" s="196">
        <v>13</v>
      </c>
    </row>
    <row r="41" spans="1:33" ht="23.5" customHeight="1">
      <c r="A41" s="186">
        <v>77</v>
      </c>
      <c r="B41" s="187">
        <v>59</v>
      </c>
      <c r="C41" s="227" t="s">
        <v>55</v>
      </c>
      <c r="D41" s="188">
        <v>1309</v>
      </c>
      <c r="E41" s="188">
        <f>VLOOKUP(D41,รายแปลง!E:G,3,FALSE)</f>
        <v>917109</v>
      </c>
      <c r="F41" s="189">
        <v>7.82</v>
      </c>
      <c r="G41" s="248" t="s">
        <v>40</v>
      </c>
      <c r="H41" s="189">
        <v>7.1899599999999992</v>
      </c>
      <c r="I41" s="189">
        <v>2.181083422049765</v>
      </c>
      <c r="J41" s="248" t="s">
        <v>28</v>
      </c>
      <c r="K41" s="190">
        <v>21.224907325010562</v>
      </c>
      <c r="L41" s="248" t="s">
        <v>28</v>
      </c>
      <c r="M41" s="190">
        <v>257.11848065839877</v>
      </c>
      <c r="N41" s="257" t="s">
        <v>30</v>
      </c>
      <c r="O41" s="190">
        <v>6876.3449740298074</v>
      </c>
      <c r="P41" s="190">
        <v>264.94440493214364</v>
      </c>
      <c r="Q41" s="190">
        <v>1962.3844617615014</v>
      </c>
      <c r="R41" s="191" t="s">
        <v>43</v>
      </c>
      <c r="S41" s="192" t="s">
        <v>42</v>
      </c>
      <c r="T41" s="192" t="s">
        <v>33</v>
      </c>
      <c r="U41" s="193">
        <v>16</v>
      </c>
      <c r="V41" s="193">
        <v>16</v>
      </c>
      <c r="W41" s="193">
        <v>8</v>
      </c>
      <c r="X41" s="194" t="s">
        <v>39</v>
      </c>
      <c r="Y41" s="194">
        <v>50</v>
      </c>
      <c r="Z41" s="195">
        <v>15</v>
      </c>
      <c r="AA41" s="195">
        <v>7</v>
      </c>
      <c r="AB41" s="195">
        <v>18</v>
      </c>
      <c r="AC41" s="194" t="s">
        <v>51</v>
      </c>
      <c r="AD41" s="194">
        <v>50</v>
      </c>
      <c r="AE41" s="196">
        <v>15.5</v>
      </c>
      <c r="AF41" s="196">
        <v>11.5</v>
      </c>
      <c r="AG41" s="196">
        <v>13</v>
      </c>
    </row>
    <row r="42" spans="1:33" ht="23.5" customHeight="1">
      <c r="A42" s="186">
        <v>78</v>
      </c>
      <c r="B42" s="187">
        <v>59</v>
      </c>
      <c r="C42" s="227" t="s">
        <v>55</v>
      </c>
      <c r="D42" s="188">
        <v>1306</v>
      </c>
      <c r="E42" s="188">
        <f>VLOOKUP(D42,รายแปลง!E:G,3,FALSE)</f>
        <v>917106</v>
      </c>
      <c r="F42" s="189">
        <v>8.0350000000000001</v>
      </c>
      <c r="G42" s="248" t="s">
        <v>40</v>
      </c>
      <c r="H42" s="189">
        <v>5.2554400000000001</v>
      </c>
      <c r="I42" s="189">
        <v>1.9367294683510994</v>
      </c>
      <c r="J42" s="248" t="s">
        <v>28</v>
      </c>
      <c r="K42" s="190">
        <v>9.021166862099161</v>
      </c>
      <c r="L42" s="248" t="s">
        <v>37</v>
      </c>
      <c r="M42" s="190">
        <v>247.82900932855435</v>
      </c>
      <c r="N42" s="257" t="s">
        <v>30</v>
      </c>
      <c r="O42" s="190">
        <v>8468.7821273701302</v>
      </c>
      <c r="P42" s="190">
        <v>227.18119550770041</v>
      </c>
      <c r="Q42" s="190">
        <v>1570.6908298397934</v>
      </c>
      <c r="R42" s="191" t="s">
        <v>31</v>
      </c>
      <c r="S42" s="192" t="s">
        <v>43</v>
      </c>
      <c r="T42" s="192" t="s">
        <v>33</v>
      </c>
      <c r="U42" s="193">
        <v>16</v>
      </c>
      <c r="V42" s="193">
        <v>16</v>
      </c>
      <c r="W42" s="193">
        <v>8</v>
      </c>
      <c r="X42" s="194" t="s">
        <v>39</v>
      </c>
      <c r="Y42" s="194">
        <v>50</v>
      </c>
      <c r="Z42" s="195">
        <v>21</v>
      </c>
      <c r="AA42" s="195">
        <v>7</v>
      </c>
      <c r="AB42" s="195">
        <v>18</v>
      </c>
      <c r="AC42" s="194" t="s">
        <v>35</v>
      </c>
      <c r="AD42" s="194">
        <v>50</v>
      </c>
      <c r="AE42" s="196">
        <v>18.5</v>
      </c>
      <c r="AF42" s="196">
        <v>11.5</v>
      </c>
      <c r="AG42" s="196">
        <v>13</v>
      </c>
    </row>
    <row r="43" spans="1:33" ht="23.5" customHeight="1">
      <c r="A43" s="186">
        <v>79</v>
      </c>
      <c r="B43" s="187">
        <v>59</v>
      </c>
      <c r="C43" s="227" t="s">
        <v>55</v>
      </c>
      <c r="D43" s="188">
        <v>1304</v>
      </c>
      <c r="E43" s="188">
        <f>VLOOKUP(D43,รายแปลง!E:G,3,FALSE)</f>
        <v>917104</v>
      </c>
      <c r="F43" s="189">
        <v>7.99</v>
      </c>
      <c r="G43" s="248" t="s">
        <v>40</v>
      </c>
      <c r="H43" s="189">
        <v>5.9727999999999994</v>
      </c>
      <c r="I43" s="189">
        <v>2.4173906933600828</v>
      </c>
      <c r="J43" s="248" t="s">
        <v>28</v>
      </c>
      <c r="K43" s="190">
        <v>15.234446233053966</v>
      </c>
      <c r="L43" s="248" t="s">
        <v>41</v>
      </c>
      <c r="M43" s="190">
        <v>339.96269803268035</v>
      </c>
      <c r="N43" s="257" t="s">
        <v>30</v>
      </c>
      <c r="O43" s="190">
        <v>8888.3694722031651</v>
      </c>
      <c r="P43" s="190">
        <v>236.42253833595026</v>
      </c>
      <c r="Q43" s="190">
        <v>1573.7577320931055</v>
      </c>
      <c r="R43" s="191" t="s">
        <v>43</v>
      </c>
      <c r="S43" s="192" t="s">
        <v>42</v>
      </c>
      <c r="T43" s="192" t="s">
        <v>33</v>
      </c>
      <c r="U43" s="193">
        <v>16</v>
      </c>
      <c r="V43" s="193">
        <v>16</v>
      </c>
      <c r="W43" s="193">
        <v>8</v>
      </c>
      <c r="X43" s="194" t="s">
        <v>39</v>
      </c>
      <c r="Y43" s="194">
        <v>50</v>
      </c>
      <c r="Z43" s="195">
        <v>15</v>
      </c>
      <c r="AA43" s="195">
        <v>7</v>
      </c>
      <c r="AB43" s="195">
        <v>18</v>
      </c>
      <c r="AC43" s="194" t="s">
        <v>51</v>
      </c>
      <c r="AD43" s="194">
        <v>50</v>
      </c>
      <c r="AE43" s="196">
        <v>15.5</v>
      </c>
      <c r="AF43" s="196">
        <v>11.5</v>
      </c>
      <c r="AG43" s="196">
        <v>13</v>
      </c>
    </row>
    <row r="44" spans="1:33" ht="23.5" customHeight="1">
      <c r="A44" s="186">
        <v>81</v>
      </c>
      <c r="B44" s="187">
        <v>59</v>
      </c>
      <c r="C44" s="227" t="s">
        <v>55</v>
      </c>
      <c r="D44" s="188">
        <v>1325</v>
      </c>
      <c r="E44" s="188">
        <f>VLOOKUP(D44,รายแปลง!E:G,3,FALSE)</f>
        <v>917120</v>
      </c>
      <c r="F44" s="189">
        <v>7.83</v>
      </c>
      <c r="G44" s="248" t="s">
        <v>40</v>
      </c>
      <c r="H44" s="189">
        <v>6.6431199999999997</v>
      </c>
      <c r="I44" s="189">
        <v>1.262454119639004</v>
      </c>
      <c r="J44" s="248" t="s">
        <v>41</v>
      </c>
      <c r="K44" s="190">
        <v>9.2911702238920668</v>
      </c>
      <c r="L44" s="248" t="s">
        <v>37</v>
      </c>
      <c r="M44" s="190">
        <v>231.49020050974934</v>
      </c>
      <c r="N44" s="257" t="s">
        <v>30</v>
      </c>
      <c r="O44" s="190">
        <v>3712.8474164368245</v>
      </c>
      <c r="P44" s="190">
        <v>192.56943717375373</v>
      </c>
      <c r="Q44" s="190">
        <v>1864.8217019604658</v>
      </c>
      <c r="R44" s="191" t="s">
        <v>31</v>
      </c>
      <c r="S44" s="192" t="s">
        <v>43</v>
      </c>
      <c r="T44" s="192" t="s">
        <v>33</v>
      </c>
      <c r="U44" s="193">
        <v>16</v>
      </c>
      <c r="V44" s="193">
        <v>16</v>
      </c>
      <c r="W44" s="193">
        <v>8</v>
      </c>
      <c r="X44" s="194" t="s">
        <v>39</v>
      </c>
      <c r="Y44" s="194">
        <v>50</v>
      </c>
      <c r="Z44" s="195">
        <v>21</v>
      </c>
      <c r="AA44" s="195">
        <v>7</v>
      </c>
      <c r="AB44" s="195">
        <v>18</v>
      </c>
      <c r="AC44" s="194" t="s">
        <v>35</v>
      </c>
      <c r="AD44" s="194">
        <v>50</v>
      </c>
      <c r="AE44" s="196">
        <v>18.5</v>
      </c>
      <c r="AF44" s="196">
        <v>11.5</v>
      </c>
      <c r="AG44" s="196">
        <v>13</v>
      </c>
    </row>
    <row r="45" spans="1:33" ht="23.5" customHeight="1">
      <c r="A45" s="186">
        <v>83</v>
      </c>
      <c r="B45" s="187">
        <v>59</v>
      </c>
      <c r="C45" s="227" t="s">
        <v>55</v>
      </c>
      <c r="D45" s="188">
        <v>1307</v>
      </c>
      <c r="E45" s="188">
        <f>VLOOKUP(D45,รายแปลง!E:G,3,FALSE)</f>
        <v>917107</v>
      </c>
      <c r="F45" s="189">
        <v>7.4</v>
      </c>
      <c r="G45" s="248" t="s">
        <v>40</v>
      </c>
      <c r="H45" s="189">
        <v>9.8888800000000003</v>
      </c>
      <c r="I45" s="189">
        <v>1.8343664091842422</v>
      </c>
      <c r="J45" s="248" t="s">
        <v>28</v>
      </c>
      <c r="K45" s="190">
        <v>10.603012377428334</v>
      </c>
      <c r="L45" s="248" t="s">
        <v>41</v>
      </c>
      <c r="M45" s="190">
        <v>390.77806798296774</v>
      </c>
      <c r="N45" s="257" t="s">
        <v>30</v>
      </c>
      <c r="O45" s="190">
        <v>5848.085775474553</v>
      </c>
      <c r="P45" s="190">
        <v>300.67786411476595</v>
      </c>
      <c r="Q45" s="190">
        <v>1982.7662910968204</v>
      </c>
      <c r="R45" s="191" t="s">
        <v>31</v>
      </c>
      <c r="S45" s="192" t="s">
        <v>43</v>
      </c>
      <c r="T45" s="192" t="s">
        <v>33</v>
      </c>
      <c r="U45" s="193">
        <v>16</v>
      </c>
      <c r="V45" s="193">
        <v>16</v>
      </c>
      <c r="W45" s="193">
        <v>8</v>
      </c>
      <c r="X45" s="194" t="s">
        <v>39</v>
      </c>
      <c r="Y45" s="194">
        <v>50</v>
      </c>
      <c r="Z45" s="195">
        <v>21</v>
      </c>
      <c r="AA45" s="195">
        <v>7</v>
      </c>
      <c r="AB45" s="195">
        <v>18</v>
      </c>
      <c r="AC45" s="194" t="s">
        <v>35</v>
      </c>
      <c r="AD45" s="194">
        <v>50</v>
      </c>
      <c r="AE45" s="196">
        <v>18.5</v>
      </c>
      <c r="AF45" s="196">
        <v>11.5</v>
      </c>
      <c r="AG45" s="196">
        <v>13</v>
      </c>
    </row>
    <row r="46" spans="1:33" ht="23.5" customHeight="1">
      <c r="A46" s="186">
        <v>84</v>
      </c>
      <c r="B46" s="187">
        <v>59</v>
      </c>
      <c r="C46" s="227" t="s">
        <v>55</v>
      </c>
      <c r="D46" s="188">
        <v>1305</v>
      </c>
      <c r="E46" s="188">
        <f>VLOOKUP(D46,รายแปลง!E:G,3,FALSE)</f>
        <v>917105</v>
      </c>
      <c r="F46" s="189">
        <v>7.8599999999999994</v>
      </c>
      <c r="G46" s="248" t="s">
        <v>40</v>
      </c>
      <c r="H46" s="189">
        <v>5.49064</v>
      </c>
      <c r="I46" s="189">
        <v>2.4768299408805059</v>
      </c>
      <c r="J46" s="248" t="s">
        <v>28</v>
      </c>
      <c r="K46" s="190">
        <v>12.605104423931746</v>
      </c>
      <c r="L46" s="248" t="s">
        <v>41</v>
      </c>
      <c r="M46" s="190">
        <v>242.25941332876653</v>
      </c>
      <c r="N46" s="257" t="s">
        <v>30</v>
      </c>
      <c r="O46" s="190">
        <v>9500.335153447515</v>
      </c>
      <c r="P46" s="190">
        <v>649.57203987702769</v>
      </c>
      <c r="Q46" s="190">
        <v>2065.9830873208175</v>
      </c>
      <c r="R46" s="191" t="s">
        <v>43</v>
      </c>
      <c r="S46" s="192" t="s">
        <v>43</v>
      </c>
      <c r="T46" s="192" t="s">
        <v>33</v>
      </c>
      <c r="U46" s="193">
        <v>16</v>
      </c>
      <c r="V46" s="193">
        <v>16</v>
      </c>
      <c r="W46" s="193">
        <v>8</v>
      </c>
      <c r="X46" s="194" t="s">
        <v>39</v>
      </c>
      <c r="Y46" s="194">
        <v>50</v>
      </c>
      <c r="Z46" s="195">
        <v>15</v>
      </c>
      <c r="AA46" s="195">
        <v>7</v>
      </c>
      <c r="AB46" s="195">
        <v>18</v>
      </c>
      <c r="AC46" s="194" t="s">
        <v>51</v>
      </c>
      <c r="AD46" s="194">
        <v>50</v>
      </c>
      <c r="AE46" s="196">
        <v>15.5</v>
      </c>
      <c r="AF46" s="196">
        <v>11.5</v>
      </c>
      <c r="AG46" s="196">
        <v>13</v>
      </c>
    </row>
    <row r="47" spans="1:33" ht="23.5" customHeight="1">
      <c r="A47" s="186">
        <v>85</v>
      </c>
      <c r="B47" s="187">
        <v>59</v>
      </c>
      <c r="C47" s="227" t="s">
        <v>55</v>
      </c>
      <c r="D47" s="188">
        <v>1303</v>
      </c>
      <c r="E47" s="188">
        <f>VLOOKUP(D47,รายแปลง!E:G,3,FALSE)</f>
        <v>917103</v>
      </c>
      <c r="F47" s="189">
        <v>8.004999999999999</v>
      </c>
      <c r="G47" s="248" t="s">
        <v>40</v>
      </c>
      <c r="H47" s="189">
        <v>2.2507599999999996</v>
      </c>
      <c r="I47" s="189">
        <v>2.1255313872281714</v>
      </c>
      <c r="J47" s="248" t="s">
        <v>28</v>
      </c>
      <c r="K47" s="190">
        <v>30.197745359008557</v>
      </c>
      <c r="L47" s="248" t="s">
        <v>28</v>
      </c>
      <c r="M47" s="190">
        <v>233.41246071551288</v>
      </c>
      <c r="N47" s="257" t="s">
        <v>30</v>
      </c>
      <c r="O47" s="190">
        <v>8244.5991916947896</v>
      </c>
      <c r="P47" s="190">
        <v>243.88264391309883</v>
      </c>
      <c r="Q47" s="190">
        <v>1832.7416165838113</v>
      </c>
      <c r="R47" s="191" t="s">
        <v>43</v>
      </c>
      <c r="S47" s="192" t="s">
        <v>32</v>
      </c>
      <c r="T47" s="192" t="s">
        <v>33</v>
      </c>
      <c r="U47" s="193">
        <v>16</v>
      </c>
      <c r="V47" s="193">
        <v>8</v>
      </c>
      <c r="W47" s="193">
        <v>8</v>
      </c>
      <c r="X47" s="194" t="s">
        <v>34</v>
      </c>
      <c r="Y47" s="194">
        <v>50</v>
      </c>
      <c r="Z47" s="195">
        <v>21</v>
      </c>
      <c r="AA47" s="195">
        <v>7</v>
      </c>
      <c r="AB47" s="195">
        <v>18</v>
      </c>
      <c r="AC47" s="194" t="s">
        <v>35</v>
      </c>
      <c r="AD47" s="194">
        <v>50</v>
      </c>
      <c r="AE47" s="196">
        <v>18.5</v>
      </c>
      <c r="AF47" s="196">
        <v>7.5</v>
      </c>
      <c r="AG47" s="196">
        <v>13</v>
      </c>
    </row>
    <row r="48" spans="1:33" ht="23.5" customHeight="1">
      <c r="A48" s="186">
        <v>88</v>
      </c>
      <c r="B48" s="187">
        <v>59</v>
      </c>
      <c r="C48" s="223" t="s">
        <v>77</v>
      </c>
      <c r="D48" s="188">
        <v>807926</v>
      </c>
      <c r="E48" s="188">
        <f>VLOOKUP(D48,รายแปลง!E:G,3,FALSE)</f>
        <v>927116</v>
      </c>
      <c r="F48" s="189">
        <v>6.8650000000000002</v>
      </c>
      <c r="G48" s="248" t="s">
        <v>28</v>
      </c>
      <c r="H48" s="189">
        <v>3.8207199999999997</v>
      </c>
      <c r="I48" s="189">
        <v>2.4021828137462204</v>
      </c>
      <c r="J48" s="248" t="s">
        <v>28</v>
      </c>
      <c r="K48" s="190">
        <v>83.007416093445485</v>
      </c>
      <c r="L48" s="248" t="s">
        <v>29</v>
      </c>
      <c r="M48" s="190">
        <v>175.88350785340316</v>
      </c>
      <c r="N48" s="257" t="s">
        <v>30</v>
      </c>
      <c r="O48" s="190">
        <v>3788.2037533512066</v>
      </c>
      <c r="P48" s="190">
        <v>242.82744282744284</v>
      </c>
      <c r="Q48" s="190">
        <v>1931.3559322033898</v>
      </c>
      <c r="R48" s="191" t="s">
        <v>43</v>
      </c>
      <c r="S48" s="192" t="s">
        <v>32</v>
      </c>
      <c r="T48" s="192" t="s">
        <v>33</v>
      </c>
      <c r="U48" s="193">
        <v>16</v>
      </c>
      <c r="V48" s="193">
        <v>8</v>
      </c>
      <c r="W48" s="193">
        <v>8</v>
      </c>
      <c r="X48" s="194" t="s">
        <v>34</v>
      </c>
      <c r="Y48" s="194">
        <v>50</v>
      </c>
      <c r="Z48" s="195">
        <v>21</v>
      </c>
      <c r="AA48" s="195">
        <v>7</v>
      </c>
      <c r="AB48" s="195">
        <v>18</v>
      </c>
      <c r="AC48" s="194" t="s">
        <v>35</v>
      </c>
      <c r="AD48" s="194">
        <v>50</v>
      </c>
      <c r="AE48" s="196">
        <v>18.5</v>
      </c>
      <c r="AF48" s="196">
        <v>7.5</v>
      </c>
      <c r="AG48" s="196">
        <v>13</v>
      </c>
    </row>
    <row r="49" spans="1:33" ht="23.5" customHeight="1">
      <c r="A49" s="186">
        <v>89</v>
      </c>
      <c r="B49" s="187">
        <v>59</v>
      </c>
      <c r="C49" s="223" t="s">
        <v>77</v>
      </c>
      <c r="D49" s="188">
        <v>807940</v>
      </c>
      <c r="E49" s="188">
        <f>VLOOKUP(D49,รายแปลง!E:G,3,FALSE)</f>
        <v>927123</v>
      </c>
      <c r="F49" s="189">
        <v>4.9849999999999994</v>
      </c>
      <c r="G49" s="248" t="s">
        <v>56</v>
      </c>
      <c r="H49" s="189">
        <v>6.8312799999999996</v>
      </c>
      <c r="I49" s="189">
        <v>2.3777209222913491</v>
      </c>
      <c r="J49" s="248" t="s">
        <v>28</v>
      </c>
      <c r="K49" s="190">
        <v>2.9010532563199032</v>
      </c>
      <c r="L49" s="248" t="s">
        <v>47</v>
      </c>
      <c r="M49" s="190">
        <v>311.31750572957344</v>
      </c>
      <c r="N49" s="257" t="s">
        <v>30</v>
      </c>
      <c r="O49" s="190">
        <v>3338.4350480521498</v>
      </c>
      <c r="P49" s="190">
        <v>401.59168369324954</v>
      </c>
      <c r="Q49" s="190">
        <v>1899.7717508615956</v>
      </c>
      <c r="R49" s="191" t="s">
        <v>43</v>
      </c>
      <c r="S49" s="192" t="s">
        <v>43</v>
      </c>
      <c r="T49" s="192" t="s">
        <v>33</v>
      </c>
      <c r="U49" s="193">
        <v>16</v>
      </c>
      <c r="V49" s="193">
        <v>16</v>
      </c>
      <c r="W49" s="193">
        <v>8</v>
      </c>
      <c r="X49" s="194" t="s">
        <v>39</v>
      </c>
      <c r="Y49" s="194">
        <v>50</v>
      </c>
      <c r="Z49" s="195">
        <v>15</v>
      </c>
      <c r="AA49" s="195">
        <v>7</v>
      </c>
      <c r="AB49" s="195">
        <v>18</v>
      </c>
      <c r="AC49" s="194" t="s">
        <v>51</v>
      </c>
      <c r="AD49" s="194">
        <v>50</v>
      </c>
      <c r="AE49" s="196">
        <v>15.5</v>
      </c>
      <c r="AF49" s="196">
        <v>11.5</v>
      </c>
      <c r="AG49" s="196">
        <v>13</v>
      </c>
    </row>
    <row r="50" spans="1:33" ht="23.5" customHeight="1">
      <c r="A50" s="186">
        <v>90</v>
      </c>
      <c r="B50" s="187">
        <v>59</v>
      </c>
      <c r="C50" s="223" t="s">
        <v>77</v>
      </c>
      <c r="D50" s="188">
        <v>807903</v>
      </c>
      <c r="E50" s="188">
        <f>VLOOKUP(D50,รายแปลง!E:G,3,FALSE)</f>
        <v>927104</v>
      </c>
      <c r="F50" s="189">
        <v>7.7349999999999994</v>
      </c>
      <c r="G50" s="248" t="s">
        <v>40</v>
      </c>
      <c r="H50" s="189">
        <v>3.6737199999999994</v>
      </c>
      <c r="I50" s="189">
        <v>1.2956133129619745</v>
      </c>
      <c r="J50" s="248" t="s">
        <v>41</v>
      </c>
      <c r="K50" s="190">
        <v>15.865333953955584</v>
      </c>
      <c r="L50" s="248" t="s">
        <v>41</v>
      </c>
      <c r="M50" s="190">
        <v>114.25149194238841</v>
      </c>
      <c r="N50" s="257" t="s">
        <v>29</v>
      </c>
      <c r="O50" s="190">
        <v>4076.1231661701449</v>
      </c>
      <c r="P50" s="190">
        <v>162.53791004679817</v>
      </c>
      <c r="Q50" s="190">
        <v>2049.7187663230197</v>
      </c>
      <c r="R50" s="191" t="s">
        <v>31</v>
      </c>
      <c r="S50" s="192" t="s">
        <v>42</v>
      </c>
      <c r="T50" s="192" t="s">
        <v>33</v>
      </c>
      <c r="U50" s="193">
        <v>16</v>
      </c>
      <c r="V50" s="193">
        <v>16</v>
      </c>
      <c r="W50" s="193">
        <v>8</v>
      </c>
      <c r="X50" s="194" t="s">
        <v>39</v>
      </c>
      <c r="Y50" s="194">
        <v>50</v>
      </c>
      <c r="Z50" s="195">
        <v>21</v>
      </c>
      <c r="AA50" s="195">
        <v>7</v>
      </c>
      <c r="AB50" s="195">
        <v>18</v>
      </c>
      <c r="AC50" s="194" t="s">
        <v>35</v>
      </c>
      <c r="AD50" s="194">
        <v>50</v>
      </c>
      <c r="AE50" s="196">
        <v>18.5</v>
      </c>
      <c r="AF50" s="196">
        <v>11.5</v>
      </c>
      <c r="AG50" s="196">
        <v>13</v>
      </c>
    </row>
    <row r="51" spans="1:33" ht="23.5" customHeight="1">
      <c r="A51" s="186">
        <v>91</v>
      </c>
      <c r="B51" s="187">
        <v>59</v>
      </c>
      <c r="C51" s="223" t="s">
        <v>77</v>
      </c>
      <c r="D51" s="188">
        <v>807906</v>
      </c>
      <c r="E51" s="188">
        <f>VLOOKUP(D51,รายแปลง!E:G,3,FALSE)</f>
        <v>927106</v>
      </c>
      <c r="F51" s="189">
        <v>8.11</v>
      </c>
      <c r="G51" s="248" t="s">
        <v>40</v>
      </c>
      <c r="H51" s="189">
        <v>3.4679199999999994</v>
      </c>
      <c r="I51" s="189">
        <v>1.2242703229769085</v>
      </c>
      <c r="J51" s="248" t="s">
        <v>41</v>
      </c>
      <c r="K51" s="190">
        <v>22.169558109222557</v>
      </c>
      <c r="L51" s="248" t="s">
        <v>28</v>
      </c>
      <c r="M51" s="190">
        <v>122.37312243401922</v>
      </c>
      <c r="N51" s="257" t="s">
        <v>30</v>
      </c>
      <c r="O51" s="190">
        <v>5044.5468302855897</v>
      </c>
      <c r="P51" s="190">
        <v>180.02572450836738</v>
      </c>
      <c r="Q51" s="190">
        <v>2013.9542365418069</v>
      </c>
      <c r="R51" s="191" t="s">
        <v>31</v>
      </c>
      <c r="S51" s="192" t="s">
        <v>42</v>
      </c>
      <c r="T51" s="192" t="s">
        <v>33</v>
      </c>
      <c r="U51" s="193">
        <v>16</v>
      </c>
      <c r="V51" s="193">
        <v>16</v>
      </c>
      <c r="W51" s="193">
        <v>8</v>
      </c>
      <c r="X51" s="194" t="s">
        <v>39</v>
      </c>
      <c r="Y51" s="194">
        <v>50</v>
      </c>
      <c r="Z51" s="195">
        <v>21</v>
      </c>
      <c r="AA51" s="195">
        <v>7</v>
      </c>
      <c r="AB51" s="195">
        <v>18</v>
      </c>
      <c r="AC51" s="194" t="s">
        <v>35</v>
      </c>
      <c r="AD51" s="194">
        <v>50</v>
      </c>
      <c r="AE51" s="196">
        <v>18.5</v>
      </c>
      <c r="AF51" s="196">
        <v>11.5</v>
      </c>
      <c r="AG51" s="196">
        <v>13</v>
      </c>
    </row>
    <row r="52" spans="1:33" ht="23.5" customHeight="1">
      <c r="A52" s="186">
        <v>92</v>
      </c>
      <c r="B52" s="187">
        <v>59</v>
      </c>
      <c r="C52" s="223" t="s">
        <v>77</v>
      </c>
      <c r="D52" s="188">
        <v>807939</v>
      </c>
      <c r="E52" s="188">
        <f>VLOOKUP(D52,รายแปลง!E:G,3,FALSE)</f>
        <v>927122</v>
      </c>
      <c r="F52" s="189">
        <v>8.1199999999999992</v>
      </c>
      <c r="G52" s="248" t="s">
        <v>40</v>
      </c>
      <c r="H52" s="189">
        <v>3.5031999999999996</v>
      </c>
      <c r="I52" s="189">
        <v>1.9661797564877341</v>
      </c>
      <c r="J52" s="248" t="s">
        <v>28</v>
      </c>
      <c r="K52" s="190">
        <v>5.6910492566293591</v>
      </c>
      <c r="L52" s="248" t="s">
        <v>47</v>
      </c>
      <c r="M52" s="190">
        <v>211.66166547375343</v>
      </c>
      <c r="N52" s="257" t="s">
        <v>30</v>
      </c>
      <c r="O52" s="190">
        <v>7701.497130437665</v>
      </c>
      <c r="P52" s="190">
        <v>227.76631983487306</v>
      </c>
      <c r="Q52" s="190">
        <v>2030.8246245718806</v>
      </c>
      <c r="R52" s="191" t="s">
        <v>31</v>
      </c>
      <c r="S52" s="192" t="s">
        <v>43</v>
      </c>
      <c r="T52" s="192" t="s">
        <v>33</v>
      </c>
      <c r="U52" s="193">
        <v>16</v>
      </c>
      <c r="V52" s="193">
        <v>16</v>
      </c>
      <c r="W52" s="193">
        <v>8</v>
      </c>
      <c r="X52" s="194" t="s">
        <v>39</v>
      </c>
      <c r="Y52" s="194">
        <v>50</v>
      </c>
      <c r="Z52" s="195">
        <v>21</v>
      </c>
      <c r="AA52" s="195">
        <v>7</v>
      </c>
      <c r="AB52" s="195">
        <v>18</v>
      </c>
      <c r="AC52" s="194" t="s">
        <v>35</v>
      </c>
      <c r="AD52" s="194">
        <v>50</v>
      </c>
      <c r="AE52" s="196">
        <v>18.5</v>
      </c>
      <c r="AF52" s="196">
        <v>11.5</v>
      </c>
      <c r="AG52" s="196">
        <v>13</v>
      </c>
    </row>
    <row r="53" spans="1:33" ht="23.5" customHeight="1">
      <c r="A53" s="186">
        <v>93</v>
      </c>
      <c r="B53" s="187">
        <v>59</v>
      </c>
      <c r="C53" s="223" t="s">
        <v>77</v>
      </c>
      <c r="D53" s="188">
        <v>807947</v>
      </c>
      <c r="E53" s="188">
        <f>VLOOKUP(D53,รายแปลง!E:G,3,FALSE)</f>
        <v>927126</v>
      </c>
      <c r="F53" s="189">
        <v>6.4450000000000003</v>
      </c>
      <c r="G53" s="248" t="s">
        <v>28</v>
      </c>
      <c r="H53" s="189">
        <v>3.2033199999999997</v>
      </c>
      <c r="I53" s="189">
        <v>2.6454807835171161</v>
      </c>
      <c r="J53" s="248" t="s">
        <v>29</v>
      </c>
      <c r="K53" s="190">
        <v>3.0379474339438719</v>
      </c>
      <c r="L53" s="248" t="s">
        <v>47</v>
      </c>
      <c r="M53" s="190">
        <v>268.17278713568072</v>
      </c>
      <c r="N53" s="257" t="s">
        <v>30</v>
      </c>
      <c r="O53" s="190">
        <v>2714.9193010657036</v>
      </c>
      <c r="P53" s="190">
        <v>354.09426948680107</v>
      </c>
      <c r="Q53" s="190">
        <v>2214.9856792755318</v>
      </c>
      <c r="R53" s="191" t="s">
        <v>43</v>
      </c>
      <c r="S53" s="192" t="s">
        <v>43</v>
      </c>
      <c r="T53" s="192" t="s">
        <v>33</v>
      </c>
      <c r="U53" s="193">
        <v>16</v>
      </c>
      <c r="V53" s="193">
        <v>16</v>
      </c>
      <c r="W53" s="193">
        <v>8</v>
      </c>
      <c r="X53" s="194" t="s">
        <v>39</v>
      </c>
      <c r="Y53" s="194">
        <v>50</v>
      </c>
      <c r="Z53" s="195">
        <v>15</v>
      </c>
      <c r="AA53" s="195">
        <v>7</v>
      </c>
      <c r="AB53" s="195">
        <v>18</v>
      </c>
      <c r="AC53" s="194" t="s">
        <v>51</v>
      </c>
      <c r="AD53" s="194">
        <v>50</v>
      </c>
      <c r="AE53" s="196">
        <v>15.5</v>
      </c>
      <c r="AF53" s="196">
        <v>11.5</v>
      </c>
      <c r="AG53" s="196">
        <v>13</v>
      </c>
    </row>
    <row r="54" spans="1:33" ht="23.5" customHeight="1">
      <c r="A54" s="186">
        <v>94</v>
      </c>
      <c r="B54" s="187">
        <v>59</v>
      </c>
      <c r="C54" s="223" t="s">
        <v>77</v>
      </c>
      <c r="D54" s="188">
        <v>807945</v>
      </c>
      <c r="E54" s="188">
        <f>VLOOKUP(D54,รายแปลง!E:G,3,FALSE)</f>
        <v>927124</v>
      </c>
      <c r="F54" s="189">
        <v>7.7549999999999999</v>
      </c>
      <c r="G54" s="248" t="s">
        <v>40</v>
      </c>
      <c r="H54" s="189">
        <v>7.4545599999999999</v>
      </c>
      <c r="I54" s="189">
        <v>3.2579489476041203</v>
      </c>
      <c r="J54" s="248" t="s">
        <v>29</v>
      </c>
      <c r="K54" s="190">
        <v>29.232707355774693</v>
      </c>
      <c r="L54" s="248" t="s">
        <v>28</v>
      </c>
      <c r="M54" s="190">
        <v>292.76789850864213</v>
      </c>
      <c r="N54" s="257" t="s">
        <v>30</v>
      </c>
      <c r="O54" s="190">
        <v>9068.4627420163779</v>
      </c>
      <c r="P54" s="190">
        <v>807.21371972668248</v>
      </c>
      <c r="Q54" s="190">
        <v>1678.0767127802915</v>
      </c>
      <c r="R54" s="191" t="s">
        <v>43</v>
      </c>
      <c r="S54" s="192" t="s">
        <v>42</v>
      </c>
      <c r="T54" s="192" t="s">
        <v>33</v>
      </c>
      <c r="U54" s="193">
        <v>16</v>
      </c>
      <c r="V54" s="193">
        <v>16</v>
      </c>
      <c r="W54" s="193">
        <v>8</v>
      </c>
      <c r="X54" s="194" t="s">
        <v>39</v>
      </c>
      <c r="Y54" s="194">
        <v>50</v>
      </c>
      <c r="Z54" s="195">
        <v>15</v>
      </c>
      <c r="AA54" s="195">
        <v>7</v>
      </c>
      <c r="AB54" s="195">
        <v>18</v>
      </c>
      <c r="AC54" s="194" t="s">
        <v>51</v>
      </c>
      <c r="AD54" s="194">
        <v>50</v>
      </c>
      <c r="AE54" s="196">
        <v>15.5</v>
      </c>
      <c r="AF54" s="196">
        <v>11.5</v>
      </c>
      <c r="AG54" s="196">
        <v>13</v>
      </c>
    </row>
    <row r="55" spans="1:33" ht="23.5" customHeight="1">
      <c r="A55" s="186">
        <v>95</v>
      </c>
      <c r="B55" s="187">
        <v>59</v>
      </c>
      <c r="C55" s="223" t="s">
        <v>77</v>
      </c>
      <c r="D55" s="188">
        <v>807946</v>
      </c>
      <c r="E55" s="188">
        <f>VLOOKUP(D55,รายแปลง!E:G,3,FALSE)</f>
        <v>927125</v>
      </c>
      <c r="F55" s="189">
        <v>6.65</v>
      </c>
      <c r="G55" s="248" t="s">
        <v>28</v>
      </c>
      <c r="H55" s="189">
        <v>3.8266</v>
      </c>
      <c r="I55" s="189">
        <v>2.3054171443134268</v>
      </c>
      <c r="J55" s="248" t="s">
        <v>28</v>
      </c>
      <c r="K55" s="190">
        <v>3.4112776806088911</v>
      </c>
      <c r="L55" s="248" t="s">
        <v>47</v>
      </c>
      <c r="M55" s="190">
        <v>195.10943327300549</v>
      </c>
      <c r="N55" s="257" t="s">
        <v>30</v>
      </c>
      <c r="O55" s="190">
        <v>4166.2889289252098</v>
      </c>
      <c r="P55" s="190">
        <v>485.98996296340511</v>
      </c>
      <c r="Q55" s="190">
        <v>1687.798534000294</v>
      </c>
      <c r="R55" s="191" t="s">
        <v>43</v>
      </c>
      <c r="S55" s="192" t="s">
        <v>43</v>
      </c>
      <c r="T55" s="192" t="s">
        <v>33</v>
      </c>
      <c r="U55" s="193">
        <v>16</v>
      </c>
      <c r="V55" s="193">
        <v>16</v>
      </c>
      <c r="W55" s="193">
        <v>8</v>
      </c>
      <c r="X55" s="194" t="s">
        <v>39</v>
      </c>
      <c r="Y55" s="194">
        <v>50</v>
      </c>
      <c r="Z55" s="195">
        <v>15</v>
      </c>
      <c r="AA55" s="195">
        <v>7</v>
      </c>
      <c r="AB55" s="195">
        <v>18</v>
      </c>
      <c r="AC55" s="194" t="s">
        <v>51</v>
      </c>
      <c r="AD55" s="194">
        <v>50</v>
      </c>
      <c r="AE55" s="196">
        <v>15.5</v>
      </c>
      <c r="AF55" s="196">
        <v>11.5</v>
      </c>
      <c r="AG55" s="196">
        <v>13</v>
      </c>
    </row>
    <row r="56" spans="1:33" ht="23.5" customHeight="1">
      <c r="A56" s="186">
        <v>101</v>
      </c>
      <c r="B56" s="187">
        <v>59</v>
      </c>
      <c r="C56" s="227" t="s">
        <v>57</v>
      </c>
      <c r="D56" s="188">
        <v>101</v>
      </c>
      <c r="E56" s="188">
        <f>VLOOKUP(D56,รายแปลง!E:G,3,FALSE)</f>
        <v>900122</v>
      </c>
      <c r="F56" s="189">
        <v>5.33</v>
      </c>
      <c r="G56" s="248" t="s">
        <v>56</v>
      </c>
      <c r="H56" s="189">
        <v>1.305844</v>
      </c>
      <c r="I56" s="189">
        <v>0.66710477851061412</v>
      </c>
      <c r="J56" s="248" t="s">
        <v>37</v>
      </c>
      <c r="K56" s="190">
        <v>41.389053275611801</v>
      </c>
      <c r="L56" s="248" t="s">
        <v>29</v>
      </c>
      <c r="M56" s="190">
        <v>130.29401958363502</v>
      </c>
      <c r="N56" s="257" t="s">
        <v>30</v>
      </c>
      <c r="O56" s="190">
        <v>318.90809068562851</v>
      </c>
      <c r="P56" s="190">
        <v>48.681159022885637</v>
      </c>
      <c r="Q56" s="190">
        <v>1851.1633066428215</v>
      </c>
      <c r="R56" s="191" t="s">
        <v>38</v>
      </c>
      <c r="S56" s="192" t="s">
        <v>32</v>
      </c>
      <c r="T56" s="192" t="s">
        <v>33</v>
      </c>
      <c r="U56" s="193">
        <v>16</v>
      </c>
      <c r="V56" s="193">
        <v>16</v>
      </c>
      <c r="W56" s="193">
        <v>8</v>
      </c>
      <c r="X56" s="194" t="s">
        <v>39</v>
      </c>
      <c r="Y56" s="194">
        <v>50</v>
      </c>
      <c r="Z56" s="195">
        <v>21</v>
      </c>
      <c r="AA56" s="195">
        <v>7</v>
      </c>
      <c r="AB56" s="195">
        <v>18</v>
      </c>
      <c r="AC56" s="194" t="s">
        <v>35</v>
      </c>
      <c r="AD56" s="194">
        <v>50</v>
      </c>
      <c r="AE56" s="196">
        <v>18.5</v>
      </c>
      <c r="AF56" s="196">
        <v>11.5</v>
      </c>
      <c r="AG56" s="196">
        <v>13</v>
      </c>
    </row>
    <row r="57" spans="1:33" ht="23.5" customHeight="1">
      <c r="A57" s="186">
        <v>115</v>
      </c>
      <c r="B57" s="187">
        <v>59</v>
      </c>
      <c r="C57" s="227" t="s">
        <v>58</v>
      </c>
      <c r="D57" s="188">
        <v>804663</v>
      </c>
      <c r="E57" s="188">
        <f>VLOOKUP(D57,รายแปลง!E:G,3,FALSE)</f>
        <v>924105</v>
      </c>
      <c r="F57" s="189">
        <v>6.8900000000000006</v>
      </c>
      <c r="G57" s="248" t="s">
        <v>28</v>
      </c>
      <c r="H57" s="189">
        <v>6.4314400000000003</v>
      </c>
      <c r="I57" s="189">
        <v>1.8270490999856728</v>
      </c>
      <c r="J57" s="248" t="s">
        <v>28</v>
      </c>
      <c r="K57" s="190">
        <v>25.858733607320268</v>
      </c>
      <c r="L57" s="248" t="s">
        <v>28</v>
      </c>
      <c r="M57" s="190">
        <v>476.84910535794756</v>
      </c>
      <c r="N57" s="257" t="s">
        <v>30</v>
      </c>
      <c r="O57" s="190">
        <v>2449.4131236565713</v>
      </c>
      <c r="P57" s="190">
        <v>311.19570040433348</v>
      </c>
      <c r="Q57" s="190">
        <v>1839.9344930834995</v>
      </c>
      <c r="R57" s="191" t="s">
        <v>31</v>
      </c>
      <c r="S57" s="192" t="s">
        <v>42</v>
      </c>
      <c r="T57" s="192" t="s">
        <v>33</v>
      </c>
      <c r="U57" s="193">
        <v>16</v>
      </c>
      <c r="V57" s="193">
        <v>16</v>
      </c>
      <c r="W57" s="193">
        <v>8</v>
      </c>
      <c r="X57" s="194" t="s">
        <v>39</v>
      </c>
      <c r="Y57" s="194">
        <v>50</v>
      </c>
      <c r="Z57" s="195">
        <v>21</v>
      </c>
      <c r="AA57" s="195">
        <v>7</v>
      </c>
      <c r="AB57" s="195">
        <v>18</v>
      </c>
      <c r="AC57" s="194" t="s">
        <v>35</v>
      </c>
      <c r="AD57" s="194">
        <v>50</v>
      </c>
      <c r="AE57" s="196">
        <v>18.5</v>
      </c>
      <c r="AF57" s="196">
        <v>11.5</v>
      </c>
      <c r="AG57" s="196">
        <v>13</v>
      </c>
    </row>
    <row r="58" spans="1:33" ht="23.5" customHeight="1">
      <c r="A58" s="186">
        <v>117</v>
      </c>
      <c r="B58" s="187">
        <v>59</v>
      </c>
      <c r="C58" s="227" t="s">
        <v>58</v>
      </c>
      <c r="D58" s="188">
        <v>804635</v>
      </c>
      <c r="E58" s="188">
        <f>VLOOKUP(D58,รายแปลง!E:G,3,FALSE)</f>
        <v>924129</v>
      </c>
      <c r="F58" s="189">
        <v>7.04</v>
      </c>
      <c r="G58" s="248" t="s">
        <v>28</v>
      </c>
      <c r="H58" s="189">
        <v>6.2315199999999997</v>
      </c>
      <c r="I58" s="189">
        <v>1.5267401465759054</v>
      </c>
      <c r="J58" s="248" t="s">
        <v>41</v>
      </c>
      <c r="K58" s="190">
        <v>102.52148175180724</v>
      </c>
      <c r="L58" s="248" t="s">
        <v>29</v>
      </c>
      <c r="M58" s="190">
        <v>348.94737469077711</v>
      </c>
      <c r="N58" s="257" t="s">
        <v>30</v>
      </c>
      <c r="O58" s="190">
        <v>5411.73652605589</v>
      </c>
      <c r="P58" s="190">
        <v>381.41152093165266</v>
      </c>
      <c r="Q58" s="190">
        <v>1856.348329408838</v>
      </c>
      <c r="R58" s="191" t="s">
        <v>31</v>
      </c>
      <c r="S58" s="192" t="s">
        <v>32</v>
      </c>
      <c r="T58" s="192" t="s">
        <v>33</v>
      </c>
      <c r="U58" s="193">
        <v>16</v>
      </c>
      <c r="V58" s="193">
        <v>8</v>
      </c>
      <c r="W58" s="193">
        <v>8</v>
      </c>
      <c r="X58" s="194" t="s">
        <v>34</v>
      </c>
      <c r="Y58" s="194">
        <v>50</v>
      </c>
      <c r="Z58" s="195">
        <v>21</v>
      </c>
      <c r="AA58" s="195">
        <v>7</v>
      </c>
      <c r="AB58" s="195">
        <v>18</v>
      </c>
      <c r="AC58" s="194" t="s">
        <v>35</v>
      </c>
      <c r="AD58" s="194">
        <v>50</v>
      </c>
      <c r="AE58" s="196">
        <v>18.5</v>
      </c>
      <c r="AF58" s="196">
        <v>7.5</v>
      </c>
      <c r="AG58" s="196">
        <v>13</v>
      </c>
    </row>
    <row r="59" spans="1:33" ht="23.5" customHeight="1">
      <c r="A59" s="186">
        <v>118</v>
      </c>
      <c r="B59" s="187">
        <v>59</v>
      </c>
      <c r="C59" s="227" t="s">
        <v>58</v>
      </c>
      <c r="D59" s="188">
        <v>804651</v>
      </c>
      <c r="E59" s="188">
        <f>VLOOKUP(D59,รายแปลง!E:G,3,FALSE)</f>
        <v>924127</v>
      </c>
      <c r="F59" s="189">
        <v>7.7050000000000001</v>
      </c>
      <c r="G59" s="248" t="s">
        <v>40</v>
      </c>
      <c r="H59" s="189">
        <v>7.2722800000000003</v>
      </c>
      <c r="I59" s="189">
        <v>2.0865847649574603</v>
      </c>
      <c r="J59" s="248" t="s">
        <v>28</v>
      </c>
      <c r="K59" s="190">
        <v>86.911365353979747</v>
      </c>
      <c r="L59" s="248" t="s">
        <v>29</v>
      </c>
      <c r="M59" s="190">
        <v>449.26253587008227</v>
      </c>
      <c r="N59" s="257" t="s">
        <v>30</v>
      </c>
      <c r="O59" s="190">
        <v>3040.3944940562296</v>
      </c>
      <c r="P59" s="190">
        <v>193.73565596587179</v>
      </c>
      <c r="Q59" s="190">
        <v>1779.1639569700174</v>
      </c>
      <c r="R59" s="191" t="s">
        <v>43</v>
      </c>
      <c r="S59" s="192" t="s">
        <v>32</v>
      </c>
      <c r="T59" s="192" t="s">
        <v>33</v>
      </c>
      <c r="U59" s="193">
        <v>16</v>
      </c>
      <c r="V59" s="193">
        <v>8</v>
      </c>
      <c r="W59" s="193">
        <v>8</v>
      </c>
      <c r="X59" s="194" t="s">
        <v>34</v>
      </c>
      <c r="Y59" s="194">
        <v>50</v>
      </c>
      <c r="Z59" s="195">
        <v>21</v>
      </c>
      <c r="AA59" s="195">
        <v>7</v>
      </c>
      <c r="AB59" s="195">
        <v>18</v>
      </c>
      <c r="AC59" s="194" t="s">
        <v>35</v>
      </c>
      <c r="AD59" s="194">
        <v>50</v>
      </c>
      <c r="AE59" s="196">
        <v>18.5</v>
      </c>
      <c r="AF59" s="196">
        <v>7.5</v>
      </c>
      <c r="AG59" s="196">
        <v>13</v>
      </c>
    </row>
    <row r="60" spans="1:33" ht="23.5" customHeight="1">
      <c r="A60" s="186">
        <v>119</v>
      </c>
      <c r="B60" s="187">
        <v>59</v>
      </c>
      <c r="C60" s="227" t="s">
        <v>58</v>
      </c>
      <c r="D60" s="188">
        <v>804649</v>
      </c>
      <c r="E60" s="188">
        <f>VLOOKUP(D60,รายแปลง!E:G,3,FALSE)</f>
        <v>924125</v>
      </c>
      <c r="F60" s="189">
        <v>6.835</v>
      </c>
      <c r="G60" s="248" t="s">
        <v>28</v>
      </c>
      <c r="H60" s="189">
        <v>4.9849599999999992</v>
      </c>
      <c r="I60" s="189">
        <v>1.699190030713245</v>
      </c>
      <c r="J60" s="248" t="s">
        <v>28</v>
      </c>
      <c r="K60" s="190">
        <v>33.777275949190042</v>
      </c>
      <c r="L60" s="248" t="s">
        <v>28</v>
      </c>
      <c r="M60" s="190">
        <v>229.10605419378481</v>
      </c>
      <c r="N60" s="257" t="s">
        <v>30</v>
      </c>
      <c r="O60" s="190">
        <v>3928.9186523313265</v>
      </c>
      <c r="P60" s="190">
        <v>147.57058531496094</v>
      </c>
      <c r="Q60" s="190">
        <v>1803.0757324803315</v>
      </c>
      <c r="R60" s="191" t="s">
        <v>31</v>
      </c>
      <c r="S60" s="192" t="s">
        <v>32</v>
      </c>
      <c r="T60" s="192" t="s">
        <v>33</v>
      </c>
      <c r="U60" s="193">
        <v>16</v>
      </c>
      <c r="V60" s="193">
        <v>8</v>
      </c>
      <c r="W60" s="193">
        <v>8</v>
      </c>
      <c r="X60" s="194" t="s">
        <v>34</v>
      </c>
      <c r="Y60" s="194">
        <v>50</v>
      </c>
      <c r="Z60" s="195">
        <v>21</v>
      </c>
      <c r="AA60" s="195">
        <v>7</v>
      </c>
      <c r="AB60" s="195">
        <v>18</v>
      </c>
      <c r="AC60" s="194" t="s">
        <v>35</v>
      </c>
      <c r="AD60" s="194">
        <v>50</v>
      </c>
      <c r="AE60" s="196">
        <v>18.5</v>
      </c>
      <c r="AF60" s="196">
        <v>7.5</v>
      </c>
      <c r="AG60" s="196">
        <v>13</v>
      </c>
    </row>
    <row r="61" spans="1:33" ht="23.5" customHeight="1">
      <c r="A61" s="186">
        <v>121</v>
      </c>
      <c r="B61" s="187">
        <v>59</v>
      </c>
      <c r="C61" s="227" t="s">
        <v>58</v>
      </c>
      <c r="D61" s="188">
        <v>804647</v>
      </c>
      <c r="E61" s="188">
        <f>VLOOKUP(D61,รายแปลง!E:G,3,FALSE)</f>
        <v>924123</v>
      </c>
      <c r="F61" s="189">
        <v>8.01</v>
      </c>
      <c r="G61" s="248" t="s">
        <v>40</v>
      </c>
      <c r="H61" s="189">
        <v>4.9085199999999993</v>
      </c>
      <c r="I61" s="189">
        <v>2.5758108886187685</v>
      </c>
      <c r="J61" s="248" t="s">
        <v>29</v>
      </c>
      <c r="K61" s="190">
        <v>154.73880095564698</v>
      </c>
      <c r="L61" s="248" t="s">
        <v>29</v>
      </c>
      <c r="M61" s="190">
        <v>267.24613266416031</v>
      </c>
      <c r="N61" s="257" t="s">
        <v>30</v>
      </c>
      <c r="O61" s="190">
        <v>6080.4522128328608</v>
      </c>
      <c r="P61" s="190">
        <v>373.50422724925119</v>
      </c>
      <c r="Q61" s="190">
        <v>1725.6537555916077</v>
      </c>
      <c r="R61" s="191" t="s">
        <v>43</v>
      </c>
      <c r="S61" s="192" t="s">
        <v>32</v>
      </c>
      <c r="T61" s="192" t="s">
        <v>33</v>
      </c>
      <c r="U61" s="193">
        <v>16</v>
      </c>
      <c r="V61" s="193">
        <v>8</v>
      </c>
      <c r="W61" s="193">
        <v>8</v>
      </c>
      <c r="X61" s="194" t="s">
        <v>34</v>
      </c>
      <c r="Y61" s="194">
        <v>50</v>
      </c>
      <c r="Z61" s="195">
        <v>21</v>
      </c>
      <c r="AA61" s="195">
        <v>7</v>
      </c>
      <c r="AB61" s="195">
        <v>18</v>
      </c>
      <c r="AC61" s="194" t="s">
        <v>35</v>
      </c>
      <c r="AD61" s="194">
        <v>50</v>
      </c>
      <c r="AE61" s="196">
        <v>18.5</v>
      </c>
      <c r="AF61" s="196">
        <v>7.5</v>
      </c>
      <c r="AG61" s="196">
        <v>13</v>
      </c>
    </row>
    <row r="62" spans="1:33" ht="23.5" customHeight="1">
      <c r="A62" s="186">
        <v>122</v>
      </c>
      <c r="B62" s="187">
        <v>59</v>
      </c>
      <c r="C62" s="227" t="s">
        <v>58</v>
      </c>
      <c r="D62" s="188">
        <v>804633</v>
      </c>
      <c r="E62" s="188">
        <f>VLOOKUP(D62,รายแปลง!E:G,3,FALSE)</f>
        <v>924128</v>
      </c>
      <c r="F62" s="189">
        <v>6.9249999999999998</v>
      </c>
      <c r="G62" s="248" t="s">
        <v>28</v>
      </c>
      <c r="H62" s="189">
        <v>7.5251200000000003</v>
      </c>
      <c r="I62" s="189">
        <v>2.5350106513373216</v>
      </c>
      <c r="J62" s="248" t="s">
        <v>29</v>
      </c>
      <c r="K62" s="190">
        <v>225.43948015143496</v>
      </c>
      <c r="L62" s="248" t="s">
        <v>29</v>
      </c>
      <c r="M62" s="190">
        <v>642.46174212905771</v>
      </c>
      <c r="N62" s="257" t="s">
        <v>30</v>
      </c>
      <c r="O62" s="190">
        <v>3355.889825929858</v>
      </c>
      <c r="P62" s="190">
        <v>322.23324827209797</v>
      </c>
      <c r="Q62" s="190">
        <v>1762.2219706096012</v>
      </c>
      <c r="R62" s="191" t="s">
        <v>43</v>
      </c>
      <c r="S62" s="192" t="s">
        <v>32</v>
      </c>
      <c r="T62" s="192" t="s">
        <v>33</v>
      </c>
      <c r="U62" s="193">
        <v>16</v>
      </c>
      <c r="V62" s="193">
        <v>8</v>
      </c>
      <c r="W62" s="193">
        <v>8</v>
      </c>
      <c r="X62" s="194" t="s">
        <v>34</v>
      </c>
      <c r="Y62" s="194">
        <v>50</v>
      </c>
      <c r="Z62" s="195">
        <v>21</v>
      </c>
      <c r="AA62" s="195">
        <v>7</v>
      </c>
      <c r="AB62" s="195">
        <v>18</v>
      </c>
      <c r="AC62" s="194" t="s">
        <v>35</v>
      </c>
      <c r="AD62" s="194">
        <v>50</v>
      </c>
      <c r="AE62" s="196">
        <v>18.5</v>
      </c>
      <c r="AF62" s="196">
        <v>7.5</v>
      </c>
      <c r="AG62" s="196">
        <v>13</v>
      </c>
    </row>
    <row r="63" spans="1:33" ht="23.5" customHeight="1">
      <c r="A63" s="186">
        <v>125</v>
      </c>
      <c r="B63" s="187">
        <v>59</v>
      </c>
      <c r="C63" s="227" t="s">
        <v>58</v>
      </c>
      <c r="D63" s="188">
        <v>804644</v>
      </c>
      <c r="E63" s="188">
        <f>VLOOKUP(D63,รายแปลง!E:G,3,FALSE)</f>
        <v>924120</v>
      </c>
      <c r="F63" s="189">
        <v>7.3000000000000007</v>
      </c>
      <c r="G63" s="248" t="s">
        <v>28</v>
      </c>
      <c r="H63" s="189">
        <v>8.3659599999999994</v>
      </c>
      <c r="I63" s="189">
        <v>2.2010624391796343</v>
      </c>
      <c r="J63" s="248" t="s">
        <v>28</v>
      </c>
      <c r="K63" s="190">
        <v>46.773839051703966</v>
      </c>
      <c r="L63" s="248" t="s">
        <v>29</v>
      </c>
      <c r="M63" s="190">
        <v>340.00279148575964</v>
      </c>
      <c r="N63" s="257" t="s">
        <v>30</v>
      </c>
      <c r="O63" s="190">
        <v>6670.0504004337454</v>
      </c>
      <c r="P63" s="190">
        <v>190.38892763463963</v>
      </c>
      <c r="Q63" s="190">
        <v>1749.8826168085293</v>
      </c>
      <c r="R63" s="191" t="s">
        <v>43</v>
      </c>
      <c r="S63" s="192" t="s">
        <v>32</v>
      </c>
      <c r="T63" s="192" t="s">
        <v>33</v>
      </c>
      <c r="U63" s="193">
        <v>16</v>
      </c>
      <c r="V63" s="193">
        <v>8</v>
      </c>
      <c r="W63" s="193">
        <v>8</v>
      </c>
      <c r="X63" s="194" t="s">
        <v>34</v>
      </c>
      <c r="Y63" s="194">
        <v>50</v>
      </c>
      <c r="Z63" s="195">
        <v>21</v>
      </c>
      <c r="AA63" s="195">
        <v>7</v>
      </c>
      <c r="AB63" s="195">
        <v>18</v>
      </c>
      <c r="AC63" s="194" t="s">
        <v>35</v>
      </c>
      <c r="AD63" s="194">
        <v>50</v>
      </c>
      <c r="AE63" s="196">
        <v>18.5</v>
      </c>
      <c r="AF63" s="196">
        <v>7.5</v>
      </c>
      <c r="AG63" s="196">
        <v>13</v>
      </c>
    </row>
    <row r="64" spans="1:33" ht="23.5" customHeight="1">
      <c r="A64" s="186">
        <v>128</v>
      </c>
      <c r="B64" s="187">
        <v>59</v>
      </c>
      <c r="C64" s="227" t="s">
        <v>53</v>
      </c>
      <c r="D64" s="188">
        <v>1211</v>
      </c>
      <c r="E64" s="188">
        <f>VLOOKUP(D64,รายแปลง!E:G,3,FALSE)</f>
        <v>907115</v>
      </c>
      <c r="F64" s="189">
        <v>7.67</v>
      </c>
      <c r="G64" s="248" t="s">
        <v>40</v>
      </c>
      <c r="H64" s="189">
        <v>4.8614800000000002</v>
      </c>
      <c r="I64" s="189">
        <v>3.4880097166948243</v>
      </c>
      <c r="J64" s="248" t="s">
        <v>29</v>
      </c>
      <c r="K64" s="190">
        <v>12.730779272690972</v>
      </c>
      <c r="L64" s="248" t="s">
        <v>41</v>
      </c>
      <c r="M64" s="190">
        <v>288.66035790410831</v>
      </c>
      <c r="N64" s="257" t="s">
        <v>30</v>
      </c>
      <c r="O64" s="190">
        <v>9841.9293184911148</v>
      </c>
      <c r="P64" s="190">
        <v>416.29548192773177</v>
      </c>
      <c r="Q64" s="190">
        <v>1852.2887293097137</v>
      </c>
      <c r="R64" s="191" t="s">
        <v>43</v>
      </c>
      <c r="S64" s="192" t="s">
        <v>43</v>
      </c>
      <c r="T64" s="192" t="s">
        <v>33</v>
      </c>
      <c r="U64" s="193">
        <v>16</v>
      </c>
      <c r="V64" s="193">
        <v>16</v>
      </c>
      <c r="W64" s="193">
        <v>8</v>
      </c>
      <c r="X64" s="194" t="s">
        <v>39</v>
      </c>
      <c r="Y64" s="194">
        <v>50</v>
      </c>
      <c r="Z64" s="195">
        <v>15</v>
      </c>
      <c r="AA64" s="195">
        <v>7</v>
      </c>
      <c r="AB64" s="195">
        <v>18</v>
      </c>
      <c r="AC64" s="194" t="s">
        <v>51</v>
      </c>
      <c r="AD64" s="194">
        <v>50</v>
      </c>
      <c r="AE64" s="196">
        <v>15.5</v>
      </c>
      <c r="AF64" s="196">
        <v>11.5</v>
      </c>
      <c r="AG64" s="196">
        <v>13</v>
      </c>
    </row>
    <row r="65" spans="1:33" ht="23.5" customHeight="1">
      <c r="A65" s="186">
        <v>129</v>
      </c>
      <c r="B65" s="187">
        <v>59</v>
      </c>
      <c r="C65" s="227" t="s">
        <v>53</v>
      </c>
      <c r="D65" s="188">
        <v>1212</v>
      </c>
      <c r="E65" s="188">
        <f>VLOOKUP(D65,รายแปลง!E:G,3,FALSE)</f>
        <v>907113</v>
      </c>
      <c r="F65" s="189">
        <v>7.8</v>
      </c>
      <c r="G65" s="248" t="s">
        <v>40</v>
      </c>
      <c r="H65" s="189">
        <v>5.4494799999999994</v>
      </c>
      <c r="I65" s="189">
        <v>3.2115667583647882</v>
      </c>
      <c r="J65" s="248" t="s">
        <v>29</v>
      </c>
      <c r="K65" s="190">
        <v>17.555605472281712</v>
      </c>
      <c r="L65" s="248" t="s">
        <v>41</v>
      </c>
      <c r="M65" s="190">
        <v>242.36474694589884</v>
      </c>
      <c r="N65" s="257" t="s">
        <v>30</v>
      </c>
      <c r="O65" s="190">
        <v>9056.3002680965146</v>
      </c>
      <c r="P65" s="190">
        <v>164.13721413721413</v>
      </c>
      <c r="Q65" s="190">
        <v>1938.7711864406779</v>
      </c>
      <c r="R65" s="191" t="s">
        <v>43</v>
      </c>
      <c r="S65" s="192" t="s">
        <v>42</v>
      </c>
      <c r="T65" s="192" t="s">
        <v>33</v>
      </c>
      <c r="U65" s="193">
        <v>16</v>
      </c>
      <c r="V65" s="193">
        <v>16</v>
      </c>
      <c r="W65" s="193">
        <v>8</v>
      </c>
      <c r="X65" s="194" t="s">
        <v>39</v>
      </c>
      <c r="Y65" s="194">
        <v>50</v>
      </c>
      <c r="Z65" s="195">
        <v>15</v>
      </c>
      <c r="AA65" s="195">
        <v>7</v>
      </c>
      <c r="AB65" s="195">
        <v>18</v>
      </c>
      <c r="AC65" s="194" t="s">
        <v>51</v>
      </c>
      <c r="AD65" s="194">
        <v>50</v>
      </c>
      <c r="AE65" s="196">
        <v>15.5</v>
      </c>
      <c r="AF65" s="196">
        <v>11.5</v>
      </c>
      <c r="AG65" s="196">
        <v>13</v>
      </c>
    </row>
    <row r="66" spans="1:33" ht="23.5" customHeight="1">
      <c r="A66" s="186">
        <v>132</v>
      </c>
      <c r="B66" s="187">
        <v>59</v>
      </c>
      <c r="C66" s="227" t="s">
        <v>53</v>
      </c>
      <c r="D66" s="188">
        <v>1229</v>
      </c>
      <c r="E66" s="188">
        <f>VLOOKUP(D66,รายแปลง!E:G,3,FALSE)</f>
        <v>907124</v>
      </c>
      <c r="F66" s="189">
        <v>7.75</v>
      </c>
      <c r="G66" s="248" t="s">
        <v>40</v>
      </c>
      <c r="H66" s="189">
        <v>4.7086000000000006</v>
      </c>
      <c r="I66" s="189">
        <v>2.2921865964209243</v>
      </c>
      <c r="J66" s="248" t="s">
        <v>28</v>
      </c>
      <c r="K66" s="190">
        <v>32.02498538685127</v>
      </c>
      <c r="L66" s="248" t="s">
        <v>28</v>
      </c>
      <c r="M66" s="190">
        <v>226.62366987594322</v>
      </c>
      <c r="N66" s="257" t="s">
        <v>30</v>
      </c>
      <c r="O66" s="190">
        <v>6631.730740450932</v>
      </c>
      <c r="P66" s="190">
        <v>75.854396907028487</v>
      </c>
      <c r="Q66" s="190">
        <v>1792.8016786959697</v>
      </c>
      <c r="R66" s="191" t="s">
        <v>43</v>
      </c>
      <c r="S66" s="192" t="s">
        <v>32</v>
      </c>
      <c r="T66" s="192" t="s">
        <v>33</v>
      </c>
      <c r="U66" s="193">
        <v>16</v>
      </c>
      <c r="V66" s="193">
        <v>8</v>
      </c>
      <c r="W66" s="193">
        <v>8</v>
      </c>
      <c r="X66" s="194" t="s">
        <v>34</v>
      </c>
      <c r="Y66" s="194">
        <v>50</v>
      </c>
      <c r="Z66" s="195">
        <v>21</v>
      </c>
      <c r="AA66" s="195">
        <v>7</v>
      </c>
      <c r="AB66" s="195">
        <v>18</v>
      </c>
      <c r="AC66" s="194" t="s">
        <v>35</v>
      </c>
      <c r="AD66" s="194">
        <v>50</v>
      </c>
      <c r="AE66" s="196">
        <v>18.5</v>
      </c>
      <c r="AF66" s="196">
        <v>7.5</v>
      </c>
      <c r="AG66" s="196">
        <v>13</v>
      </c>
    </row>
    <row r="67" spans="1:33" ht="23.5" customHeight="1">
      <c r="A67" s="186">
        <v>139</v>
      </c>
      <c r="B67" s="187">
        <v>59</v>
      </c>
      <c r="C67" s="227" t="s">
        <v>48</v>
      </c>
      <c r="D67" s="197">
        <v>617</v>
      </c>
      <c r="E67" s="188">
        <f>VLOOKUP(D67,รายแปลง!E:G,3,FALSE)</f>
        <v>902111</v>
      </c>
      <c r="F67" s="197">
        <v>7.57</v>
      </c>
      <c r="G67" s="232" t="s">
        <v>40</v>
      </c>
      <c r="H67" s="199">
        <v>0.46</v>
      </c>
      <c r="I67" s="199">
        <v>0.53500000000000003</v>
      </c>
      <c r="J67" s="228" t="s">
        <v>37</v>
      </c>
      <c r="K67" s="199">
        <v>21.33</v>
      </c>
      <c r="L67" s="232" t="s">
        <v>28</v>
      </c>
      <c r="M67" s="199">
        <v>49.89</v>
      </c>
      <c r="N67" s="232" t="s">
        <v>41</v>
      </c>
      <c r="O67" s="200"/>
      <c r="P67" s="200"/>
      <c r="Q67" s="199">
        <v>211.22</v>
      </c>
      <c r="R67" s="191" t="s">
        <v>38</v>
      </c>
      <c r="S67" s="192" t="s">
        <v>42</v>
      </c>
      <c r="T67" s="192" t="s">
        <v>31</v>
      </c>
      <c r="U67" s="193">
        <v>16</v>
      </c>
      <c r="V67" s="193">
        <v>16</v>
      </c>
      <c r="W67" s="193">
        <v>8</v>
      </c>
      <c r="X67" s="194" t="s">
        <v>39</v>
      </c>
      <c r="Y67" s="194">
        <v>50</v>
      </c>
      <c r="Z67" s="195">
        <v>20</v>
      </c>
      <c r="AA67" s="195">
        <v>8</v>
      </c>
      <c r="AB67" s="195">
        <v>20</v>
      </c>
      <c r="AC67" s="194" t="s">
        <v>45</v>
      </c>
      <c r="AD67" s="194">
        <v>50</v>
      </c>
      <c r="AE67" s="196">
        <v>18</v>
      </c>
      <c r="AF67" s="196">
        <v>12</v>
      </c>
      <c r="AG67" s="196">
        <v>14</v>
      </c>
    </row>
    <row r="68" spans="1:33" ht="23.5" customHeight="1">
      <c r="A68" s="186">
        <v>140</v>
      </c>
      <c r="B68" s="187">
        <v>59</v>
      </c>
      <c r="C68" s="227" t="s">
        <v>48</v>
      </c>
      <c r="D68" s="197">
        <v>620</v>
      </c>
      <c r="E68" s="188">
        <f>VLOOKUP(D68,รายแปลง!E:G,3,FALSE)</f>
        <v>902106</v>
      </c>
      <c r="F68" s="197">
        <v>7.21</v>
      </c>
      <c r="G68" s="232" t="s">
        <v>28</v>
      </c>
      <c r="H68" s="199">
        <v>0.31</v>
      </c>
      <c r="I68" s="199">
        <v>0.79900000000000004</v>
      </c>
      <c r="J68" s="228" t="s">
        <v>37</v>
      </c>
      <c r="K68" s="199">
        <v>69.63</v>
      </c>
      <c r="L68" s="232" t="s">
        <v>29</v>
      </c>
      <c r="M68" s="199">
        <v>91.23</v>
      </c>
      <c r="N68" s="232" t="s">
        <v>29</v>
      </c>
      <c r="O68" s="200"/>
      <c r="P68" s="200"/>
      <c r="Q68" s="199"/>
      <c r="R68" s="191" t="s">
        <v>38</v>
      </c>
      <c r="S68" s="192" t="s">
        <v>32</v>
      </c>
      <c r="T68" s="192" t="s">
        <v>33</v>
      </c>
      <c r="U68" s="193">
        <v>16</v>
      </c>
      <c r="V68" s="193">
        <v>16</v>
      </c>
      <c r="W68" s="193">
        <v>8</v>
      </c>
      <c r="X68" s="194" t="s">
        <v>39</v>
      </c>
      <c r="Y68" s="194">
        <v>50</v>
      </c>
      <c r="Z68" s="195">
        <v>21</v>
      </c>
      <c r="AA68" s="195">
        <v>7</v>
      </c>
      <c r="AB68" s="195">
        <v>18</v>
      </c>
      <c r="AC68" s="194" t="s">
        <v>35</v>
      </c>
      <c r="AD68" s="194">
        <v>50</v>
      </c>
      <c r="AE68" s="196">
        <v>18.5</v>
      </c>
      <c r="AF68" s="196">
        <v>11.5</v>
      </c>
      <c r="AG68" s="196">
        <v>13</v>
      </c>
    </row>
    <row r="69" spans="1:33" ht="23.5" customHeight="1">
      <c r="A69" s="186">
        <v>142</v>
      </c>
      <c r="B69" s="187">
        <v>59</v>
      </c>
      <c r="C69" s="227" t="s">
        <v>48</v>
      </c>
      <c r="D69" s="197">
        <v>634</v>
      </c>
      <c r="E69" s="188">
        <f>VLOOKUP(D69,รายแปลง!E:G,3,FALSE)</f>
        <v>902101</v>
      </c>
      <c r="F69" s="197">
        <v>7.97</v>
      </c>
      <c r="G69" s="232" t="s">
        <v>40</v>
      </c>
      <c r="H69" s="199">
        <v>0.14000000000000001</v>
      </c>
      <c r="I69" s="199">
        <v>0.77800000000000002</v>
      </c>
      <c r="J69" s="228" t="s">
        <v>37</v>
      </c>
      <c r="K69" s="199">
        <v>103.36</v>
      </c>
      <c r="L69" s="232" t="s">
        <v>29</v>
      </c>
      <c r="M69" s="199">
        <v>116.3</v>
      </c>
      <c r="N69" s="232" t="s">
        <v>29</v>
      </c>
      <c r="O69" s="200"/>
      <c r="P69" s="200"/>
      <c r="Q69" s="199">
        <v>267.95</v>
      </c>
      <c r="R69" s="191" t="s">
        <v>38</v>
      </c>
      <c r="S69" s="192" t="s">
        <v>32</v>
      </c>
      <c r="T69" s="192" t="s">
        <v>33</v>
      </c>
      <c r="U69" s="193">
        <v>16</v>
      </c>
      <c r="V69" s="193">
        <v>16</v>
      </c>
      <c r="W69" s="193">
        <v>8</v>
      </c>
      <c r="X69" s="194" t="s">
        <v>39</v>
      </c>
      <c r="Y69" s="194">
        <v>50</v>
      </c>
      <c r="Z69" s="195">
        <v>21</v>
      </c>
      <c r="AA69" s="195">
        <v>7</v>
      </c>
      <c r="AB69" s="195">
        <v>18</v>
      </c>
      <c r="AC69" s="194" t="s">
        <v>35</v>
      </c>
      <c r="AD69" s="194">
        <v>50</v>
      </c>
      <c r="AE69" s="196">
        <v>18.5</v>
      </c>
      <c r="AF69" s="196">
        <v>11.5</v>
      </c>
      <c r="AG69" s="196">
        <v>13</v>
      </c>
    </row>
    <row r="70" spans="1:33" ht="23.5" customHeight="1">
      <c r="A70" s="186">
        <v>148</v>
      </c>
      <c r="B70" s="187">
        <v>59</v>
      </c>
      <c r="C70" s="227" t="s">
        <v>48</v>
      </c>
      <c r="D70" s="197">
        <v>711</v>
      </c>
      <c r="E70" s="188">
        <f>VLOOKUP(D70,รายแปลง!E:G,3,FALSE)</f>
        <v>902136</v>
      </c>
      <c r="F70" s="197">
        <v>7.83</v>
      </c>
      <c r="G70" s="232" t="s">
        <v>40</v>
      </c>
      <c r="H70" s="199">
        <v>0.19</v>
      </c>
      <c r="I70" s="199">
        <v>0.63400000000000001</v>
      </c>
      <c r="J70" s="228" t="s">
        <v>37</v>
      </c>
      <c r="K70" s="199">
        <v>108.32</v>
      </c>
      <c r="L70" s="232" t="s">
        <v>29</v>
      </c>
      <c r="M70" s="199">
        <v>39.25</v>
      </c>
      <c r="N70" s="232" t="s">
        <v>41</v>
      </c>
      <c r="O70" s="200"/>
      <c r="P70" s="200"/>
      <c r="Q70" s="199">
        <v>133.63</v>
      </c>
      <c r="R70" s="191" t="s">
        <v>38</v>
      </c>
      <c r="S70" s="192" t="s">
        <v>32</v>
      </c>
      <c r="T70" s="192" t="s">
        <v>31</v>
      </c>
      <c r="U70" s="193">
        <v>16</v>
      </c>
      <c r="V70" s="193">
        <v>8</v>
      </c>
      <c r="W70" s="193">
        <v>8</v>
      </c>
      <c r="X70" s="194" t="s">
        <v>34</v>
      </c>
      <c r="Y70" s="194">
        <v>50</v>
      </c>
      <c r="Z70" s="195">
        <v>20</v>
      </c>
      <c r="AA70" s="195">
        <v>8</v>
      </c>
      <c r="AB70" s="195">
        <v>20</v>
      </c>
      <c r="AC70" s="194" t="s">
        <v>45</v>
      </c>
      <c r="AD70" s="194">
        <v>50</v>
      </c>
      <c r="AE70" s="196">
        <v>18</v>
      </c>
      <c r="AF70" s="196">
        <v>8</v>
      </c>
      <c r="AG70" s="196">
        <v>14</v>
      </c>
    </row>
    <row r="71" spans="1:33" ht="23.5" customHeight="1">
      <c r="A71" s="186">
        <v>149</v>
      </c>
      <c r="B71" s="187">
        <v>59</v>
      </c>
      <c r="C71" s="227" t="s">
        <v>48</v>
      </c>
      <c r="D71" s="197">
        <v>714</v>
      </c>
      <c r="E71" s="188">
        <f>VLOOKUP(D71,รายแปลง!E:G,3,FALSE)</f>
        <v>902123</v>
      </c>
      <c r="F71" s="197">
        <v>7.81</v>
      </c>
      <c r="G71" s="232" t="s">
        <v>40</v>
      </c>
      <c r="H71" s="199">
        <v>0.39</v>
      </c>
      <c r="I71" s="199">
        <v>1.6160000000000001</v>
      </c>
      <c r="J71" s="228" t="s">
        <v>28</v>
      </c>
      <c r="K71" s="199">
        <v>444.22</v>
      </c>
      <c r="L71" s="232" t="s">
        <v>29</v>
      </c>
      <c r="M71" s="199">
        <v>127.23</v>
      </c>
      <c r="N71" s="232" t="s">
        <v>30</v>
      </c>
      <c r="O71" s="200"/>
      <c r="P71" s="200"/>
      <c r="Q71" s="199">
        <v>348.48</v>
      </c>
      <c r="R71" s="191" t="s">
        <v>31</v>
      </c>
      <c r="S71" s="192" t="s">
        <v>32</v>
      </c>
      <c r="T71" s="192" t="s">
        <v>33</v>
      </c>
      <c r="U71" s="193">
        <v>16</v>
      </c>
      <c r="V71" s="193">
        <v>8</v>
      </c>
      <c r="W71" s="193">
        <v>8</v>
      </c>
      <c r="X71" s="194" t="s">
        <v>34</v>
      </c>
      <c r="Y71" s="194">
        <v>50</v>
      </c>
      <c r="Z71" s="195">
        <v>21</v>
      </c>
      <c r="AA71" s="195">
        <v>7</v>
      </c>
      <c r="AB71" s="195">
        <v>18</v>
      </c>
      <c r="AC71" s="194" t="s">
        <v>35</v>
      </c>
      <c r="AD71" s="194">
        <v>50</v>
      </c>
      <c r="AE71" s="196">
        <v>18.5</v>
      </c>
      <c r="AF71" s="196">
        <v>7.5</v>
      </c>
      <c r="AG71" s="196">
        <v>13</v>
      </c>
    </row>
    <row r="72" spans="1:33" ht="23.5" customHeight="1">
      <c r="A72" s="186">
        <v>150</v>
      </c>
      <c r="B72" s="187">
        <v>59</v>
      </c>
      <c r="C72" s="227" t="s">
        <v>48</v>
      </c>
      <c r="D72" s="197">
        <v>715</v>
      </c>
      <c r="E72" s="188">
        <f>VLOOKUP(D72,รายแปลง!E:G,3,FALSE)</f>
        <v>902124</v>
      </c>
      <c r="F72" s="197">
        <v>7.07</v>
      </c>
      <c r="G72" s="232" t="s">
        <v>28</v>
      </c>
      <c r="H72" s="199">
        <v>0.26</v>
      </c>
      <c r="I72" s="199">
        <v>1.232</v>
      </c>
      <c r="J72" s="228" t="s">
        <v>41</v>
      </c>
      <c r="K72" s="199">
        <v>336.7</v>
      </c>
      <c r="L72" s="232" t="s">
        <v>29</v>
      </c>
      <c r="M72" s="199">
        <v>76.41</v>
      </c>
      <c r="N72" s="232" t="s">
        <v>28</v>
      </c>
      <c r="O72" s="200"/>
      <c r="P72" s="200"/>
      <c r="Q72" s="199">
        <v>225.69</v>
      </c>
      <c r="R72" s="191" t="s">
        <v>31</v>
      </c>
      <c r="S72" s="192" t="s">
        <v>32</v>
      </c>
      <c r="T72" s="192" t="s">
        <v>43</v>
      </c>
      <c r="U72" s="193">
        <v>16</v>
      </c>
      <c r="V72" s="193">
        <v>16</v>
      </c>
      <c r="W72" s="193">
        <v>8</v>
      </c>
      <c r="X72" s="194" t="s">
        <v>39</v>
      </c>
      <c r="Y72" s="194">
        <v>50</v>
      </c>
      <c r="Z72" s="195">
        <v>15</v>
      </c>
      <c r="AA72" s="195">
        <v>7</v>
      </c>
      <c r="AB72" s="195">
        <v>18</v>
      </c>
      <c r="AC72" s="194" t="s">
        <v>51</v>
      </c>
      <c r="AD72" s="194">
        <v>50</v>
      </c>
      <c r="AE72" s="196">
        <v>15.5</v>
      </c>
      <c r="AF72" s="196">
        <v>11.5</v>
      </c>
      <c r="AG72" s="196">
        <v>13</v>
      </c>
    </row>
    <row r="73" spans="1:33" ht="23.5" customHeight="1">
      <c r="A73" s="186">
        <v>151</v>
      </c>
      <c r="B73" s="187">
        <v>59</v>
      </c>
      <c r="C73" s="227" t="s">
        <v>48</v>
      </c>
      <c r="D73" s="197">
        <v>718</v>
      </c>
      <c r="E73" s="188">
        <f>VLOOKUP(D73,รายแปลง!E:G,3,FALSE)</f>
        <v>902116</v>
      </c>
      <c r="F73" s="197">
        <v>8.2100000000000009</v>
      </c>
      <c r="G73" s="232" t="s">
        <v>40</v>
      </c>
      <c r="H73" s="199">
        <v>0.33</v>
      </c>
      <c r="I73" s="199">
        <v>0.68400000000000005</v>
      </c>
      <c r="J73" s="228" t="s">
        <v>37</v>
      </c>
      <c r="K73" s="199">
        <v>70.319999999999993</v>
      </c>
      <c r="L73" s="232" t="s">
        <v>29</v>
      </c>
      <c r="M73" s="199">
        <v>51.49</v>
      </c>
      <c r="N73" s="232" t="s">
        <v>41</v>
      </c>
      <c r="O73" s="200"/>
      <c r="P73" s="200"/>
      <c r="Q73" s="199">
        <v>450.95</v>
      </c>
      <c r="R73" s="191" t="s">
        <v>38</v>
      </c>
      <c r="S73" s="192" t="s">
        <v>32</v>
      </c>
      <c r="T73" s="192" t="s">
        <v>31</v>
      </c>
      <c r="U73" s="193">
        <v>16</v>
      </c>
      <c r="V73" s="193">
        <v>8</v>
      </c>
      <c r="W73" s="193">
        <v>8</v>
      </c>
      <c r="X73" s="194" t="s">
        <v>34</v>
      </c>
      <c r="Y73" s="194">
        <v>50</v>
      </c>
      <c r="Z73" s="195">
        <v>20</v>
      </c>
      <c r="AA73" s="195">
        <v>8</v>
      </c>
      <c r="AB73" s="195">
        <v>20</v>
      </c>
      <c r="AC73" s="194" t="s">
        <v>45</v>
      </c>
      <c r="AD73" s="194">
        <v>50</v>
      </c>
      <c r="AE73" s="196">
        <v>18</v>
      </c>
      <c r="AF73" s="196">
        <v>8</v>
      </c>
      <c r="AG73" s="196">
        <v>14</v>
      </c>
    </row>
    <row r="74" spans="1:33" ht="23.5" customHeight="1">
      <c r="A74" s="186">
        <v>152</v>
      </c>
      <c r="B74" s="187">
        <v>59</v>
      </c>
      <c r="C74" s="227" t="s">
        <v>48</v>
      </c>
      <c r="D74" s="197">
        <v>719</v>
      </c>
      <c r="E74" s="188">
        <f>VLOOKUP(D74,รายแปลง!E:G,3,FALSE)</f>
        <v>902117</v>
      </c>
      <c r="F74" s="197">
        <v>6.84</v>
      </c>
      <c r="G74" s="232" t="s">
        <v>28</v>
      </c>
      <c r="H74" s="199">
        <v>7.0999999999999994E-2</v>
      </c>
      <c r="I74" s="199">
        <v>0.69599999999999995</v>
      </c>
      <c r="J74" s="228" t="s">
        <v>37</v>
      </c>
      <c r="K74" s="199">
        <v>75.86</v>
      </c>
      <c r="L74" s="232" t="s">
        <v>29</v>
      </c>
      <c r="M74" s="199">
        <v>64.11</v>
      </c>
      <c r="N74" s="232" t="s">
        <v>28</v>
      </c>
      <c r="O74" s="200"/>
      <c r="P74" s="200"/>
      <c r="Q74" s="199">
        <v>133.37</v>
      </c>
      <c r="R74" s="191" t="s">
        <v>38</v>
      </c>
      <c r="S74" s="192" t="s">
        <v>32</v>
      </c>
      <c r="T74" s="192" t="s">
        <v>43</v>
      </c>
      <c r="U74" s="193">
        <v>16</v>
      </c>
      <c r="V74" s="193">
        <v>16</v>
      </c>
      <c r="W74" s="193">
        <v>8</v>
      </c>
      <c r="X74" s="194" t="s">
        <v>39</v>
      </c>
      <c r="Y74" s="194">
        <v>50</v>
      </c>
      <c r="Z74" s="195">
        <v>21</v>
      </c>
      <c r="AA74" s="195">
        <v>7</v>
      </c>
      <c r="AB74" s="195">
        <v>18</v>
      </c>
      <c r="AC74" s="194" t="s">
        <v>35</v>
      </c>
      <c r="AD74" s="194">
        <v>50</v>
      </c>
      <c r="AE74" s="196">
        <v>18.5</v>
      </c>
      <c r="AF74" s="196">
        <v>11.5</v>
      </c>
      <c r="AG74" s="196">
        <v>13</v>
      </c>
    </row>
    <row r="75" spans="1:33" ht="23.5" customHeight="1">
      <c r="A75" s="186">
        <v>153</v>
      </c>
      <c r="B75" s="187">
        <v>59</v>
      </c>
      <c r="C75" s="227" t="s">
        <v>48</v>
      </c>
      <c r="D75" s="197">
        <v>720</v>
      </c>
      <c r="E75" s="188">
        <f>VLOOKUP(D75,รายแปลง!E:G,3,FALSE)</f>
        <v>902118</v>
      </c>
      <c r="F75" s="197">
        <v>7.3</v>
      </c>
      <c r="G75" s="232" t="s">
        <v>28</v>
      </c>
      <c r="H75" s="199">
        <v>0.18</v>
      </c>
      <c r="I75" s="199">
        <v>1.101</v>
      </c>
      <c r="J75" s="228" t="s">
        <v>41</v>
      </c>
      <c r="K75" s="199">
        <v>180.44</v>
      </c>
      <c r="L75" s="232" t="s">
        <v>29</v>
      </c>
      <c r="M75" s="199">
        <v>126.69</v>
      </c>
      <c r="N75" s="232" t="s">
        <v>30</v>
      </c>
      <c r="O75" s="200"/>
      <c r="P75" s="200"/>
      <c r="Q75" s="199">
        <v>253.21</v>
      </c>
      <c r="R75" s="191" t="s">
        <v>31</v>
      </c>
      <c r="S75" s="192" t="s">
        <v>32</v>
      </c>
      <c r="T75" s="192" t="s">
        <v>33</v>
      </c>
      <c r="U75" s="193">
        <v>16</v>
      </c>
      <c r="V75" s="193">
        <v>8</v>
      </c>
      <c r="W75" s="193">
        <v>8</v>
      </c>
      <c r="X75" s="194" t="s">
        <v>34</v>
      </c>
      <c r="Y75" s="194">
        <v>50</v>
      </c>
      <c r="Z75" s="195">
        <v>21</v>
      </c>
      <c r="AA75" s="195">
        <v>7</v>
      </c>
      <c r="AB75" s="195">
        <v>18</v>
      </c>
      <c r="AC75" s="194" t="s">
        <v>35</v>
      </c>
      <c r="AD75" s="194">
        <v>50</v>
      </c>
      <c r="AE75" s="196">
        <v>18.5</v>
      </c>
      <c r="AF75" s="196">
        <v>7.5</v>
      </c>
      <c r="AG75" s="196">
        <v>13</v>
      </c>
    </row>
    <row r="76" spans="1:33" ht="23.5" customHeight="1">
      <c r="A76" s="186">
        <v>154</v>
      </c>
      <c r="B76" s="187">
        <v>59</v>
      </c>
      <c r="C76" s="227" t="s">
        <v>48</v>
      </c>
      <c r="D76" s="197">
        <v>732</v>
      </c>
      <c r="E76" s="188">
        <f>VLOOKUP(D76,รายแปลง!E:G,3,FALSE)</f>
        <v>902132</v>
      </c>
      <c r="F76" s="197">
        <v>7.03</v>
      </c>
      <c r="G76" s="232" t="s">
        <v>28</v>
      </c>
      <c r="H76" s="199">
        <v>0.23</v>
      </c>
      <c r="I76" s="199">
        <v>0.58499999999999996</v>
      </c>
      <c r="J76" s="228" t="s">
        <v>37</v>
      </c>
      <c r="K76" s="199">
        <v>30.11</v>
      </c>
      <c r="L76" s="232" t="s">
        <v>28</v>
      </c>
      <c r="M76" s="199">
        <v>64.5</v>
      </c>
      <c r="N76" s="232" t="s">
        <v>28</v>
      </c>
      <c r="O76" s="200"/>
      <c r="P76" s="200"/>
      <c r="Q76" s="199">
        <v>187.52</v>
      </c>
      <c r="R76" s="191" t="s">
        <v>38</v>
      </c>
      <c r="S76" s="192" t="s">
        <v>32</v>
      </c>
      <c r="T76" s="192" t="s">
        <v>43</v>
      </c>
      <c r="U76" s="193">
        <v>16</v>
      </c>
      <c r="V76" s="193">
        <v>16</v>
      </c>
      <c r="W76" s="193">
        <v>8</v>
      </c>
      <c r="X76" s="194" t="s">
        <v>39</v>
      </c>
      <c r="Y76" s="194">
        <v>50</v>
      </c>
      <c r="Z76" s="195">
        <v>21</v>
      </c>
      <c r="AA76" s="195">
        <v>7</v>
      </c>
      <c r="AB76" s="195">
        <v>18</v>
      </c>
      <c r="AC76" s="194" t="s">
        <v>35</v>
      </c>
      <c r="AD76" s="194">
        <v>50</v>
      </c>
      <c r="AE76" s="196">
        <v>18.5</v>
      </c>
      <c r="AF76" s="196">
        <v>11.5</v>
      </c>
      <c r="AG76" s="196">
        <v>13</v>
      </c>
    </row>
    <row r="77" spans="1:33" ht="23.5" customHeight="1">
      <c r="A77" s="186">
        <v>155</v>
      </c>
      <c r="B77" s="187">
        <v>59</v>
      </c>
      <c r="C77" s="227" t="s">
        <v>48</v>
      </c>
      <c r="D77" s="197">
        <v>733</v>
      </c>
      <c r="E77" s="188">
        <f>VLOOKUP(D77,รายแปลง!E:G,3,FALSE)</f>
        <v>902133</v>
      </c>
      <c r="F77" s="197">
        <v>8</v>
      </c>
      <c r="G77" s="232" t="s">
        <v>40</v>
      </c>
      <c r="H77" s="199">
        <v>0.25</v>
      </c>
      <c r="I77" s="199">
        <v>0.44600000000000001</v>
      </c>
      <c r="J77" s="228" t="s">
        <v>37</v>
      </c>
      <c r="K77" s="199">
        <v>35.69</v>
      </c>
      <c r="L77" s="232" t="s">
        <v>28</v>
      </c>
      <c r="M77" s="199">
        <v>241.46</v>
      </c>
      <c r="N77" s="232" t="s">
        <v>30</v>
      </c>
      <c r="O77" s="200"/>
      <c r="P77" s="200"/>
      <c r="Q77" s="199">
        <v>471.99</v>
      </c>
      <c r="R77" s="191" t="s">
        <v>38</v>
      </c>
      <c r="S77" s="192" t="s">
        <v>32</v>
      </c>
      <c r="T77" s="192" t="s">
        <v>33</v>
      </c>
      <c r="U77" s="193">
        <v>16</v>
      </c>
      <c r="V77" s="193">
        <v>16</v>
      </c>
      <c r="W77" s="193">
        <v>8</v>
      </c>
      <c r="X77" s="194" t="s">
        <v>39</v>
      </c>
      <c r="Y77" s="194">
        <v>50</v>
      </c>
      <c r="Z77" s="195">
        <v>21</v>
      </c>
      <c r="AA77" s="195">
        <v>7</v>
      </c>
      <c r="AB77" s="195">
        <v>18</v>
      </c>
      <c r="AC77" s="194" t="s">
        <v>35</v>
      </c>
      <c r="AD77" s="194">
        <v>50</v>
      </c>
      <c r="AE77" s="196">
        <v>18.5</v>
      </c>
      <c r="AF77" s="196">
        <v>11.5</v>
      </c>
      <c r="AG77" s="196">
        <v>13</v>
      </c>
    </row>
    <row r="78" spans="1:33" ht="23.5" customHeight="1">
      <c r="A78" s="186">
        <v>156</v>
      </c>
      <c r="B78" s="187">
        <v>59</v>
      </c>
      <c r="C78" s="227" t="s">
        <v>48</v>
      </c>
      <c r="D78" s="197">
        <v>734</v>
      </c>
      <c r="E78" s="188">
        <f>VLOOKUP(D78,รายแปลง!E:G,3,FALSE)</f>
        <v>902134</v>
      </c>
      <c r="F78" s="197">
        <v>8.16</v>
      </c>
      <c r="G78" s="232" t="s">
        <v>40</v>
      </c>
      <c r="H78" s="199">
        <v>0.11</v>
      </c>
      <c r="I78" s="199">
        <v>0.995</v>
      </c>
      <c r="J78" s="228" t="s">
        <v>37</v>
      </c>
      <c r="K78" s="199">
        <v>90.68</v>
      </c>
      <c r="L78" s="232" t="s">
        <v>29</v>
      </c>
      <c r="M78" s="199">
        <v>76.77</v>
      </c>
      <c r="N78" s="232" t="s">
        <v>28</v>
      </c>
      <c r="O78" s="200"/>
      <c r="P78" s="200"/>
      <c r="Q78" s="199">
        <v>93.85</v>
      </c>
      <c r="R78" s="191" t="s">
        <v>38</v>
      </c>
      <c r="S78" s="192" t="s">
        <v>32</v>
      </c>
      <c r="T78" s="192" t="s">
        <v>43</v>
      </c>
      <c r="U78" s="193">
        <v>16</v>
      </c>
      <c r="V78" s="193">
        <v>16</v>
      </c>
      <c r="W78" s="193">
        <v>8</v>
      </c>
      <c r="X78" s="194" t="s">
        <v>39</v>
      </c>
      <c r="Y78" s="194">
        <v>50</v>
      </c>
      <c r="Z78" s="195">
        <v>21</v>
      </c>
      <c r="AA78" s="195">
        <v>7</v>
      </c>
      <c r="AB78" s="195">
        <v>18</v>
      </c>
      <c r="AC78" s="194" t="s">
        <v>35</v>
      </c>
      <c r="AD78" s="194">
        <v>50</v>
      </c>
      <c r="AE78" s="196">
        <v>18.5</v>
      </c>
      <c r="AF78" s="196">
        <v>11.5</v>
      </c>
      <c r="AG78" s="196">
        <v>13</v>
      </c>
    </row>
    <row r="79" spans="1:33" ht="23.5" customHeight="1">
      <c r="A79" s="186">
        <v>157</v>
      </c>
      <c r="B79" s="187">
        <v>59</v>
      </c>
      <c r="C79" s="227" t="s">
        <v>48</v>
      </c>
      <c r="D79" s="197">
        <v>735</v>
      </c>
      <c r="E79" s="188">
        <f>VLOOKUP(D79,รายแปลง!E:G,3,FALSE)</f>
        <v>902135</v>
      </c>
      <c r="F79" s="197">
        <v>8.73</v>
      </c>
      <c r="G79" s="232" t="s">
        <v>36</v>
      </c>
      <c r="H79" s="199">
        <v>0.25</v>
      </c>
      <c r="I79" s="199">
        <v>0.78200000000000003</v>
      </c>
      <c r="J79" s="228" t="s">
        <v>37</v>
      </c>
      <c r="K79" s="199">
        <v>174.46</v>
      </c>
      <c r="L79" s="232" t="s">
        <v>29</v>
      </c>
      <c r="M79" s="199">
        <v>176.96</v>
      </c>
      <c r="N79" s="232" t="s">
        <v>30</v>
      </c>
      <c r="O79" s="200"/>
      <c r="P79" s="200"/>
      <c r="Q79" s="199">
        <v>601.25</v>
      </c>
      <c r="R79" s="191" t="s">
        <v>38</v>
      </c>
      <c r="S79" s="192" t="s">
        <v>32</v>
      </c>
      <c r="T79" s="192" t="s">
        <v>33</v>
      </c>
      <c r="U79" s="193">
        <v>16</v>
      </c>
      <c r="V79" s="193">
        <v>16</v>
      </c>
      <c r="W79" s="193">
        <v>8</v>
      </c>
      <c r="X79" s="194" t="s">
        <v>39</v>
      </c>
      <c r="Y79" s="194">
        <v>50</v>
      </c>
      <c r="Z79" s="195">
        <v>21</v>
      </c>
      <c r="AA79" s="195">
        <v>7</v>
      </c>
      <c r="AB79" s="195">
        <v>18</v>
      </c>
      <c r="AC79" s="194" t="s">
        <v>35</v>
      </c>
      <c r="AD79" s="194">
        <v>50</v>
      </c>
      <c r="AE79" s="196">
        <v>18.5</v>
      </c>
      <c r="AF79" s="196">
        <v>11.5</v>
      </c>
      <c r="AG79" s="196">
        <v>13</v>
      </c>
    </row>
    <row r="80" spans="1:33" ht="23.5" customHeight="1">
      <c r="A80" s="186">
        <v>158</v>
      </c>
      <c r="B80" s="187">
        <v>59</v>
      </c>
      <c r="C80" s="227" t="s">
        <v>52</v>
      </c>
      <c r="D80" s="197">
        <v>723</v>
      </c>
      <c r="E80" s="188">
        <f>VLOOKUP(D80,รายแปลง!E:G,3,FALSE)</f>
        <v>906148</v>
      </c>
      <c r="F80" s="197">
        <v>8.0299999999999994</v>
      </c>
      <c r="G80" s="232" t="s">
        <v>40</v>
      </c>
      <c r="H80" s="199">
        <v>0.14000000000000001</v>
      </c>
      <c r="I80" s="199">
        <v>0.77300000000000002</v>
      </c>
      <c r="J80" s="228" t="s">
        <v>37</v>
      </c>
      <c r="K80" s="199">
        <v>43.13</v>
      </c>
      <c r="L80" s="232" t="s">
        <v>29</v>
      </c>
      <c r="M80" s="199">
        <v>46.55</v>
      </c>
      <c r="N80" s="232" t="s">
        <v>41</v>
      </c>
      <c r="O80" s="200"/>
      <c r="P80" s="200"/>
      <c r="Q80" s="199">
        <v>123.39</v>
      </c>
      <c r="R80" s="191" t="s">
        <v>38</v>
      </c>
      <c r="S80" s="192" t="s">
        <v>32</v>
      </c>
      <c r="T80" s="192" t="s">
        <v>31</v>
      </c>
      <c r="U80" s="193">
        <v>16</v>
      </c>
      <c r="V80" s="193">
        <v>8</v>
      </c>
      <c r="W80" s="193">
        <v>8</v>
      </c>
      <c r="X80" s="194" t="s">
        <v>34</v>
      </c>
      <c r="Y80" s="194">
        <v>50</v>
      </c>
      <c r="Z80" s="195">
        <v>20</v>
      </c>
      <c r="AA80" s="195">
        <v>8</v>
      </c>
      <c r="AB80" s="195">
        <v>20</v>
      </c>
      <c r="AC80" s="194" t="s">
        <v>45</v>
      </c>
      <c r="AD80" s="194">
        <v>50</v>
      </c>
      <c r="AE80" s="196">
        <v>18</v>
      </c>
      <c r="AF80" s="196">
        <v>8</v>
      </c>
      <c r="AG80" s="196">
        <v>14</v>
      </c>
    </row>
    <row r="81" spans="1:33" ht="23.5" customHeight="1">
      <c r="A81" s="186">
        <v>159</v>
      </c>
      <c r="B81" s="187">
        <v>59</v>
      </c>
      <c r="C81" s="227" t="s">
        <v>52</v>
      </c>
      <c r="D81" s="197">
        <v>727</v>
      </c>
      <c r="E81" s="188">
        <f>VLOOKUP(D81,รายแปลง!E:G,3,FALSE)</f>
        <v>906149</v>
      </c>
      <c r="F81" s="197">
        <v>7.92</v>
      </c>
      <c r="G81" s="232" t="s">
        <v>40</v>
      </c>
      <c r="H81" s="199">
        <v>0.1</v>
      </c>
      <c r="I81" s="199">
        <v>0.73499999999999999</v>
      </c>
      <c r="J81" s="228" t="s">
        <v>37</v>
      </c>
      <c r="K81" s="199">
        <v>49.5</v>
      </c>
      <c r="L81" s="232" t="s">
        <v>29</v>
      </c>
      <c r="M81" s="199">
        <v>67.25</v>
      </c>
      <c r="N81" s="232" t="s">
        <v>28</v>
      </c>
      <c r="O81" s="200"/>
      <c r="P81" s="200"/>
      <c r="Q81" s="199">
        <v>82.07</v>
      </c>
      <c r="R81" s="191" t="s">
        <v>38</v>
      </c>
      <c r="S81" s="192" t="s">
        <v>32</v>
      </c>
      <c r="T81" s="192" t="s">
        <v>43</v>
      </c>
      <c r="U81" s="193">
        <v>16</v>
      </c>
      <c r="V81" s="193">
        <v>16</v>
      </c>
      <c r="W81" s="193">
        <v>8</v>
      </c>
      <c r="X81" s="194" t="s">
        <v>39</v>
      </c>
      <c r="Y81" s="194">
        <v>50</v>
      </c>
      <c r="Z81" s="195">
        <v>21</v>
      </c>
      <c r="AA81" s="195">
        <v>7</v>
      </c>
      <c r="AB81" s="195">
        <v>18</v>
      </c>
      <c r="AC81" s="194" t="s">
        <v>35</v>
      </c>
      <c r="AD81" s="194">
        <v>50</v>
      </c>
      <c r="AE81" s="196">
        <v>18.5</v>
      </c>
      <c r="AF81" s="196">
        <v>11.5</v>
      </c>
      <c r="AG81" s="196">
        <v>13</v>
      </c>
    </row>
    <row r="82" spans="1:33" ht="23.5" customHeight="1">
      <c r="A82" s="186">
        <v>160</v>
      </c>
      <c r="B82" s="187">
        <v>59</v>
      </c>
      <c r="C82" s="227" t="s">
        <v>52</v>
      </c>
      <c r="D82" s="197">
        <v>728</v>
      </c>
      <c r="E82" s="188">
        <f>VLOOKUP(D82,รายแปลง!E:G,3,FALSE)</f>
        <v>906150</v>
      </c>
      <c r="F82" s="197">
        <v>8.1</v>
      </c>
      <c r="G82" s="232" t="s">
        <v>40</v>
      </c>
      <c r="H82" s="199">
        <v>9.0999999999999998E-2</v>
      </c>
      <c r="I82" s="199">
        <v>0.79400000000000004</v>
      </c>
      <c r="J82" s="228" t="s">
        <v>37</v>
      </c>
      <c r="K82" s="199">
        <v>47.83</v>
      </c>
      <c r="L82" s="232" t="s">
        <v>29</v>
      </c>
      <c r="M82" s="199">
        <v>46.43</v>
      </c>
      <c r="N82" s="232" t="s">
        <v>41</v>
      </c>
      <c r="O82" s="200"/>
      <c r="P82" s="200"/>
      <c r="Q82" s="199">
        <v>54.43</v>
      </c>
      <c r="R82" s="191" t="s">
        <v>38</v>
      </c>
      <c r="S82" s="192" t="s">
        <v>32</v>
      </c>
      <c r="T82" s="192" t="s">
        <v>31</v>
      </c>
      <c r="U82" s="193">
        <v>16</v>
      </c>
      <c r="V82" s="193">
        <v>8</v>
      </c>
      <c r="W82" s="193">
        <v>8</v>
      </c>
      <c r="X82" s="194" t="s">
        <v>34</v>
      </c>
      <c r="Y82" s="194">
        <v>50</v>
      </c>
      <c r="Z82" s="195">
        <v>20</v>
      </c>
      <c r="AA82" s="195">
        <v>8</v>
      </c>
      <c r="AB82" s="195">
        <v>20</v>
      </c>
      <c r="AC82" s="194" t="s">
        <v>45</v>
      </c>
      <c r="AD82" s="194">
        <v>50</v>
      </c>
      <c r="AE82" s="196">
        <v>18</v>
      </c>
      <c r="AF82" s="196">
        <v>8</v>
      </c>
      <c r="AG82" s="196">
        <v>14</v>
      </c>
    </row>
    <row r="83" spans="1:33" ht="23.5" customHeight="1">
      <c r="A83" s="186">
        <v>161</v>
      </c>
      <c r="B83" s="187">
        <v>59</v>
      </c>
      <c r="C83" s="227" t="s">
        <v>52</v>
      </c>
      <c r="D83" s="197">
        <v>730</v>
      </c>
      <c r="E83" s="188">
        <f>VLOOKUP(D83,รายแปลง!E:G,3,FALSE)</f>
        <v>906151</v>
      </c>
      <c r="F83" s="197">
        <v>7.83</v>
      </c>
      <c r="G83" s="232" t="s">
        <v>40</v>
      </c>
      <c r="H83" s="199">
        <v>0.23</v>
      </c>
      <c r="I83" s="199">
        <v>1.145</v>
      </c>
      <c r="J83" s="228" t="s">
        <v>41</v>
      </c>
      <c r="K83" s="199">
        <v>87.94</v>
      </c>
      <c r="L83" s="232" t="s">
        <v>29</v>
      </c>
      <c r="M83" s="199">
        <v>60.54</v>
      </c>
      <c r="N83" s="232" t="s">
        <v>28</v>
      </c>
      <c r="O83" s="200"/>
      <c r="P83" s="200"/>
      <c r="Q83" s="199">
        <v>82.24</v>
      </c>
      <c r="R83" s="191" t="s">
        <v>31</v>
      </c>
      <c r="S83" s="192" t="s">
        <v>32</v>
      </c>
      <c r="T83" s="192" t="s">
        <v>43</v>
      </c>
      <c r="U83" s="193">
        <v>16</v>
      </c>
      <c r="V83" s="193">
        <v>16</v>
      </c>
      <c r="W83" s="193">
        <v>8</v>
      </c>
      <c r="X83" s="194" t="s">
        <v>39</v>
      </c>
      <c r="Y83" s="194">
        <v>50</v>
      </c>
      <c r="Z83" s="195">
        <v>15</v>
      </c>
      <c r="AA83" s="195">
        <v>7</v>
      </c>
      <c r="AB83" s="195">
        <v>18</v>
      </c>
      <c r="AC83" s="194" t="s">
        <v>51</v>
      </c>
      <c r="AD83" s="194">
        <v>50</v>
      </c>
      <c r="AE83" s="196">
        <v>15.5</v>
      </c>
      <c r="AF83" s="196">
        <v>11.5</v>
      </c>
      <c r="AG83" s="196">
        <v>13</v>
      </c>
    </row>
    <row r="84" spans="1:33" ht="23.5" customHeight="1">
      <c r="A84" s="186">
        <v>162</v>
      </c>
      <c r="B84" s="187">
        <v>59</v>
      </c>
      <c r="C84" s="227" t="s">
        <v>52</v>
      </c>
      <c r="D84" s="197">
        <v>741</v>
      </c>
      <c r="E84" s="188">
        <f>VLOOKUP(D84,รายแปลง!E:G,3,FALSE)</f>
        <v>906154</v>
      </c>
      <c r="F84" s="197">
        <v>6.48</v>
      </c>
      <c r="G84" s="232" t="s">
        <v>28</v>
      </c>
      <c r="H84" s="199">
        <v>0.21</v>
      </c>
      <c r="I84" s="199">
        <v>0.76200000000000001</v>
      </c>
      <c r="J84" s="228" t="s">
        <v>37</v>
      </c>
      <c r="K84" s="199">
        <v>13.91</v>
      </c>
      <c r="L84" s="232" t="s">
        <v>41</v>
      </c>
      <c r="M84" s="199">
        <v>55.45</v>
      </c>
      <c r="N84" s="232" t="s">
        <v>41</v>
      </c>
      <c r="O84" s="200"/>
      <c r="P84" s="200"/>
      <c r="Q84" s="199">
        <v>54.8</v>
      </c>
      <c r="R84" s="191" t="s">
        <v>38</v>
      </c>
      <c r="S84" s="192" t="s">
        <v>43</v>
      </c>
      <c r="T84" s="192" t="s">
        <v>31</v>
      </c>
      <c r="U84" s="193">
        <v>16</v>
      </c>
      <c r="V84" s="193">
        <v>16</v>
      </c>
      <c r="W84" s="193">
        <v>8</v>
      </c>
      <c r="X84" s="194" t="s">
        <v>39</v>
      </c>
      <c r="Y84" s="194">
        <v>50</v>
      </c>
      <c r="Z84" s="195">
        <v>20</v>
      </c>
      <c r="AA84" s="195">
        <v>8</v>
      </c>
      <c r="AB84" s="195">
        <v>20</v>
      </c>
      <c r="AC84" s="194" t="s">
        <v>45</v>
      </c>
      <c r="AD84" s="194">
        <v>50</v>
      </c>
      <c r="AE84" s="196">
        <v>18</v>
      </c>
      <c r="AF84" s="196">
        <v>12</v>
      </c>
      <c r="AG84" s="196">
        <v>14</v>
      </c>
    </row>
    <row r="85" spans="1:33" ht="23.5" customHeight="1">
      <c r="A85" s="186">
        <v>163</v>
      </c>
      <c r="B85" s="187">
        <v>59</v>
      </c>
      <c r="C85" s="227" t="s">
        <v>52</v>
      </c>
      <c r="D85" s="197">
        <v>901</v>
      </c>
      <c r="E85" s="188">
        <f>VLOOKUP(D85,รายแปลง!E:G,3,FALSE)</f>
        <v>906105</v>
      </c>
      <c r="F85" s="197">
        <v>6.73</v>
      </c>
      <c r="G85" s="232" t="s">
        <v>28</v>
      </c>
      <c r="H85" s="199">
        <v>0.18</v>
      </c>
      <c r="I85" s="199">
        <v>1.778</v>
      </c>
      <c r="J85" s="228" t="s">
        <v>28</v>
      </c>
      <c r="K85" s="199">
        <v>213.31</v>
      </c>
      <c r="L85" s="232" t="s">
        <v>29</v>
      </c>
      <c r="M85" s="199">
        <v>327.24</v>
      </c>
      <c r="N85" s="232" t="s">
        <v>30</v>
      </c>
      <c r="O85" s="200"/>
      <c r="P85" s="200"/>
      <c r="Q85" s="199">
        <v>82.86</v>
      </c>
      <c r="R85" s="191" t="s">
        <v>31</v>
      </c>
      <c r="S85" s="192" t="s">
        <v>32</v>
      </c>
      <c r="T85" s="192" t="s">
        <v>33</v>
      </c>
      <c r="U85" s="193">
        <v>16</v>
      </c>
      <c r="V85" s="193">
        <v>8</v>
      </c>
      <c r="W85" s="193">
        <v>8</v>
      </c>
      <c r="X85" s="194" t="s">
        <v>34</v>
      </c>
      <c r="Y85" s="194">
        <v>50</v>
      </c>
      <c r="Z85" s="195">
        <v>21</v>
      </c>
      <c r="AA85" s="195">
        <v>7</v>
      </c>
      <c r="AB85" s="195">
        <v>18</v>
      </c>
      <c r="AC85" s="194" t="s">
        <v>35</v>
      </c>
      <c r="AD85" s="194">
        <v>50</v>
      </c>
      <c r="AE85" s="196">
        <v>18.5</v>
      </c>
      <c r="AF85" s="196">
        <v>7.5</v>
      </c>
      <c r="AG85" s="196">
        <v>13</v>
      </c>
    </row>
    <row r="86" spans="1:33" ht="23.5" customHeight="1">
      <c r="A86" s="186">
        <v>164</v>
      </c>
      <c r="B86" s="187">
        <v>59</v>
      </c>
      <c r="C86" s="227" t="s">
        <v>52</v>
      </c>
      <c r="D86" s="197">
        <v>904</v>
      </c>
      <c r="E86" s="188">
        <f>VLOOKUP(D86,รายแปลง!E:G,3,FALSE)</f>
        <v>906106</v>
      </c>
      <c r="F86" s="197">
        <v>7.22</v>
      </c>
      <c r="G86" s="232" t="s">
        <v>28</v>
      </c>
      <c r="H86" s="199">
        <v>8.6999999999999994E-2</v>
      </c>
      <c r="I86" s="199">
        <v>1.44</v>
      </c>
      <c r="J86" s="228" t="s">
        <v>41</v>
      </c>
      <c r="K86" s="199">
        <v>108.74</v>
      </c>
      <c r="L86" s="232" t="s">
        <v>29</v>
      </c>
      <c r="M86" s="199">
        <v>144.46</v>
      </c>
      <c r="N86" s="232" t="s">
        <v>30</v>
      </c>
      <c r="O86" s="200"/>
      <c r="P86" s="200"/>
      <c r="Q86" s="199">
        <v>54.85</v>
      </c>
      <c r="R86" s="191" t="s">
        <v>31</v>
      </c>
      <c r="S86" s="192" t="s">
        <v>32</v>
      </c>
      <c r="T86" s="192" t="s">
        <v>33</v>
      </c>
      <c r="U86" s="193">
        <v>16</v>
      </c>
      <c r="V86" s="193">
        <v>8</v>
      </c>
      <c r="W86" s="193">
        <v>8</v>
      </c>
      <c r="X86" s="194" t="s">
        <v>34</v>
      </c>
      <c r="Y86" s="194">
        <v>50</v>
      </c>
      <c r="Z86" s="195">
        <v>21</v>
      </c>
      <c r="AA86" s="195">
        <v>7</v>
      </c>
      <c r="AB86" s="195">
        <v>18</v>
      </c>
      <c r="AC86" s="194" t="s">
        <v>35</v>
      </c>
      <c r="AD86" s="194">
        <v>50</v>
      </c>
      <c r="AE86" s="196">
        <v>18.5</v>
      </c>
      <c r="AF86" s="196">
        <v>7.5</v>
      </c>
      <c r="AG86" s="196">
        <v>13</v>
      </c>
    </row>
    <row r="87" spans="1:33" ht="23.5" customHeight="1">
      <c r="A87" s="186">
        <v>165</v>
      </c>
      <c r="B87" s="187">
        <v>59</v>
      </c>
      <c r="C87" s="227" t="s">
        <v>52</v>
      </c>
      <c r="D87" s="197">
        <v>906</v>
      </c>
      <c r="E87" s="188">
        <f>VLOOKUP(D87,รายแปลง!E:G,3,FALSE)</f>
        <v>906107</v>
      </c>
      <c r="F87" s="197">
        <v>7.89</v>
      </c>
      <c r="G87" s="232" t="s">
        <v>40</v>
      </c>
      <c r="H87" s="199">
        <v>0.12</v>
      </c>
      <c r="I87" s="199">
        <v>1.4370000000000001</v>
      </c>
      <c r="J87" s="228" t="s">
        <v>41</v>
      </c>
      <c r="K87" s="199">
        <v>56.29</v>
      </c>
      <c r="L87" s="232" t="s">
        <v>29</v>
      </c>
      <c r="M87" s="199">
        <v>284.47000000000003</v>
      </c>
      <c r="N87" s="232" t="s">
        <v>30</v>
      </c>
      <c r="O87" s="200"/>
      <c r="P87" s="200"/>
      <c r="Q87" s="199">
        <v>124.21</v>
      </c>
      <c r="R87" s="191" t="s">
        <v>31</v>
      </c>
      <c r="S87" s="192" t="s">
        <v>32</v>
      </c>
      <c r="T87" s="192" t="s">
        <v>33</v>
      </c>
      <c r="U87" s="193">
        <v>16</v>
      </c>
      <c r="V87" s="193">
        <v>8</v>
      </c>
      <c r="W87" s="193">
        <v>8</v>
      </c>
      <c r="X87" s="194" t="s">
        <v>34</v>
      </c>
      <c r="Y87" s="194">
        <v>50</v>
      </c>
      <c r="Z87" s="195">
        <v>21</v>
      </c>
      <c r="AA87" s="195">
        <v>7</v>
      </c>
      <c r="AB87" s="195">
        <v>18</v>
      </c>
      <c r="AC87" s="194" t="s">
        <v>35</v>
      </c>
      <c r="AD87" s="194">
        <v>50</v>
      </c>
      <c r="AE87" s="196">
        <v>18.5</v>
      </c>
      <c r="AF87" s="196">
        <v>7.5</v>
      </c>
      <c r="AG87" s="196">
        <v>13</v>
      </c>
    </row>
    <row r="88" spans="1:33" ht="23.5" customHeight="1">
      <c r="A88" s="186">
        <v>166</v>
      </c>
      <c r="B88" s="187">
        <v>59</v>
      </c>
      <c r="C88" s="227" t="s">
        <v>52</v>
      </c>
      <c r="D88" s="197">
        <v>908</v>
      </c>
      <c r="E88" s="188">
        <f>VLOOKUP(D88,รายแปลง!E:G,3,FALSE)</f>
        <v>906108</v>
      </c>
      <c r="F88" s="197">
        <v>7.52</v>
      </c>
      <c r="G88" s="232" t="s">
        <v>40</v>
      </c>
      <c r="H88" s="199">
        <v>4.9000000000000002E-2</v>
      </c>
      <c r="I88" s="199">
        <v>1.01</v>
      </c>
      <c r="J88" s="228" t="s">
        <v>41</v>
      </c>
      <c r="K88" s="199">
        <v>99.29</v>
      </c>
      <c r="L88" s="232" t="s">
        <v>29</v>
      </c>
      <c r="M88" s="199">
        <v>60.77</v>
      </c>
      <c r="N88" s="232" t="s">
        <v>28</v>
      </c>
      <c r="O88" s="200"/>
      <c r="P88" s="200"/>
      <c r="Q88" s="199">
        <v>68.709999999999994</v>
      </c>
      <c r="R88" s="191" t="s">
        <v>31</v>
      </c>
      <c r="S88" s="192" t="s">
        <v>32</v>
      </c>
      <c r="T88" s="192" t="s">
        <v>43</v>
      </c>
      <c r="U88" s="193">
        <v>16</v>
      </c>
      <c r="V88" s="193">
        <v>16</v>
      </c>
      <c r="W88" s="193">
        <v>8</v>
      </c>
      <c r="X88" s="194" t="s">
        <v>39</v>
      </c>
      <c r="Y88" s="194">
        <v>50</v>
      </c>
      <c r="Z88" s="195">
        <v>15</v>
      </c>
      <c r="AA88" s="195">
        <v>7</v>
      </c>
      <c r="AB88" s="195">
        <v>18</v>
      </c>
      <c r="AC88" s="194" t="s">
        <v>51</v>
      </c>
      <c r="AD88" s="194">
        <v>50</v>
      </c>
      <c r="AE88" s="196">
        <v>15.5</v>
      </c>
      <c r="AF88" s="196">
        <v>11.5</v>
      </c>
      <c r="AG88" s="196">
        <v>13</v>
      </c>
    </row>
    <row r="89" spans="1:33" ht="23.5" customHeight="1">
      <c r="A89" s="186">
        <v>169</v>
      </c>
      <c r="B89" s="187">
        <v>59</v>
      </c>
      <c r="C89" s="227" t="s">
        <v>52</v>
      </c>
      <c r="D89" s="197">
        <v>915</v>
      </c>
      <c r="E89" s="188">
        <f>VLOOKUP(D89,รายแปลง!E:G,3,FALSE)</f>
        <v>906109</v>
      </c>
      <c r="F89" s="197">
        <v>8.08</v>
      </c>
      <c r="G89" s="232" t="s">
        <v>40</v>
      </c>
      <c r="H89" s="199">
        <v>0.11</v>
      </c>
      <c r="I89" s="199">
        <v>1.149</v>
      </c>
      <c r="J89" s="228" t="s">
        <v>41</v>
      </c>
      <c r="K89" s="199">
        <v>8010</v>
      </c>
      <c r="L89" s="232" t="s">
        <v>29</v>
      </c>
      <c r="M89" s="199">
        <v>229.2</v>
      </c>
      <c r="N89" s="232" t="s">
        <v>30</v>
      </c>
      <c r="O89" s="200"/>
      <c r="P89" s="200"/>
      <c r="Q89" s="199">
        <v>82.88</v>
      </c>
      <c r="R89" s="191" t="s">
        <v>31</v>
      </c>
      <c r="S89" s="192" t="s">
        <v>32</v>
      </c>
      <c r="T89" s="192" t="s">
        <v>33</v>
      </c>
      <c r="U89" s="193">
        <v>16</v>
      </c>
      <c r="V89" s="193">
        <v>8</v>
      </c>
      <c r="W89" s="193">
        <v>8</v>
      </c>
      <c r="X89" s="194" t="s">
        <v>34</v>
      </c>
      <c r="Y89" s="194">
        <v>50</v>
      </c>
      <c r="Z89" s="195">
        <v>21</v>
      </c>
      <c r="AA89" s="195">
        <v>7</v>
      </c>
      <c r="AB89" s="195">
        <v>18</v>
      </c>
      <c r="AC89" s="194" t="s">
        <v>35</v>
      </c>
      <c r="AD89" s="194">
        <v>50</v>
      </c>
      <c r="AE89" s="196">
        <v>18.5</v>
      </c>
      <c r="AF89" s="196">
        <v>7.5</v>
      </c>
      <c r="AG89" s="196">
        <v>13</v>
      </c>
    </row>
    <row r="90" spans="1:33" ht="23.5" customHeight="1">
      <c r="A90" s="186">
        <v>172</v>
      </c>
      <c r="B90" s="187">
        <v>59</v>
      </c>
      <c r="C90" s="227" t="s">
        <v>52</v>
      </c>
      <c r="D90" s="197">
        <v>919</v>
      </c>
      <c r="E90" s="188">
        <f>VLOOKUP(D90,รายแปลง!E:G,3,FALSE)</f>
        <v>906111</v>
      </c>
      <c r="F90" s="197">
        <v>8.2799999999999994</v>
      </c>
      <c r="G90" s="232" t="s">
        <v>40</v>
      </c>
      <c r="H90" s="199">
        <v>0.12</v>
      </c>
      <c r="I90" s="199">
        <v>1.157</v>
      </c>
      <c r="J90" s="228" t="s">
        <v>41</v>
      </c>
      <c r="K90" s="199">
        <v>64.53</v>
      </c>
      <c r="L90" s="232" t="s">
        <v>29</v>
      </c>
      <c r="M90" s="199">
        <v>226.92</v>
      </c>
      <c r="N90" s="232" t="s">
        <v>30</v>
      </c>
      <c r="O90" s="200"/>
      <c r="P90" s="200"/>
      <c r="Q90" s="199">
        <v>95.4</v>
      </c>
      <c r="R90" s="191" t="s">
        <v>31</v>
      </c>
      <c r="S90" s="192" t="s">
        <v>32</v>
      </c>
      <c r="T90" s="192" t="s">
        <v>33</v>
      </c>
      <c r="U90" s="193">
        <v>16</v>
      </c>
      <c r="V90" s="193">
        <v>8</v>
      </c>
      <c r="W90" s="193">
        <v>8</v>
      </c>
      <c r="X90" s="194" t="s">
        <v>34</v>
      </c>
      <c r="Y90" s="194">
        <v>50</v>
      </c>
      <c r="Z90" s="195">
        <v>21</v>
      </c>
      <c r="AA90" s="195">
        <v>7</v>
      </c>
      <c r="AB90" s="195">
        <v>18</v>
      </c>
      <c r="AC90" s="194" t="s">
        <v>35</v>
      </c>
      <c r="AD90" s="194">
        <v>50</v>
      </c>
      <c r="AE90" s="196">
        <v>18.5</v>
      </c>
      <c r="AF90" s="196">
        <v>7.5</v>
      </c>
      <c r="AG90" s="196">
        <v>13</v>
      </c>
    </row>
    <row r="91" spans="1:33" s="239" customFormat="1" ht="23.5" customHeight="1">
      <c r="A91" s="186">
        <v>181</v>
      </c>
      <c r="B91" s="187">
        <v>59</v>
      </c>
      <c r="C91" s="227" t="s">
        <v>52</v>
      </c>
      <c r="D91" s="198">
        <v>938</v>
      </c>
      <c r="E91" s="188">
        <f>VLOOKUP(D91,รายแปลง!E:G,3,FALSE)</f>
        <v>906125</v>
      </c>
      <c r="F91" s="201">
        <v>6.7</v>
      </c>
      <c r="G91" s="249" t="s">
        <v>28</v>
      </c>
      <c r="H91" s="201">
        <v>4.5968799999999996</v>
      </c>
      <c r="I91" s="201">
        <v>1.5888952273117278</v>
      </c>
      <c r="J91" s="249" t="s">
        <v>28</v>
      </c>
      <c r="K91" s="202">
        <v>291.29463289839214</v>
      </c>
      <c r="L91" s="254" t="s">
        <v>29</v>
      </c>
      <c r="M91" s="202">
        <v>243.78348896707047</v>
      </c>
      <c r="N91" s="254" t="s">
        <v>30</v>
      </c>
      <c r="O91" s="203">
        <v>1487.7375965392903</v>
      </c>
      <c r="P91" s="203">
        <v>87.081261596072579</v>
      </c>
      <c r="Q91" s="203">
        <v>114.55664772198712</v>
      </c>
      <c r="R91" s="233" t="s">
        <v>31</v>
      </c>
      <c r="S91" s="234" t="s">
        <v>32</v>
      </c>
      <c r="T91" s="234" t="s">
        <v>33</v>
      </c>
      <c r="U91" s="235">
        <v>16</v>
      </c>
      <c r="V91" s="235">
        <v>16</v>
      </c>
      <c r="W91" s="235">
        <v>8</v>
      </c>
      <c r="X91" s="236" t="s">
        <v>39</v>
      </c>
      <c r="Y91" s="236">
        <v>50</v>
      </c>
      <c r="Z91" s="237">
        <v>21</v>
      </c>
      <c r="AA91" s="237">
        <v>7</v>
      </c>
      <c r="AB91" s="237">
        <v>18</v>
      </c>
      <c r="AC91" s="236" t="s">
        <v>35</v>
      </c>
      <c r="AD91" s="236">
        <v>50</v>
      </c>
      <c r="AE91" s="238">
        <v>18.5</v>
      </c>
      <c r="AF91" s="238">
        <v>11.5</v>
      </c>
      <c r="AG91" s="238">
        <v>13</v>
      </c>
    </row>
    <row r="92" spans="1:33" s="239" customFormat="1" ht="23.5" customHeight="1">
      <c r="A92" s="186">
        <v>183</v>
      </c>
      <c r="B92" s="187">
        <v>59</v>
      </c>
      <c r="C92" s="227" t="s">
        <v>52</v>
      </c>
      <c r="D92" s="198">
        <v>1001</v>
      </c>
      <c r="E92" s="188">
        <f>VLOOKUP(D92,รายแปลง!E:G,3,FALSE)</f>
        <v>906133</v>
      </c>
      <c r="F92" s="198">
        <v>8.15</v>
      </c>
      <c r="G92" s="232" t="s">
        <v>40</v>
      </c>
      <c r="H92" s="204">
        <v>0.11</v>
      </c>
      <c r="I92" s="204">
        <v>1.4570000000000001</v>
      </c>
      <c r="J92" s="232" t="s">
        <v>41</v>
      </c>
      <c r="K92" s="204">
        <v>143.80000000000001</v>
      </c>
      <c r="L92" s="232" t="s">
        <v>29</v>
      </c>
      <c r="M92" s="204">
        <v>171.95</v>
      </c>
      <c r="N92" s="232" t="s">
        <v>30</v>
      </c>
      <c r="O92" s="240"/>
      <c r="P92" s="240"/>
      <c r="Q92" s="204">
        <v>83.7</v>
      </c>
      <c r="R92" s="233" t="s">
        <v>31</v>
      </c>
      <c r="S92" s="234" t="s">
        <v>32</v>
      </c>
      <c r="T92" s="234" t="s">
        <v>33</v>
      </c>
      <c r="U92" s="235">
        <v>16</v>
      </c>
      <c r="V92" s="235">
        <v>8</v>
      </c>
      <c r="W92" s="235">
        <v>8</v>
      </c>
      <c r="X92" s="236" t="s">
        <v>34</v>
      </c>
      <c r="Y92" s="236">
        <v>50</v>
      </c>
      <c r="Z92" s="237">
        <v>21</v>
      </c>
      <c r="AA92" s="237">
        <v>7</v>
      </c>
      <c r="AB92" s="237">
        <v>18</v>
      </c>
      <c r="AC92" s="236" t="s">
        <v>35</v>
      </c>
      <c r="AD92" s="236">
        <v>50</v>
      </c>
      <c r="AE92" s="238">
        <v>18.5</v>
      </c>
      <c r="AF92" s="238">
        <v>7.5</v>
      </c>
      <c r="AG92" s="238">
        <v>13</v>
      </c>
    </row>
    <row r="93" spans="1:33" s="239" customFormat="1" ht="23.5" customHeight="1">
      <c r="A93" s="186">
        <v>184</v>
      </c>
      <c r="B93" s="187">
        <v>59</v>
      </c>
      <c r="C93" s="227" t="s">
        <v>52</v>
      </c>
      <c r="D93" s="198">
        <v>1002</v>
      </c>
      <c r="E93" s="188">
        <f>VLOOKUP(D93,รายแปลง!E:G,3,FALSE)</f>
        <v>906130</v>
      </c>
      <c r="F93" s="198">
        <v>8.17</v>
      </c>
      <c r="G93" s="232" t="s">
        <v>40</v>
      </c>
      <c r="H93" s="204">
        <v>9.7000000000000003E-2</v>
      </c>
      <c r="I93" s="204">
        <v>1.0589999999999999</v>
      </c>
      <c r="J93" s="232" t="s">
        <v>41</v>
      </c>
      <c r="K93" s="204">
        <v>53.93</v>
      </c>
      <c r="L93" s="232" t="s">
        <v>29</v>
      </c>
      <c r="M93" s="204">
        <v>46.78</v>
      </c>
      <c r="N93" s="232" t="s">
        <v>41</v>
      </c>
      <c r="O93" s="240"/>
      <c r="P93" s="240"/>
      <c r="Q93" s="204">
        <v>114.14</v>
      </c>
      <c r="R93" s="233" t="s">
        <v>31</v>
      </c>
      <c r="S93" s="234" t="s">
        <v>32</v>
      </c>
      <c r="T93" s="234" t="s">
        <v>31</v>
      </c>
      <c r="U93" s="235">
        <v>16</v>
      </c>
      <c r="V93" s="235">
        <v>8</v>
      </c>
      <c r="W93" s="235">
        <v>8</v>
      </c>
      <c r="X93" s="236" t="s">
        <v>34</v>
      </c>
      <c r="Y93" s="236">
        <v>50</v>
      </c>
      <c r="Z93" s="237">
        <v>20</v>
      </c>
      <c r="AA93" s="237">
        <v>8</v>
      </c>
      <c r="AB93" s="237">
        <v>20</v>
      </c>
      <c r="AC93" s="236" t="s">
        <v>45</v>
      </c>
      <c r="AD93" s="236">
        <v>50</v>
      </c>
      <c r="AE93" s="238">
        <v>18</v>
      </c>
      <c r="AF93" s="238">
        <v>8</v>
      </c>
      <c r="AG93" s="238">
        <v>14</v>
      </c>
    </row>
    <row r="94" spans="1:33" s="239" customFormat="1" ht="23.5" customHeight="1">
      <c r="A94" s="186">
        <v>185</v>
      </c>
      <c r="B94" s="187">
        <v>59</v>
      </c>
      <c r="C94" s="227" t="s">
        <v>52</v>
      </c>
      <c r="D94" s="198">
        <v>1007</v>
      </c>
      <c r="E94" s="188">
        <f>VLOOKUP(D94,รายแปลง!E:G,3,FALSE)</f>
        <v>906131</v>
      </c>
      <c r="F94" s="204">
        <v>8.25</v>
      </c>
      <c r="G94" s="232" t="s">
        <v>40</v>
      </c>
      <c r="H94" s="204">
        <v>9.7000000000000003E-2</v>
      </c>
      <c r="I94" s="204">
        <v>1.073</v>
      </c>
      <c r="J94" s="232" t="s">
        <v>41</v>
      </c>
      <c r="K94" s="204">
        <v>92.25</v>
      </c>
      <c r="L94" s="232" t="s">
        <v>29</v>
      </c>
      <c r="M94" s="204">
        <v>156.97999999999999</v>
      </c>
      <c r="N94" s="232" t="s">
        <v>30</v>
      </c>
      <c r="O94" s="240"/>
      <c r="P94" s="240"/>
      <c r="Q94" s="204">
        <v>111.34</v>
      </c>
      <c r="R94" s="233" t="s">
        <v>31</v>
      </c>
      <c r="S94" s="234" t="s">
        <v>32</v>
      </c>
      <c r="T94" s="234" t="s">
        <v>33</v>
      </c>
      <c r="U94" s="235">
        <v>16</v>
      </c>
      <c r="V94" s="235">
        <v>8</v>
      </c>
      <c r="W94" s="235">
        <v>8</v>
      </c>
      <c r="X94" s="236" t="s">
        <v>34</v>
      </c>
      <c r="Y94" s="236">
        <v>50</v>
      </c>
      <c r="Z94" s="237">
        <v>21</v>
      </c>
      <c r="AA94" s="237">
        <v>7</v>
      </c>
      <c r="AB94" s="237">
        <v>18</v>
      </c>
      <c r="AC94" s="236" t="s">
        <v>35</v>
      </c>
      <c r="AD94" s="236">
        <v>50</v>
      </c>
      <c r="AE94" s="238">
        <v>18.5</v>
      </c>
      <c r="AF94" s="238">
        <v>7.5</v>
      </c>
      <c r="AG94" s="238">
        <v>13</v>
      </c>
    </row>
    <row r="95" spans="1:33" s="239" customFormat="1" ht="23.5" customHeight="1">
      <c r="A95" s="186">
        <v>186</v>
      </c>
      <c r="B95" s="187">
        <v>59</v>
      </c>
      <c r="C95" s="227" t="s">
        <v>52</v>
      </c>
      <c r="D95" s="198">
        <v>1008</v>
      </c>
      <c r="E95" s="188">
        <f>VLOOKUP(D95,รายแปลง!E:G,3,FALSE)</f>
        <v>906132</v>
      </c>
      <c r="F95" s="204">
        <v>8.0500000000000007</v>
      </c>
      <c r="G95" s="232" t="s">
        <v>40</v>
      </c>
      <c r="H95" s="204">
        <v>0.13</v>
      </c>
      <c r="I95" s="204">
        <v>1.3109999999999999</v>
      </c>
      <c r="J95" s="232" t="s">
        <v>41</v>
      </c>
      <c r="K95" s="204">
        <v>22.84</v>
      </c>
      <c r="L95" s="232" t="s">
        <v>28</v>
      </c>
      <c r="M95" s="204">
        <v>158.13999999999999</v>
      </c>
      <c r="N95" s="232" t="s">
        <v>30</v>
      </c>
      <c r="O95" s="240"/>
      <c r="P95" s="240"/>
      <c r="Q95" s="204">
        <v>97.95</v>
      </c>
      <c r="R95" s="233" t="s">
        <v>31</v>
      </c>
      <c r="S95" s="234" t="s">
        <v>42</v>
      </c>
      <c r="T95" s="234" t="s">
        <v>33</v>
      </c>
      <c r="U95" s="235">
        <v>16</v>
      </c>
      <c r="V95" s="235">
        <v>16</v>
      </c>
      <c r="W95" s="235">
        <v>8</v>
      </c>
      <c r="X95" s="236" t="s">
        <v>39</v>
      </c>
      <c r="Y95" s="236">
        <v>50</v>
      </c>
      <c r="Z95" s="237">
        <v>21</v>
      </c>
      <c r="AA95" s="237">
        <v>7</v>
      </c>
      <c r="AB95" s="237">
        <v>18</v>
      </c>
      <c r="AC95" s="236" t="s">
        <v>35</v>
      </c>
      <c r="AD95" s="236">
        <v>50</v>
      </c>
      <c r="AE95" s="238">
        <v>18.5</v>
      </c>
      <c r="AF95" s="238">
        <v>11.5</v>
      </c>
      <c r="AG95" s="238">
        <v>13</v>
      </c>
    </row>
    <row r="96" spans="1:33" s="239" customFormat="1" ht="23.5" customHeight="1">
      <c r="A96" s="186">
        <v>187</v>
      </c>
      <c r="B96" s="187">
        <v>59</v>
      </c>
      <c r="C96" s="227" t="s">
        <v>52</v>
      </c>
      <c r="D96" s="198">
        <v>1015</v>
      </c>
      <c r="E96" s="188">
        <f>VLOOKUP(D96,รายแปลง!E:G,3,FALSE)</f>
        <v>906134</v>
      </c>
      <c r="F96" s="204">
        <v>8.32</v>
      </c>
      <c r="G96" s="232" t="s">
        <v>40</v>
      </c>
      <c r="H96" s="204">
        <v>0.11</v>
      </c>
      <c r="I96" s="204">
        <v>1.0329999999999999</v>
      </c>
      <c r="J96" s="232" t="s">
        <v>41</v>
      </c>
      <c r="K96" s="204">
        <v>50.7</v>
      </c>
      <c r="L96" s="232" t="s">
        <v>29</v>
      </c>
      <c r="M96" s="204">
        <v>116.22</v>
      </c>
      <c r="N96" s="232" t="s">
        <v>29</v>
      </c>
      <c r="O96" s="240"/>
      <c r="P96" s="240"/>
      <c r="Q96" s="204">
        <v>91.74</v>
      </c>
      <c r="R96" s="233" t="s">
        <v>31</v>
      </c>
      <c r="S96" s="234" t="s">
        <v>32</v>
      </c>
      <c r="T96" s="234" t="s">
        <v>33</v>
      </c>
      <c r="U96" s="235">
        <v>16</v>
      </c>
      <c r="V96" s="235">
        <v>8</v>
      </c>
      <c r="W96" s="235">
        <v>8</v>
      </c>
      <c r="X96" s="236" t="s">
        <v>34</v>
      </c>
      <c r="Y96" s="236">
        <v>50</v>
      </c>
      <c r="Z96" s="237">
        <v>21</v>
      </c>
      <c r="AA96" s="237">
        <v>7</v>
      </c>
      <c r="AB96" s="237">
        <v>18</v>
      </c>
      <c r="AC96" s="236" t="s">
        <v>35</v>
      </c>
      <c r="AD96" s="236">
        <v>50</v>
      </c>
      <c r="AE96" s="238">
        <v>18.5</v>
      </c>
      <c r="AF96" s="238">
        <v>7.5</v>
      </c>
      <c r="AG96" s="238">
        <v>13</v>
      </c>
    </row>
    <row r="97" spans="1:33" s="239" customFormat="1" ht="23.5" customHeight="1">
      <c r="A97" s="186">
        <v>188</v>
      </c>
      <c r="B97" s="187">
        <v>59</v>
      </c>
      <c r="C97" s="227" t="s">
        <v>52</v>
      </c>
      <c r="D97" s="198">
        <v>1017</v>
      </c>
      <c r="E97" s="188">
        <f>VLOOKUP(D97,รายแปลง!E:G,3,FALSE)</f>
        <v>906135</v>
      </c>
      <c r="F97" s="204">
        <v>8.15</v>
      </c>
      <c r="G97" s="232" t="s">
        <v>40</v>
      </c>
      <c r="H97" s="204">
        <v>9.6000000000000002E-2</v>
      </c>
      <c r="I97" s="204">
        <v>1.2629999999999999</v>
      </c>
      <c r="J97" s="232" t="s">
        <v>41</v>
      </c>
      <c r="K97" s="204">
        <v>105.87</v>
      </c>
      <c r="L97" s="232" t="s">
        <v>29</v>
      </c>
      <c r="M97" s="204">
        <v>47.04</v>
      </c>
      <c r="N97" s="232" t="s">
        <v>41</v>
      </c>
      <c r="O97" s="240"/>
      <c r="P97" s="240"/>
      <c r="Q97" s="204">
        <v>83.43</v>
      </c>
      <c r="R97" s="233" t="s">
        <v>31</v>
      </c>
      <c r="S97" s="234" t="s">
        <v>32</v>
      </c>
      <c r="T97" s="234" t="s">
        <v>31</v>
      </c>
      <c r="U97" s="235">
        <v>16</v>
      </c>
      <c r="V97" s="235">
        <v>8</v>
      </c>
      <c r="W97" s="235">
        <v>8</v>
      </c>
      <c r="X97" s="236" t="s">
        <v>34</v>
      </c>
      <c r="Y97" s="236">
        <v>50</v>
      </c>
      <c r="Z97" s="237">
        <v>20</v>
      </c>
      <c r="AA97" s="237">
        <v>8</v>
      </c>
      <c r="AB97" s="237">
        <v>20</v>
      </c>
      <c r="AC97" s="236" t="s">
        <v>45</v>
      </c>
      <c r="AD97" s="236">
        <v>50</v>
      </c>
      <c r="AE97" s="238">
        <v>18</v>
      </c>
      <c r="AF97" s="238">
        <v>8</v>
      </c>
      <c r="AG97" s="238">
        <v>14</v>
      </c>
    </row>
    <row r="98" spans="1:33" s="239" customFormat="1" ht="23.5" customHeight="1">
      <c r="A98" s="186">
        <v>189</v>
      </c>
      <c r="B98" s="187">
        <v>59</v>
      </c>
      <c r="C98" s="227" t="s">
        <v>52</v>
      </c>
      <c r="D98" s="198">
        <v>1019</v>
      </c>
      <c r="E98" s="188">
        <f>VLOOKUP(D98,รายแปลง!E:G,3,FALSE)</f>
        <v>906139</v>
      </c>
      <c r="F98" s="204">
        <v>7.97</v>
      </c>
      <c r="G98" s="232" t="s">
        <v>40</v>
      </c>
      <c r="H98" s="204">
        <v>7.4999999999999997E-2</v>
      </c>
      <c r="I98" s="204">
        <v>1.0349999999999999</v>
      </c>
      <c r="J98" s="232" t="s">
        <v>41</v>
      </c>
      <c r="K98" s="204">
        <v>17.82</v>
      </c>
      <c r="L98" s="232" t="s">
        <v>41</v>
      </c>
      <c r="M98" s="204">
        <v>46.84</v>
      </c>
      <c r="N98" s="232" t="s">
        <v>41</v>
      </c>
      <c r="O98" s="240"/>
      <c r="P98" s="240"/>
      <c r="Q98" s="204">
        <v>97.19</v>
      </c>
      <c r="R98" s="233" t="s">
        <v>31</v>
      </c>
      <c r="S98" s="234" t="s">
        <v>42</v>
      </c>
      <c r="T98" s="234" t="s">
        <v>31</v>
      </c>
      <c r="U98" s="235">
        <v>16</v>
      </c>
      <c r="V98" s="235">
        <v>16</v>
      </c>
      <c r="W98" s="235">
        <v>8</v>
      </c>
      <c r="X98" s="236" t="s">
        <v>39</v>
      </c>
      <c r="Y98" s="236">
        <v>50</v>
      </c>
      <c r="Z98" s="237">
        <v>20</v>
      </c>
      <c r="AA98" s="237">
        <v>8</v>
      </c>
      <c r="AB98" s="237">
        <v>20</v>
      </c>
      <c r="AC98" s="236" t="s">
        <v>45</v>
      </c>
      <c r="AD98" s="236">
        <v>50</v>
      </c>
      <c r="AE98" s="238">
        <v>18</v>
      </c>
      <c r="AF98" s="238">
        <v>12</v>
      </c>
      <c r="AG98" s="238">
        <v>14</v>
      </c>
    </row>
    <row r="99" spans="1:33" s="239" customFormat="1" ht="24.5" customHeight="1">
      <c r="A99" s="186">
        <v>190</v>
      </c>
      <c r="B99" s="187">
        <v>59</v>
      </c>
      <c r="C99" s="227" t="s">
        <v>52</v>
      </c>
      <c r="D99" s="198">
        <v>1020</v>
      </c>
      <c r="E99" s="188">
        <f>VLOOKUP(D99,รายแปลง!E:G,3,FALSE)</f>
        <v>906138</v>
      </c>
      <c r="F99" s="204">
        <v>7.18</v>
      </c>
      <c r="G99" s="232" t="s">
        <v>28</v>
      </c>
      <c r="H99" s="204">
        <v>0.22</v>
      </c>
      <c r="I99" s="204">
        <v>1.171</v>
      </c>
      <c r="J99" s="232" t="s">
        <v>41</v>
      </c>
      <c r="K99" s="204">
        <v>252.49</v>
      </c>
      <c r="L99" s="232" t="s">
        <v>29</v>
      </c>
      <c r="M99" s="204">
        <v>55.36</v>
      </c>
      <c r="N99" s="232" t="s">
        <v>41</v>
      </c>
      <c r="O99" s="240"/>
      <c r="P99" s="240"/>
      <c r="Q99" s="204">
        <v>69.03</v>
      </c>
      <c r="R99" s="233" t="s">
        <v>31</v>
      </c>
      <c r="S99" s="234" t="s">
        <v>32</v>
      </c>
      <c r="T99" s="234" t="s">
        <v>31</v>
      </c>
      <c r="U99" s="235">
        <v>16</v>
      </c>
      <c r="V99" s="235">
        <v>8</v>
      </c>
      <c r="W99" s="235">
        <v>8</v>
      </c>
      <c r="X99" s="236" t="s">
        <v>34</v>
      </c>
      <c r="Y99" s="236">
        <v>50</v>
      </c>
      <c r="Z99" s="237">
        <v>20</v>
      </c>
      <c r="AA99" s="237">
        <v>8</v>
      </c>
      <c r="AB99" s="237">
        <v>20</v>
      </c>
      <c r="AC99" s="236" t="s">
        <v>45</v>
      </c>
      <c r="AD99" s="236">
        <v>50</v>
      </c>
      <c r="AE99" s="238">
        <v>18</v>
      </c>
      <c r="AF99" s="238">
        <v>8</v>
      </c>
      <c r="AG99" s="238">
        <v>14</v>
      </c>
    </row>
    <row r="100" spans="1:33" s="239" customFormat="1" ht="23.5" customHeight="1">
      <c r="A100" s="186">
        <v>192</v>
      </c>
      <c r="B100" s="205">
        <v>60</v>
      </c>
      <c r="C100" s="225" t="s">
        <v>46</v>
      </c>
      <c r="D100" s="205">
        <v>805704</v>
      </c>
      <c r="E100" s="188">
        <f>VLOOKUP(D100,รายแปลง!E:G,3,FALSE)</f>
        <v>926103</v>
      </c>
      <c r="F100" s="206">
        <v>7.7349999999999994</v>
      </c>
      <c r="G100" s="250" t="s">
        <v>40</v>
      </c>
      <c r="H100" s="206">
        <v>7.1311599999999995</v>
      </c>
      <c r="I100" s="206">
        <v>2.3379389545242919</v>
      </c>
      <c r="J100" s="250" t="s">
        <v>28</v>
      </c>
      <c r="K100" s="206">
        <v>114.47292177780668</v>
      </c>
      <c r="L100" s="250" t="s">
        <v>29</v>
      </c>
      <c r="M100" s="206">
        <v>448.52952264467717</v>
      </c>
      <c r="N100" s="250" t="s">
        <v>30</v>
      </c>
      <c r="O100" s="207"/>
      <c r="P100" s="207"/>
      <c r="Q100" s="207"/>
      <c r="R100" s="233" t="s">
        <v>43</v>
      </c>
      <c r="S100" s="234" t="s">
        <v>32</v>
      </c>
      <c r="T100" s="234" t="s">
        <v>33</v>
      </c>
      <c r="U100" s="235">
        <v>16</v>
      </c>
      <c r="V100" s="235">
        <v>8</v>
      </c>
      <c r="W100" s="235">
        <v>8</v>
      </c>
      <c r="X100" s="236" t="s">
        <v>34</v>
      </c>
      <c r="Y100" s="236">
        <v>50</v>
      </c>
      <c r="Z100" s="237">
        <v>21</v>
      </c>
      <c r="AA100" s="237">
        <v>7</v>
      </c>
      <c r="AB100" s="237">
        <v>18</v>
      </c>
      <c r="AC100" s="236" t="s">
        <v>35</v>
      </c>
      <c r="AD100" s="236">
        <v>50</v>
      </c>
      <c r="AE100" s="238">
        <v>18.5</v>
      </c>
      <c r="AF100" s="238">
        <v>7.5</v>
      </c>
      <c r="AG100" s="238">
        <v>13</v>
      </c>
    </row>
    <row r="101" spans="1:33" s="239" customFormat="1" ht="23.5" customHeight="1">
      <c r="A101" s="186">
        <v>193</v>
      </c>
      <c r="B101" s="205">
        <v>60</v>
      </c>
      <c r="C101" s="225" t="s">
        <v>46</v>
      </c>
      <c r="D101" s="205">
        <v>805727</v>
      </c>
      <c r="E101" s="188">
        <f>VLOOKUP(D101,รายแปลง!E:G,3,FALSE)</f>
        <v>926116</v>
      </c>
      <c r="F101" s="206">
        <v>7.4749999999999996</v>
      </c>
      <c r="G101" s="250" t="s">
        <v>40</v>
      </c>
      <c r="H101" s="206">
        <v>2.0302599999999997</v>
      </c>
      <c r="I101" s="206">
        <v>1.2871404306387602</v>
      </c>
      <c r="J101" s="250" t="s">
        <v>41</v>
      </c>
      <c r="K101" s="206">
        <v>170.22269669440414</v>
      </c>
      <c r="L101" s="250" t="s">
        <v>29</v>
      </c>
      <c r="M101" s="206">
        <v>309.25874741149596</v>
      </c>
      <c r="N101" s="250" t="s">
        <v>30</v>
      </c>
      <c r="O101" s="207"/>
      <c r="P101" s="207"/>
      <c r="Q101" s="207"/>
      <c r="R101" s="233" t="s">
        <v>31</v>
      </c>
      <c r="S101" s="234" t="s">
        <v>32</v>
      </c>
      <c r="T101" s="234" t="s">
        <v>33</v>
      </c>
      <c r="U101" s="235">
        <v>16</v>
      </c>
      <c r="V101" s="235">
        <v>8</v>
      </c>
      <c r="W101" s="235">
        <v>8</v>
      </c>
      <c r="X101" s="236" t="s">
        <v>34</v>
      </c>
      <c r="Y101" s="236">
        <v>50</v>
      </c>
      <c r="Z101" s="237">
        <v>21</v>
      </c>
      <c r="AA101" s="237">
        <v>7</v>
      </c>
      <c r="AB101" s="237">
        <v>18</v>
      </c>
      <c r="AC101" s="236" t="s">
        <v>35</v>
      </c>
      <c r="AD101" s="236">
        <v>50</v>
      </c>
      <c r="AE101" s="238">
        <v>18.5</v>
      </c>
      <c r="AF101" s="238">
        <v>7.5</v>
      </c>
      <c r="AG101" s="238">
        <v>13</v>
      </c>
    </row>
    <row r="102" spans="1:33" s="239" customFormat="1" ht="23.5" customHeight="1">
      <c r="A102" s="186">
        <v>194</v>
      </c>
      <c r="B102" s="205">
        <v>60</v>
      </c>
      <c r="C102" s="225" t="s">
        <v>46</v>
      </c>
      <c r="D102" s="205">
        <v>805723</v>
      </c>
      <c r="E102" s="188">
        <f>VLOOKUP(D102,รายแปลง!E:G,3,FALSE)</f>
        <v>926122</v>
      </c>
      <c r="F102" s="206">
        <v>7.3599999999999994</v>
      </c>
      <c r="G102" s="250" t="s">
        <v>40</v>
      </c>
      <c r="H102" s="206">
        <v>3.5737599999999996</v>
      </c>
      <c r="I102" s="206">
        <v>3.6383926604306236</v>
      </c>
      <c r="J102" s="250" t="s">
        <v>29</v>
      </c>
      <c r="K102" s="206">
        <v>61.153658855664467</v>
      </c>
      <c r="L102" s="250" t="s">
        <v>29</v>
      </c>
      <c r="M102" s="206">
        <v>361.50238607836195</v>
      </c>
      <c r="N102" s="250" t="s">
        <v>30</v>
      </c>
      <c r="O102" s="207"/>
      <c r="P102" s="207"/>
      <c r="Q102" s="207"/>
      <c r="R102" s="233" t="s">
        <v>43</v>
      </c>
      <c r="S102" s="234" t="s">
        <v>32</v>
      </c>
      <c r="T102" s="234" t="s">
        <v>33</v>
      </c>
      <c r="U102" s="235">
        <v>16</v>
      </c>
      <c r="V102" s="235">
        <v>8</v>
      </c>
      <c r="W102" s="235">
        <v>8</v>
      </c>
      <c r="X102" s="236" t="s">
        <v>34</v>
      </c>
      <c r="Y102" s="236">
        <v>50</v>
      </c>
      <c r="Z102" s="237">
        <v>21</v>
      </c>
      <c r="AA102" s="237">
        <v>7</v>
      </c>
      <c r="AB102" s="237">
        <v>18</v>
      </c>
      <c r="AC102" s="236" t="s">
        <v>35</v>
      </c>
      <c r="AD102" s="236">
        <v>50</v>
      </c>
      <c r="AE102" s="238">
        <v>18.5</v>
      </c>
      <c r="AF102" s="238">
        <v>7.5</v>
      </c>
      <c r="AG102" s="238">
        <v>13</v>
      </c>
    </row>
    <row r="103" spans="1:33" s="239" customFormat="1" ht="23.5" customHeight="1">
      <c r="A103" s="186">
        <v>195</v>
      </c>
      <c r="B103" s="205">
        <v>60</v>
      </c>
      <c r="C103" s="225" t="s">
        <v>46</v>
      </c>
      <c r="D103" s="205">
        <v>805726</v>
      </c>
      <c r="E103" s="188">
        <f>VLOOKUP(D103,รายแปลง!E:G,3,FALSE)</f>
        <v>926117</v>
      </c>
      <c r="F103" s="206">
        <v>7.1549999999999994</v>
      </c>
      <c r="G103" s="250" t="s">
        <v>28</v>
      </c>
      <c r="H103" s="206">
        <v>4.5498399999999997</v>
      </c>
      <c r="I103" s="206">
        <v>2.8534510472698051</v>
      </c>
      <c r="J103" s="250" t="s">
        <v>29</v>
      </c>
      <c r="K103" s="206">
        <v>54.92106472419335</v>
      </c>
      <c r="L103" s="250" t="s">
        <v>29</v>
      </c>
      <c r="M103" s="206">
        <v>401.35902619013575</v>
      </c>
      <c r="N103" s="250" t="s">
        <v>30</v>
      </c>
      <c r="O103" s="207"/>
      <c r="P103" s="207"/>
      <c r="Q103" s="207"/>
      <c r="R103" s="233" t="s">
        <v>43</v>
      </c>
      <c r="S103" s="234" t="s">
        <v>32</v>
      </c>
      <c r="T103" s="234" t="s">
        <v>33</v>
      </c>
      <c r="U103" s="235">
        <v>16</v>
      </c>
      <c r="V103" s="235">
        <v>8</v>
      </c>
      <c r="W103" s="235">
        <v>8</v>
      </c>
      <c r="X103" s="236" t="s">
        <v>34</v>
      </c>
      <c r="Y103" s="236">
        <v>50</v>
      </c>
      <c r="Z103" s="237">
        <v>21</v>
      </c>
      <c r="AA103" s="237">
        <v>7</v>
      </c>
      <c r="AB103" s="237">
        <v>18</v>
      </c>
      <c r="AC103" s="236" t="s">
        <v>35</v>
      </c>
      <c r="AD103" s="236">
        <v>50</v>
      </c>
      <c r="AE103" s="238">
        <v>18.5</v>
      </c>
      <c r="AF103" s="238">
        <v>7.5</v>
      </c>
      <c r="AG103" s="238">
        <v>13</v>
      </c>
    </row>
    <row r="104" spans="1:33" s="239" customFormat="1" ht="23.5" customHeight="1">
      <c r="A104" s="186">
        <v>196</v>
      </c>
      <c r="B104" s="205">
        <v>60</v>
      </c>
      <c r="C104" s="225" t="s">
        <v>46</v>
      </c>
      <c r="D104" s="205">
        <v>805754</v>
      </c>
      <c r="E104" s="188">
        <f>VLOOKUP(D104,รายแปลง!E:G,3,FALSE)</f>
        <v>926124</v>
      </c>
      <c r="F104" s="206">
        <v>6.8599999999999994</v>
      </c>
      <c r="G104" s="250" t="s">
        <v>28</v>
      </c>
      <c r="H104" s="206">
        <v>4.6321599999999998</v>
      </c>
      <c r="I104" s="206">
        <v>2.1775199710934965</v>
      </c>
      <c r="J104" s="250" t="s">
        <v>28</v>
      </c>
      <c r="K104" s="206">
        <v>54.070972944593954</v>
      </c>
      <c r="L104" s="250" t="s">
        <v>29</v>
      </c>
      <c r="M104" s="206">
        <v>414.01961878879808</v>
      </c>
      <c r="N104" s="250" t="s">
        <v>30</v>
      </c>
      <c r="O104" s="207"/>
      <c r="P104" s="207"/>
      <c r="Q104" s="207"/>
      <c r="R104" s="233" t="s">
        <v>43</v>
      </c>
      <c r="S104" s="234" t="s">
        <v>32</v>
      </c>
      <c r="T104" s="234" t="s">
        <v>33</v>
      </c>
      <c r="U104" s="235">
        <v>16</v>
      </c>
      <c r="V104" s="235">
        <v>8</v>
      </c>
      <c r="W104" s="235">
        <v>8</v>
      </c>
      <c r="X104" s="236" t="s">
        <v>34</v>
      </c>
      <c r="Y104" s="236">
        <v>50</v>
      </c>
      <c r="Z104" s="237">
        <v>21</v>
      </c>
      <c r="AA104" s="237">
        <v>7</v>
      </c>
      <c r="AB104" s="237">
        <v>18</v>
      </c>
      <c r="AC104" s="236" t="s">
        <v>35</v>
      </c>
      <c r="AD104" s="236">
        <v>50</v>
      </c>
      <c r="AE104" s="238">
        <v>18.5</v>
      </c>
      <c r="AF104" s="238">
        <v>7.5</v>
      </c>
      <c r="AG104" s="238">
        <v>13</v>
      </c>
    </row>
    <row r="105" spans="1:33" s="239" customFormat="1" ht="23.5" customHeight="1">
      <c r="A105" s="186">
        <v>198</v>
      </c>
      <c r="B105" s="205">
        <v>60</v>
      </c>
      <c r="C105" s="225" t="s">
        <v>46</v>
      </c>
      <c r="D105" s="205">
        <v>805728</v>
      </c>
      <c r="E105" s="188">
        <f>VLOOKUP(D105,รายแปลง!E:G,3,FALSE)</f>
        <v>926115</v>
      </c>
      <c r="F105" s="206">
        <v>7.9350000000000005</v>
      </c>
      <c r="G105" s="250" t="s">
        <v>40</v>
      </c>
      <c r="H105" s="206">
        <v>8.6952400000000001</v>
      </c>
      <c r="I105" s="206">
        <v>1.7109582487578356</v>
      </c>
      <c r="J105" s="250" t="s">
        <v>28</v>
      </c>
      <c r="K105" s="206">
        <v>117.60281761078365</v>
      </c>
      <c r="L105" s="250" t="s">
        <v>29</v>
      </c>
      <c r="M105" s="206">
        <v>236.80042322258231</v>
      </c>
      <c r="N105" s="250" t="s">
        <v>30</v>
      </c>
      <c r="O105" s="207"/>
      <c r="P105" s="207"/>
      <c r="Q105" s="207"/>
      <c r="R105" s="233" t="s">
        <v>31</v>
      </c>
      <c r="S105" s="234" t="s">
        <v>32</v>
      </c>
      <c r="T105" s="234" t="s">
        <v>33</v>
      </c>
      <c r="U105" s="235">
        <v>16</v>
      </c>
      <c r="V105" s="235">
        <v>8</v>
      </c>
      <c r="W105" s="235">
        <v>8</v>
      </c>
      <c r="X105" s="236" t="s">
        <v>34</v>
      </c>
      <c r="Y105" s="236">
        <v>50</v>
      </c>
      <c r="Z105" s="237">
        <v>21</v>
      </c>
      <c r="AA105" s="237">
        <v>7</v>
      </c>
      <c r="AB105" s="237">
        <v>18</v>
      </c>
      <c r="AC105" s="236" t="s">
        <v>35</v>
      </c>
      <c r="AD105" s="236">
        <v>50</v>
      </c>
      <c r="AE105" s="238">
        <v>18.5</v>
      </c>
      <c r="AF105" s="238">
        <v>7.5</v>
      </c>
      <c r="AG105" s="238">
        <v>13</v>
      </c>
    </row>
    <row r="106" spans="1:33" s="239" customFormat="1" ht="23.5" customHeight="1">
      <c r="A106" s="186">
        <v>199</v>
      </c>
      <c r="B106" s="205">
        <v>60</v>
      </c>
      <c r="C106" s="225" t="s">
        <v>46</v>
      </c>
      <c r="D106" s="205">
        <v>805740</v>
      </c>
      <c r="E106" s="188">
        <f>VLOOKUP(D106,รายแปลง!E:G,3,FALSE)</f>
        <v>926106</v>
      </c>
      <c r="F106" s="206">
        <v>7.3249999999999993</v>
      </c>
      <c r="G106" s="250" t="s">
        <v>40</v>
      </c>
      <c r="H106" s="206">
        <v>3.8266</v>
      </c>
      <c r="I106" s="206">
        <v>2.8151682832471616</v>
      </c>
      <c r="J106" s="250" t="s">
        <v>29</v>
      </c>
      <c r="K106" s="206">
        <v>127.13529677729824</v>
      </c>
      <c r="L106" s="250" t="s">
        <v>29</v>
      </c>
      <c r="M106" s="206">
        <v>553.774442928604</v>
      </c>
      <c r="N106" s="250" t="s">
        <v>30</v>
      </c>
      <c r="O106" s="207"/>
      <c r="P106" s="207"/>
      <c r="Q106" s="207"/>
      <c r="R106" s="233" t="s">
        <v>43</v>
      </c>
      <c r="S106" s="234" t="s">
        <v>32</v>
      </c>
      <c r="T106" s="234" t="s">
        <v>33</v>
      </c>
      <c r="U106" s="235">
        <v>16</v>
      </c>
      <c r="V106" s="235">
        <v>8</v>
      </c>
      <c r="W106" s="235">
        <v>8</v>
      </c>
      <c r="X106" s="236" t="s">
        <v>34</v>
      </c>
      <c r="Y106" s="236">
        <v>50</v>
      </c>
      <c r="Z106" s="237">
        <v>21</v>
      </c>
      <c r="AA106" s="237">
        <v>7</v>
      </c>
      <c r="AB106" s="237">
        <v>18</v>
      </c>
      <c r="AC106" s="236" t="s">
        <v>35</v>
      </c>
      <c r="AD106" s="236">
        <v>50</v>
      </c>
      <c r="AE106" s="238">
        <v>18.5</v>
      </c>
      <c r="AF106" s="238">
        <v>7.5</v>
      </c>
      <c r="AG106" s="238">
        <v>13</v>
      </c>
    </row>
    <row r="107" spans="1:33" s="239" customFormat="1" ht="23.5" customHeight="1">
      <c r="A107" s="186">
        <v>200</v>
      </c>
      <c r="B107" s="205">
        <v>60</v>
      </c>
      <c r="C107" s="225" t="s">
        <v>46</v>
      </c>
      <c r="D107" s="205">
        <v>805722</v>
      </c>
      <c r="E107" s="188">
        <f>VLOOKUP(D107,รายแปลง!E:G,3,FALSE)</f>
        <v>926121</v>
      </c>
      <c r="F107" s="206">
        <v>7.24</v>
      </c>
      <c r="G107" s="250" t="s">
        <v>28</v>
      </c>
      <c r="H107" s="206">
        <v>3.6972399999999999</v>
      </c>
      <c r="I107" s="206">
        <v>1.7852707260021001</v>
      </c>
      <c r="J107" s="250" t="s">
        <v>28</v>
      </c>
      <c r="K107" s="206">
        <v>27.706097730438827</v>
      </c>
      <c r="L107" s="250" t="s">
        <v>28</v>
      </c>
      <c r="M107" s="206">
        <v>304.84887109832988</v>
      </c>
      <c r="N107" s="250" t="s">
        <v>30</v>
      </c>
      <c r="O107" s="207"/>
      <c r="P107" s="207"/>
      <c r="Q107" s="207"/>
      <c r="R107" s="233" t="s">
        <v>31</v>
      </c>
      <c r="S107" s="234" t="s">
        <v>42</v>
      </c>
      <c r="T107" s="234" t="s">
        <v>33</v>
      </c>
      <c r="U107" s="235">
        <v>16</v>
      </c>
      <c r="V107" s="235">
        <v>16</v>
      </c>
      <c r="W107" s="235">
        <v>8</v>
      </c>
      <c r="X107" s="236" t="s">
        <v>39</v>
      </c>
      <c r="Y107" s="236">
        <v>50</v>
      </c>
      <c r="Z107" s="237">
        <v>21</v>
      </c>
      <c r="AA107" s="237">
        <v>7</v>
      </c>
      <c r="AB107" s="237">
        <v>18</v>
      </c>
      <c r="AC107" s="236" t="s">
        <v>35</v>
      </c>
      <c r="AD107" s="236">
        <v>50</v>
      </c>
      <c r="AE107" s="238">
        <v>18.5</v>
      </c>
      <c r="AF107" s="238">
        <v>11.5</v>
      </c>
      <c r="AG107" s="238">
        <v>13</v>
      </c>
    </row>
    <row r="108" spans="1:33" s="239" customFormat="1" ht="23.5" customHeight="1">
      <c r="A108" s="186">
        <v>201</v>
      </c>
      <c r="B108" s="205">
        <v>60</v>
      </c>
      <c r="C108" s="225" t="s">
        <v>46</v>
      </c>
      <c r="D108" s="205">
        <v>805721</v>
      </c>
      <c r="E108" s="188">
        <f>VLOOKUP(D108,รายแปลง!E:G,3,FALSE)</f>
        <v>926119</v>
      </c>
      <c r="F108" s="206">
        <v>7.8</v>
      </c>
      <c r="G108" s="250" t="s">
        <v>40</v>
      </c>
      <c r="H108" s="206">
        <v>3.77956</v>
      </c>
      <c r="I108" s="206">
        <v>2.0810422470634791</v>
      </c>
      <c r="J108" s="250" t="s">
        <v>28</v>
      </c>
      <c r="K108" s="206">
        <v>400.76286207919617</v>
      </c>
      <c r="L108" s="250" t="s">
        <v>29</v>
      </c>
      <c r="M108" s="206">
        <v>424.42484372542691</v>
      </c>
      <c r="N108" s="250" t="s">
        <v>30</v>
      </c>
      <c r="O108" s="207"/>
      <c r="P108" s="207"/>
      <c r="Q108" s="207"/>
      <c r="R108" s="233" t="s">
        <v>43</v>
      </c>
      <c r="S108" s="234" t="s">
        <v>32</v>
      </c>
      <c r="T108" s="234" t="s">
        <v>33</v>
      </c>
      <c r="U108" s="235">
        <v>16</v>
      </c>
      <c r="V108" s="235">
        <v>8</v>
      </c>
      <c r="W108" s="235">
        <v>8</v>
      </c>
      <c r="X108" s="236" t="s">
        <v>34</v>
      </c>
      <c r="Y108" s="236">
        <v>50</v>
      </c>
      <c r="Z108" s="237">
        <v>21</v>
      </c>
      <c r="AA108" s="237">
        <v>7</v>
      </c>
      <c r="AB108" s="237">
        <v>18</v>
      </c>
      <c r="AC108" s="236" t="s">
        <v>35</v>
      </c>
      <c r="AD108" s="236">
        <v>50</v>
      </c>
      <c r="AE108" s="238">
        <v>18.5</v>
      </c>
      <c r="AF108" s="238">
        <v>7.5</v>
      </c>
      <c r="AG108" s="238">
        <v>13</v>
      </c>
    </row>
    <row r="109" spans="1:33" s="239" customFormat="1" ht="23.5" customHeight="1">
      <c r="A109" s="186">
        <v>204</v>
      </c>
      <c r="B109" s="205">
        <v>60</v>
      </c>
      <c r="C109" s="225" t="s">
        <v>44</v>
      </c>
      <c r="D109" s="205">
        <v>214</v>
      </c>
      <c r="E109" s="188">
        <f>VLOOKUP(D109,รายแปลง!E:G,3,FALSE)</f>
        <v>911107</v>
      </c>
      <c r="F109" s="206">
        <v>6.08</v>
      </c>
      <c r="G109" s="250" t="s">
        <v>28</v>
      </c>
      <c r="H109" s="206">
        <v>1.690984</v>
      </c>
      <c r="I109" s="206">
        <v>0.63531657961953203</v>
      </c>
      <c r="J109" s="250" t="s">
        <v>37</v>
      </c>
      <c r="K109" s="206">
        <v>-0.3311443050856081</v>
      </c>
      <c r="L109" s="250" t="s">
        <v>47</v>
      </c>
      <c r="M109" s="206">
        <v>341.83688961886833</v>
      </c>
      <c r="N109" s="250" t="s">
        <v>30</v>
      </c>
      <c r="O109" s="207"/>
      <c r="P109" s="207"/>
      <c r="Q109" s="207"/>
      <c r="R109" s="233" t="s">
        <v>38</v>
      </c>
      <c r="S109" s="234" t="s">
        <v>43</v>
      </c>
      <c r="T109" s="234" t="s">
        <v>33</v>
      </c>
      <c r="U109" s="235">
        <v>16</v>
      </c>
      <c r="V109" s="235">
        <v>16</v>
      </c>
      <c r="W109" s="235">
        <v>8</v>
      </c>
      <c r="X109" s="236" t="s">
        <v>39</v>
      </c>
      <c r="Y109" s="236">
        <v>50</v>
      </c>
      <c r="Z109" s="237">
        <v>21</v>
      </c>
      <c r="AA109" s="237">
        <v>7</v>
      </c>
      <c r="AB109" s="237">
        <v>18</v>
      </c>
      <c r="AC109" s="236" t="s">
        <v>35</v>
      </c>
      <c r="AD109" s="236">
        <v>50</v>
      </c>
      <c r="AE109" s="238">
        <v>18.5</v>
      </c>
      <c r="AF109" s="238">
        <v>11.5</v>
      </c>
      <c r="AG109" s="238">
        <v>13</v>
      </c>
    </row>
    <row r="110" spans="1:33" s="239" customFormat="1" ht="23.5" customHeight="1">
      <c r="A110" s="186">
        <v>206</v>
      </c>
      <c r="B110" s="205">
        <v>60</v>
      </c>
      <c r="C110" s="223" t="s">
        <v>77</v>
      </c>
      <c r="D110" s="205">
        <v>807914</v>
      </c>
      <c r="E110" s="188">
        <f>VLOOKUP(D110,รายแปลง!E:G,3,FALSE)</f>
        <v>927107</v>
      </c>
      <c r="F110" s="206">
        <v>7.2</v>
      </c>
      <c r="G110" s="250" t="s">
        <v>28</v>
      </c>
      <c r="H110" s="206">
        <v>4.6556799999999994</v>
      </c>
      <c r="I110" s="206">
        <v>2.7456907818014429</v>
      </c>
      <c r="J110" s="250" t="s">
        <v>29</v>
      </c>
      <c r="K110" s="206">
        <v>-0.31780741018265535</v>
      </c>
      <c r="L110" s="250" t="s">
        <v>47</v>
      </c>
      <c r="M110" s="206">
        <v>354.22530399753293</v>
      </c>
      <c r="N110" s="250" t="s">
        <v>30</v>
      </c>
      <c r="O110" s="207"/>
      <c r="P110" s="207"/>
      <c r="Q110" s="207"/>
      <c r="R110" s="233" t="s">
        <v>43</v>
      </c>
      <c r="S110" s="234" t="s">
        <v>43</v>
      </c>
      <c r="T110" s="234" t="s">
        <v>33</v>
      </c>
      <c r="U110" s="235">
        <v>16</v>
      </c>
      <c r="V110" s="235">
        <v>16</v>
      </c>
      <c r="W110" s="235">
        <v>8</v>
      </c>
      <c r="X110" s="236" t="s">
        <v>39</v>
      </c>
      <c r="Y110" s="236">
        <v>50</v>
      </c>
      <c r="Z110" s="237">
        <v>15</v>
      </c>
      <c r="AA110" s="237">
        <v>7</v>
      </c>
      <c r="AB110" s="237">
        <v>18</v>
      </c>
      <c r="AC110" s="236" t="s">
        <v>51</v>
      </c>
      <c r="AD110" s="236">
        <v>50</v>
      </c>
      <c r="AE110" s="238">
        <v>15.5</v>
      </c>
      <c r="AF110" s="238">
        <v>11.5</v>
      </c>
      <c r="AG110" s="238">
        <v>13</v>
      </c>
    </row>
    <row r="111" spans="1:33" s="239" customFormat="1" ht="23.5" customHeight="1">
      <c r="A111" s="186">
        <v>208</v>
      </c>
      <c r="B111" s="205">
        <v>60</v>
      </c>
      <c r="C111" s="225" t="s">
        <v>50</v>
      </c>
      <c r="D111" s="205">
        <v>1513</v>
      </c>
      <c r="E111" s="188">
        <f>VLOOKUP(D111,รายแปลง!E:G,3,FALSE)</f>
        <v>908118</v>
      </c>
      <c r="F111" s="206">
        <v>7.2799999999999994</v>
      </c>
      <c r="G111" s="250" t="s">
        <v>28</v>
      </c>
      <c r="H111" s="206">
        <v>3.9559600000000001</v>
      </c>
      <c r="I111" s="206">
        <v>1.3804108308314307</v>
      </c>
      <c r="J111" s="250" t="s">
        <v>41</v>
      </c>
      <c r="K111" s="206">
        <v>85.358651169287512</v>
      </c>
      <c r="L111" s="250" t="s">
        <v>29</v>
      </c>
      <c r="M111" s="206">
        <v>268.78391149231959</v>
      </c>
      <c r="N111" s="250" t="s">
        <v>30</v>
      </c>
      <c r="O111" s="207"/>
      <c r="P111" s="207"/>
      <c r="Q111" s="207"/>
      <c r="R111" s="233" t="s">
        <v>31</v>
      </c>
      <c r="S111" s="234" t="s">
        <v>32</v>
      </c>
      <c r="T111" s="234" t="s">
        <v>33</v>
      </c>
      <c r="U111" s="235">
        <v>16</v>
      </c>
      <c r="V111" s="235">
        <v>8</v>
      </c>
      <c r="W111" s="235">
        <v>8</v>
      </c>
      <c r="X111" s="236" t="s">
        <v>34</v>
      </c>
      <c r="Y111" s="236">
        <v>50</v>
      </c>
      <c r="Z111" s="237">
        <v>21</v>
      </c>
      <c r="AA111" s="237">
        <v>7</v>
      </c>
      <c r="AB111" s="237">
        <v>18</v>
      </c>
      <c r="AC111" s="236" t="s">
        <v>35</v>
      </c>
      <c r="AD111" s="236">
        <v>50</v>
      </c>
      <c r="AE111" s="238">
        <v>18.5</v>
      </c>
      <c r="AF111" s="238">
        <v>7.5</v>
      </c>
      <c r="AG111" s="238">
        <v>13</v>
      </c>
    </row>
    <row r="112" spans="1:33" s="239" customFormat="1" ht="23.5" customHeight="1">
      <c r="A112" s="186">
        <v>219</v>
      </c>
      <c r="B112" s="205">
        <v>60</v>
      </c>
      <c r="C112" s="225" t="s">
        <v>59</v>
      </c>
      <c r="D112" s="205">
        <v>1816</v>
      </c>
      <c r="E112" s="188">
        <f>VLOOKUP(D112,รายแปลง!E:G,3,FALSE)</f>
        <v>920105</v>
      </c>
      <c r="F112" s="206">
        <v>6.7649999999999997</v>
      </c>
      <c r="G112" s="250" t="s">
        <v>28</v>
      </c>
      <c r="H112" s="206">
        <v>1.9767520000000003</v>
      </c>
      <c r="I112" s="206">
        <v>0.13235569441576073</v>
      </c>
      <c r="J112" s="250" t="s">
        <v>37</v>
      </c>
      <c r="K112" s="206">
        <v>5.3123118446008171</v>
      </c>
      <c r="L112" s="250" t="s">
        <v>47</v>
      </c>
      <c r="M112" s="206">
        <v>19.356929277581827</v>
      </c>
      <c r="N112" s="250" t="s">
        <v>37</v>
      </c>
      <c r="O112" s="207"/>
      <c r="P112" s="207"/>
      <c r="Q112" s="207"/>
      <c r="R112" s="233" t="s">
        <v>38</v>
      </c>
      <c r="S112" s="234" t="s">
        <v>43</v>
      </c>
      <c r="T112" s="234" t="s">
        <v>31</v>
      </c>
      <c r="U112" s="235">
        <v>16</v>
      </c>
      <c r="V112" s="235">
        <v>16</v>
      </c>
      <c r="W112" s="235">
        <v>8</v>
      </c>
      <c r="X112" s="236" t="s">
        <v>39</v>
      </c>
      <c r="Y112" s="236">
        <v>50</v>
      </c>
      <c r="Z112" s="237">
        <v>20</v>
      </c>
      <c r="AA112" s="237">
        <v>8</v>
      </c>
      <c r="AB112" s="237">
        <v>20</v>
      </c>
      <c r="AC112" s="236" t="s">
        <v>45</v>
      </c>
      <c r="AD112" s="236">
        <v>50</v>
      </c>
      <c r="AE112" s="238">
        <v>18</v>
      </c>
      <c r="AF112" s="238">
        <v>12</v>
      </c>
      <c r="AG112" s="238">
        <v>14</v>
      </c>
    </row>
    <row r="113" spans="1:33" s="239" customFormat="1" ht="23.5" customHeight="1">
      <c r="A113" s="186">
        <v>220</v>
      </c>
      <c r="B113" s="205">
        <v>60</v>
      </c>
      <c r="C113" s="225" t="s">
        <v>59</v>
      </c>
      <c r="D113" s="205">
        <v>1804</v>
      </c>
      <c r="E113" s="188">
        <f>VLOOKUP(D113,รายแปลง!E:G,3,FALSE)</f>
        <v>920108</v>
      </c>
      <c r="F113" s="206">
        <v>5.92</v>
      </c>
      <c r="G113" s="250" t="s">
        <v>28</v>
      </c>
      <c r="H113" s="206">
        <v>1.5169359999999998</v>
      </c>
      <c r="I113" s="206">
        <v>1.4837162614832833</v>
      </c>
      <c r="J113" s="250" t="s">
        <v>41</v>
      </c>
      <c r="K113" s="206">
        <v>7.8191996869284353</v>
      </c>
      <c r="L113" s="250" t="s">
        <v>37</v>
      </c>
      <c r="M113" s="206">
        <v>218.98461592116251</v>
      </c>
      <c r="N113" s="250" t="s">
        <v>30</v>
      </c>
      <c r="O113" s="207"/>
      <c r="P113" s="207"/>
      <c r="Q113" s="207"/>
      <c r="R113" s="233" t="s">
        <v>31</v>
      </c>
      <c r="S113" s="234" t="s">
        <v>43</v>
      </c>
      <c r="T113" s="234" t="s">
        <v>33</v>
      </c>
      <c r="U113" s="235">
        <v>16</v>
      </c>
      <c r="V113" s="235">
        <v>16</v>
      </c>
      <c r="W113" s="235">
        <v>8</v>
      </c>
      <c r="X113" s="236" t="s">
        <v>39</v>
      </c>
      <c r="Y113" s="236">
        <v>50</v>
      </c>
      <c r="Z113" s="237">
        <v>21</v>
      </c>
      <c r="AA113" s="237">
        <v>7</v>
      </c>
      <c r="AB113" s="237">
        <v>18</v>
      </c>
      <c r="AC113" s="236" t="s">
        <v>35</v>
      </c>
      <c r="AD113" s="236">
        <v>50</v>
      </c>
      <c r="AE113" s="238">
        <v>18.5</v>
      </c>
      <c r="AF113" s="238">
        <v>11.5</v>
      </c>
      <c r="AG113" s="238">
        <v>13</v>
      </c>
    </row>
    <row r="114" spans="1:33" s="239" customFormat="1" ht="23.5" customHeight="1">
      <c r="A114" s="186">
        <v>221</v>
      </c>
      <c r="B114" s="205">
        <v>60</v>
      </c>
      <c r="C114" s="225" t="s">
        <v>59</v>
      </c>
      <c r="D114" s="205">
        <v>1810</v>
      </c>
      <c r="E114" s="188">
        <f>VLOOKUP(D114,รายแปลง!E:G,3,FALSE)</f>
        <v>920113</v>
      </c>
      <c r="F114" s="206">
        <v>5.915</v>
      </c>
      <c r="G114" s="250" t="s">
        <v>28</v>
      </c>
      <c r="H114" s="206">
        <v>1.5375160000000001</v>
      </c>
      <c r="I114" s="206">
        <v>0.86346782612607775</v>
      </c>
      <c r="J114" s="250" t="s">
        <v>37</v>
      </c>
      <c r="K114" s="206">
        <v>19.593990342135402</v>
      </c>
      <c r="L114" s="250" t="s">
        <v>41</v>
      </c>
      <c r="M114" s="206">
        <v>113.36993169989847</v>
      </c>
      <c r="N114" s="250" t="s">
        <v>29</v>
      </c>
      <c r="O114" s="207"/>
      <c r="P114" s="207"/>
      <c r="Q114" s="207"/>
      <c r="R114" s="233" t="s">
        <v>38</v>
      </c>
      <c r="S114" s="234" t="s">
        <v>42</v>
      </c>
      <c r="T114" s="234" t="s">
        <v>33</v>
      </c>
      <c r="U114" s="235">
        <v>16</v>
      </c>
      <c r="V114" s="235">
        <v>16</v>
      </c>
      <c r="W114" s="235">
        <v>8</v>
      </c>
      <c r="X114" s="236" t="s">
        <v>39</v>
      </c>
      <c r="Y114" s="236">
        <v>50</v>
      </c>
      <c r="Z114" s="237">
        <v>21</v>
      </c>
      <c r="AA114" s="237">
        <v>7</v>
      </c>
      <c r="AB114" s="237">
        <v>18</v>
      </c>
      <c r="AC114" s="236" t="s">
        <v>35</v>
      </c>
      <c r="AD114" s="236">
        <v>50</v>
      </c>
      <c r="AE114" s="238">
        <v>18.5</v>
      </c>
      <c r="AF114" s="238">
        <v>11.5</v>
      </c>
      <c r="AG114" s="238">
        <v>13</v>
      </c>
    </row>
    <row r="115" spans="1:33" s="239" customFormat="1" ht="23.5" customHeight="1">
      <c r="A115" s="186">
        <v>222</v>
      </c>
      <c r="B115" s="205">
        <v>60</v>
      </c>
      <c r="C115" s="225" t="s">
        <v>59</v>
      </c>
      <c r="D115" s="205">
        <v>1812</v>
      </c>
      <c r="E115" s="188">
        <f>VLOOKUP(D115,รายแปลง!E:G,3,FALSE)</f>
        <v>920106</v>
      </c>
      <c r="F115" s="206">
        <v>5.7450000000000001</v>
      </c>
      <c r="G115" s="250" t="s">
        <v>28</v>
      </c>
      <c r="H115" s="206">
        <v>1.9326519999999998</v>
      </c>
      <c r="I115" s="206">
        <v>0.93318762639736663</v>
      </c>
      <c r="J115" s="250" t="s">
        <v>37</v>
      </c>
      <c r="K115" s="206">
        <v>91.866572342320026</v>
      </c>
      <c r="L115" s="250" t="s">
        <v>29</v>
      </c>
      <c r="M115" s="206">
        <v>179.96544000833597</v>
      </c>
      <c r="N115" s="250" t="s">
        <v>30</v>
      </c>
      <c r="O115" s="207"/>
      <c r="P115" s="207"/>
      <c r="Q115" s="207"/>
      <c r="R115" s="233" t="s">
        <v>38</v>
      </c>
      <c r="S115" s="234" t="s">
        <v>32</v>
      </c>
      <c r="T115" s="234" t="s">
        <v>33</v>
      </c>
      <c r="U115" s="235">
        <v>16</v>
      </c>
      <c r="V115" s="235">
        <v>16</v>
      </c>
      <c r="W115" s="235">
        <v>8</v>
      </c>
      <c r="X115" s="236" t="s">
        <v>39</v>
      </c>
      <c r="Y115" s="236">
        <v>50</v>
      </c>
      <c r="Z115" s="237">
        <v>21</v>
      </c>
      <c r="AA115" s="237">
        <v>7</v>
      </c>
      <c r="AB115" s="237">
        <v>18</v>
      </c>
      <c r="AC115" s="236" t="s">
        <v>35</v>
      </c>
      <c r="AD115" s="236">
        <v>50</v>
      </c>
      <c r="AE115" s="238">
        <v>18.5</v>
      </c>
      <c r="AF115" s="238">
        <v>11.5</v>
      </c>
      <c r="AG115" s="238">
        <v>13</v>
      </c>
    </row>
    <row r="116" spans="1:33" s="239" customFormat="1" ht="23.5" customHeight="1">
      <c r="A116" s="186">
        <v>224</v>
      </c>
      <c r="B116" s="205">
        <v>60</v>
      </c>
      <c r="C116" s="225" t="s">
        <v>59</v>
      </c>
      <c r="D116" s="205">
        <v>1805</v>
      </c>
      <c r="E116" s="188">
        <f>VLOOKUP(D116,รายแปลง!E:G,3,FALSE)</f>
        <v>920110</v>
      </c>
      <c r="F116" s="206">
        <v>5.6749999999999998</v>
      </c>
      <c r="G116" s="250" t="s">
        <v>28</v>
      </c>
      <c r="H116" s="206">
        <v>0.87719199999999997</v>
      </c>
      <c r="I116" s="206">
        <v>0.67925557315844209</v>
      </c>
      <c r="J116" s="250" t="s">
        <v>37</v>
      </c>
      <c r="K116" s="206">
        <v>11.222674837101529</v>
      </c>
      <c r="L116" s="250" t="s">
        <v>41</v>
      </c>
      <c r="M116" s="206">
        <v>83.697113111982702</v>
      </c>
      <c r="N116" s="250" t="s">
        <v>28</v>
      </c>
      <c r="O116" s="207"/>
      <c r="P116" s="207"/>
      <c r="Q116" s="207"/>
      <c r="R116" s="233" t="s">
        <v>38</v>
      </c>
      <c r="S116" s="234" t="s">
        <v>43</v>
      </c>
      <c r="T116" s="234" t="s">
        <v>43</v>
      </c>
      <c r="U116" s="235">
        <v>16</v>
      </c>
      <c r="V116" s="235">
        <v>16</v>
      </c>
      <c r="W116" s="235">
        <v>8</v>
      </c>
      <c r="X116" s="236" t="s">
        <v>39</v>
      </c>
      <c r="Y116" s="236">
        <v>50</v>
      </c>
      <c r="Z116" s="237">
        <v>21</v>
      </c>
      <c r="AA116" s="237">
        <v>7</v>
      </c>
      <c r="AB116" s="237">
        <v>18</v>
      </c>
      <c r="AC116" s="236" t="s">
        <v>35</v>
      </c>
      <c r="AD116" s="236">
        <v>50</v>
      </c>
      <c r="AE116" s="238">
        <v>18.5</v>
      </c>
      <c r="AF116" s="238">
        <v>11.5</v>
      </c>
      <c r="AG116" s="238">
        <v>13</v>
      </c>
    </row>
    <row r="117" spans="1:33" s="239" customFormat="1" ht="23.5" customHeight="1">
      <c r="A117" s="186">
        <v>233</v>
      </c>
      <c r="B117" s="205">
        <v>60</v>
      </c>
      <c r="C117" s="225" t="s">
        <v>60</v>
      </c>
      <c r="D117" s="205">
        <v>1862</v>
      </c>
      <c r="E117" s="188">
        <f>VLOOKUP(D117,รายแปลง!E:G,3,FALSE)</f>
        <v>913108</v>
      </c>
      <c r="F117" s="206">
        <v>5.7050000000000001</v>
      </c>
      <c r="G117" s="250" t="s">
        <v>28</v>
      </c>
      <c r="H117" s="206">
        <v>1.8250479999999998</v>
      </c>
      <c r="I117" s="206">
        <v>1.735083318093269</v>
      </c>
      <c r="J117" s="250" t="s">
        <v>28</v>
      </c>
      <c r="K117" s="206">
        <v>24.950308164493364</v>
      </c>
      <c r="L117" s="250" t="s">
        <v>28</v>
      </c>
      <c r="M117" s="206">
        <v>221.96003384438379</v>
      </c>
      <c r="N117" s="250" t="s">
        <v>30</v>
      </c>
      <c r="O117" s="207"/>
      <c r="P117" s="207"/>
      <c r="Q117" s="207"/>
      <c r="R117" s="233" t="s">
        <v>31</v>
      </c>
      <c r="S117" s="234" t="s">
        <v>42</v>
      </c>
      <c r="T117" s="234" t="s">
        <v>33</v>
      </c>
      <c r="U117" s="235">
        <v>16</v>
      </c>
      <c r="V117" s="235">
        <v>16</v>
      </c>
      <c r="W117" s="235">
        <v>8</v>
      </c>
      <c r="X117" s="236" t="s">
        <v>39</v>
      </c>
      <c r="Y117" s="236">
        <v>50</v>
      </c>
      <c r="Z117" s="237">
        <v>21</v>
      </c>
      <c r="AA117" s="237">
        <v>7</v>
      </c>
      <c r="AB117" s="237">
        <v>18</v>
      </c>
      <c r="AC117" s="236" t="s">
        <v>35</v>
      </c>
      <c r="AD117" s="236">
        <v>50</v>
      </c>
      <c r="AE117" s="238">
        <v>18.5</v>
      </c>
      <c r="AF117" s="238">
        <v>11.5</v>
      </c>
      <c r="AG117" s="238">
        <v>13</v>
      </c>
    </row>
    <row r="118" spans="1:33" s="239" customFormat="1" ht="23.5" customHeight="1">
      <c r="A118" s="186">
        <v>234</v>
      </c>
      <c r="B118" s="205">
        <v>60</v>
      </c>
      <c r="C118" s="225" t="s">
        <v>61</v>
      </c>
      <c r="D118" s="205">
        <v>1916</v>
      </c>
      <c r="E118" s="188">
        <f>VLOOKUP(D118,รายแปลง!E:G,3,FALSE)</f>
        <v>919119</v>
      </c>
      <c r="F118" s="206">
        <v>4.99</v>
      </c>
      <c r="G118" s="250" t="s">
        <v>56</v>
      </c>
      <c r="H118" s="206">
        <v>4.2558399999999992</v>
      </c>
      <c r="I118" s="206">
        <v>1.4965009581506439</v>
      </c>
      <c r="J118" s="250" t="s">
        <v>41</v>
      </c>
      <c r="K118" s="206">
        <v>45.955328039906149</v>
      </c>
      <c r="L118" s="250" t="s">
        <v>29</v>
      </c>
      <c r="M118" s="206">
        <v>92.287419855451148</v>
      </c>
      <c r="N118" s="250" t="s">
        <v>29</v>
      </c>
      <c r="O118" s="207"/>
      <c r="P118" s="207"/>
      <c r="Q118" s="207"/>
      <c r="R118" s="233" t="s">
        <v>31</v>
      </c>
      <c r="S118" s="234" t="s">
        <v>32</v>
      </c>
      <c r="T118" s="234" t="s">
        <v>33</v>
      </c>
      <c r="U118" s="235">
        <v>16</v>
      </c>
      <c r="V118" s="235">
        <v>8</v>
      </c>
      <c r="W118" s="235">
        <v>8</v>
      </c>
      <c r="X118" s="236" t="s">
        <v>34</v>
      </c>
      <c r="Y118" s="236">
        <v>50</v>
      </c>
      <c r="Z118" s="237">
        <v>21</v>
      </c>
      <c r="AA118" s="237">
        <v>7</v>
      </c>
      <c r="AB118" s="237">
        <v>18</v>
      </c>
      <c r="AC118" s="236" t="s">
        <v>35</v>
      </c>
      <c r="AD118" s="236">
        <v>50</v>
      </c>
      <c r="AE118" s="238">
        <v>18.5</v>
      </c>
      <c r="AF118" s="238">
        <v>7.5</v>
      </c>
      <c r="AG118" s="238">
        <v>13</v>
      </c>
    </row>
    <row r="119" spans="1:33" s="239" customFormat="1" ht="23.5" customHeight="1">
      <c r="A119" s="186">
        <v>235</v>
      </c>
      <c r="B119" s="205">
        <v>60</v>
      </c>
      <c r="C119" s="225" t="s">
        <v>61</v>
      </c>
      <c r="D119" s="205">
        <v>1909</v>
      </c>
      <c r="E119" s="188">
        <f>VLOOKUP(D119,รายแปลง!E:G,3,FALSE)</f>
        <v>919107</v>
      </c>
      <c r="F119" s="206">
        <v>6.85</v>
      </c>
      <c r="G119" s="250" t="s">
        <v>28</v>
      </c>
      <c r="H119" s="206">
        <v>2.1507999999999994</v>
      </c>
      <c r="I119" s="206">
        <v>1.4926309116983703</v>
      </c>
      <c r="J119" s="250" t="s">
        <v>41</v>
      </c>
      <c r="K119" s="206">
        <v>26.310761045962245</v>
      </c>
      <c r="L119" s="250" t="s">
        <v>28</v>
      </c>
      <c r="M119" s="206">
        <v>118.47748573422554</v>
      </c>
      <c r="N119" s="250" t="s">
        <v>29</v>
      </c>
      <c r="O119" s="207"/>
      <c r="P119" s="207"/>
      <c r="Q119" s="207"/>
      <c r="R119" s="233" t="s">
        <v>31</v>
      </c>
      <c r="S119" s="234" t="s">
        <v>42</v>
      </c>
      <c r="T119" s="234" t="s">
        <v>33</v>
      </c>
      <c r="U119" s="235">
        <v>16</v>
      </c>
      <c r="V119" s="235">
        <v>16</v>
      </c>
      <c r="W119" s="235">
        <v>8</v>
      </c>
      <c r="X119" s="236" t="s">
        <v>39</v>
      </c>
      <c r="Y119" s="236">
        <v>50</v>
      </c>
      <c r="Z119" s="237">
        <v>21</v>
      </c>
      <c r="AA119" s="237">
        <v>7</v>
      </c>
      <c r="AB119" s="237">
        <v>18</v>
      </c>
      <c r="AC119" s="236" t="s">
        <v>35</v>
      </c>
      <c r="AD119" s="236">
        <v>50</v>
      </c>
      <c r="AE119" s="238">
        <v>18.5</v>
      </c>
      <c r="AF119" s="238">
        <v>11.5</v>
      </c>
      <c r="AG119" s="238">
        <v>13</v>
      </c>
    </row>
    <row r="120" spans="1:33" s="239" customFormat="1" ht="23.5" customHeight="1">
      <c r="A120" s="186">
        <v>243</v>
      </c>
      <c r="B120" s="205">
        <v>60</v>
      </c>
      <c r="C120" s="225" t="s">
        <v>62</v>
      </c>
      <c r="D120" s="205">
        <v>825</v>
      </c>
      <c r="E120" s="188">
        <f>VLOOKUP(D120,รายแปลง!E:G,3,FALSE)</f>
        <v>903109</v>
      </c>
      <c r="F120" s="206">
        <v>7.75</v>
      </c>
      <c r="G120" s="250" t="s">
        <v>40</v>
      </c>
      <c r="H120" s="206">
        <v>4.0324</v>
      </c>
      <c r="I120" s="206">
        <v>0.73657638718646901</v>
      </c>
      <c r="J120" s="250" t="s">
        <v>37</v>
      </c>
      <c r="K120" s="206">
        <v>49.134688081989388</v>
      </c>
      <c r="L120" s="250" t="s">
        <v>29</v>
      </c>
      <c r="M120" s="206">
        <v>346.92573362864965</v>
      </c>
      <c r="N120" s="250" t="s">
        <v>30</v>
      </c>
      <c r="O120" s="207"/>
      <c r="P120" s="207"/>
      <c r="Q120" s="207"/>
      <c r="R120" s="233" t="s">
        <v>38</v>
      </c>
      <c r="S120" s="234" t="s">
        <v>32</v>
      </c>
      <c r="T120" s="234" t="s">
        <v>33</v>
      </c>
      <c r="U120" s="235">
        <v>16</v>
      </c>
      <c r="V120" s="235">
        <v>16</v>
      </c>
      <c r="W120" s="235">
        <v>8</v>
      </c>
      <c r="X120" s="236" t="s">
        <v>39</v>
      </c>
      <c r="Y120" s="236">
        <v>50</v>
      </c>
      <c r="Z120" s="237">
        <v>21</v>
      </c>
      <c r="AA120" s="237">
        <v>7</v>
      </c>
      <c r="AB120" s="237">
        <v>18</v>
      </c>
      <c r="AC120" s="236" t="s">
        <v>35</v>
      </c>
      <c r="AD120" s="236">
        <v>50</v>
      </c>
      <c r="AE120" s="238">
        <v>18.5</v>
      </c>
      <c r="AF120" s="238">
        <v>11.5</v>
      </c>
      <c r="AG120" s="238">
        <v>13</v>
      </c>
    </row>
    <row r="121" spans="1:33" s="239" customFormat="1" ht="23.5" customHeight="1">
      <c r="A121" s="186">
        <v>249</v>
      </c>
      <c r="B121" s="205">
        <v>60</v>
      </c>
      <c r="C121" s="225" t="s">
        <v>62</v>
      </c>
      <c r="D121" s="205">
        <v>876</v>
      </c>
      <c r="E121" s="188">
        <f>VLOOKUP(D121,รายแปลง!E:G,3,FALSE)</f>
        <v>903120</v>
      </c>
      <c r="F121" s="206">
        <v>7.3449999999999998</v>
      </c>
      <c r="G121" s="250" t="s">
        <v>40</v>
      </c>
      <c r="H121" s="206">
        <v>4.6262799999999995</v>
      </c>
      <c r="I121" s="206">
        <v>1.4450148624794728</v>
      </c>
      <c r="J121" s="250" t="s">
        <v>41</v>
      </c>
      <c r="K121" s="206">
        <v>51.535088872741341</v>
      </c>
      <c r="L121" s="250" t="s">
        <v>29</v>
      </c>
      <c r="M121" s="206">
        <v>361.36760615715502</v>
      </c>
      <c r="N121" s="250" t="s">
        <v>30</v>
      </c>
      <c r="O121" s="207"/>
      <c r="P121" s="207"/>
      <c r="Q121" s="207"/>
      <c r="R121" s="233" t="s">
        <v>31</v>
      </c>
      <c r="S121" s="234" t="s">
        <v>32</v>
      </c>
      <c r="T121" s="234" t="s">
        <v>33</v>
      </c>
      <c r="U121" s="235">
        <v>16</v>
      </c>
      <c r="V121" s="235">
        <v>8</v>
      </c>
      <c r="W121" s="235">
        <v>8</v>
      </c>
      <c r="X121" s="236" t="s">
        <v>34</v>
      </c>
      <c r="Y121" s="236">
        <v>50</v>
      </c>
      <c r="Z121" s="237">
        <v>21</v>
      </c>
      <c r="AA121" s="237">
        <v>7</v>
      </c>
      <c r="AB121" s="237">
        <v>18</v>
      </c>
      <c r="AC121" s="236" t="s">
        <v>35</v>
      </c>
      <c r="AD121" s="236">
        <v>50</v>
      </c>
      <c r="AE121" s="238">
        <v>18.5</v>
      </c>
      <c r="AF121" s="238">
        <v>7.5</v>
      </c>
      <c r="AG121" s="238">
        <v>13</v>
      </c>
    </row>
    <row r="122" spans="1:33" s="239" customFormat="1" ht="23.5" customHeight="1">
      <c r="A122" s="186">
        <v>250</v>
      </c>
      <c r="B122" s="205">
        <v>60</v>
      </c>
      <c r="C122" s="225" t="s">
        <v>62</v>
      </c>
      <c r="D122" s="205">
        <v>2005</v>
      </c>
      <c r="E122" s="188">
        <f>VLOOKUP(D122,รายแปลง!E:G,3,FALSE)</f>
        <v>901135</v>
      </c>
      <c r="F122" s="206">
        <v>7.35</v>
      </c>
      <c r="G122" s="250" t="s">
        <v>40</v>
      </c>
      <c r="H122" s="206">
        <v>4.1676399999999996</v>
      </c>
      <c r="I122" s="206">
        <v>1.4111931976710184</v>
      </c>
      <c r="J122" s="250" t="s">
        <v>41</v>
      </c>
      <c r="K122" s="206">
        <v>47.369159810587192</v>
      </c>
      <c r="L122" s="250" t="s">
        <v>29</v>
      </c>
      <c r="M122" s="206">
        <v>362.28896819629961</v>
      </c>
      <c r="N122" s="250" t="s">
        <v>30</v>
      </c>
      <c r="O122" s="207"/>
      <c r="P122" s="207"/>
      <c r="Q122" s="207"/>
      <c r="R122" s="233" t="s">
        <v>31</v>
      </c>
      <c r="S122" s="234" t="s">
        <v>32</v>
      </c>
      <c r="T122" s="234" t="s">
        <v>33</v>
      </c>
      <c r="U122" s="235">
        <v>16</v>
      </c>
      <c r="V122" s="235">
        <v>8</v>
      </c>
      <c r="W122" s="235">
        <v>8</v>
      </c>
      <c r="X122" s="236" t="s">
        <v>34</v>
      </c>
      <c r="Y122" s="236">
        <v>50</v>
      </c>
      <c r="Z122" s="237">
        <v>21</v>
      </c>
      <c r="AA122" s="237">
        <v>7</v>
      </c>
      <c r="AB122" s="237">
        <v>18</v>
      </c>
      <c r="AC122" s="236" t="s">
        <v>35</v>
      </c>
      <c r="AD122" s="236">
        <v>50</v>
      </c>
      <c r="AE122" s="238">
        <v>18.5</v>
      </c>
      <c r="AF122" s="238">
        <v>7.5</v>
      </c>
      <c r="AG122" s="238">
        <v>13</v>
      </c>
    </row>
    <row r="123" spans="1:33" s="239" customFormat="1" ht="23.5" customHeight="1">
      <c r="A123" s="186">
        <v>252</v>
      </c>
      <c r="B123" s="205">
        <v>60</v>
      </c>
      <c r="C123" s="225" t="s">
        <v>62</v>
      </c>
      <c r="D123" s="205">
        <v>8121018</v>
      </c>
      <c r="E123" s="188">
        <f>VLOOKUP(D123,รายแปลง!E:G,3,FALSE)</f>
        <v>901109</v>
      </c>
      <c r="F123" s="206">
        <v>7.3650000000000002</v>
      </c>
      <c r="G123" s="250" t="s">
        <v>40</v>
      </c>
      <c r="H123" s="206">
        <v>2.827</v>
      </c>
      <c r="I123" s="206">
        <v>1.4976101806906139</v>
      </c>
      <c r="J123" s="250" t="s">
        <v>41</v>
      </c>
      <c r="K123" s="206">
        <v>42.96098518358324</v>
      </c>
      <c r="L123" s="250" t="s">
        <v>29</v>
      </c>
      <c r="M123" s="206">
        <v>293.64163384623197</v>
      </c>
      <c r="N123" s="250" t="s">
        <v>30</v>
      </c>
      <c r="O123" s="207"/>
      <c r="P123" s="207"/>
      <c r="Q123" s="207"/>
      <c r="R123" s="233" t="s">
        <v>31</v>
      </c>
      <c r="S123" s="234" t="s">
        <v>32</v>
      </c>
      <c r="T123" s="234" t="s">
        <v>33</v>
      </c>
      <c r="U123" s="235">
        <v>16</v>
      </c>
      <c r="V123" s="235">
        <v>8</v>
      </c>
      <c r="W123" s="235">
        <v>8</v>
      </c>
      <c r="X123" s="236" t="s">
        <v>34</v>
      </c>
      <c r="Y123" s="236">
        <v>50</v>
      </c>
      <c r="Z123" s="237">
        <v>21</v>
      </c>
      <c r="AA123" s="237">
        <v>7</v>
      </c>
      <c r="AB123" s="237">
        <v>18</v>
      </c>
      <c r="AC123" s="236" t="s">
        <v>35</v>
      </c>
      <c r="AD123" s="236">
        <v>50</v>
      </c>
      <c r="AE123" s="238">
        <v>18.5</v>
      </c>
      <c r="AF123" s="238">
        <v>7.5</v>
      </c>
      <c r="AG123" s="238">
        <v>13</v>
      </c>
    </row>
    <row r="124" spans="1:33" s="239" customFormat="1" ht="23.5" customHeight="1">
      <c r="A124" s="186">
        <v>253</v>
      </c>
      <c r="B124" s="205">
        <v>60</v>
      </c>
      <c r="C124" s="225" t="s">
        <v>62</v>
      </c>
      <c r="D124" s="205">
        <v>8121019</v>
      </c>
      <c r="E124" s="188">
        <f>VLOOKUP(D124,รายแปลง!E:G,3,FALSE)</f>
        <v>901104</v>
      </c>
      <c r="F124" s="206">
        <v>7.2949999999999999</v>
      </c>
      <c r="G124" s="250" t="s">
        <v>28</v>
      </c>
      <c r="H124" s="206">
        <v>4.1029599999999995</v>
      </c>
      <c r="I124" s="206">
        <v>1.7696600148146631</v>
      </c>
      <c r="J124" s="250" t="s">
        <v>28</v>
      </c>
      <c r="K124" s="206">
        <v>64.172674016588161</v>
      </c>
      <c r="L124" s="250" t="s">
        <v>29</v>
      </c>
      <c r="M124" s="206">
        <v>374.68472454078022</v>
      </c>
      <c r="N124" s="250" t="s">
        <v>30</v>
      </c>
      <c r="O124" s="207"/>
      <c r="P124" s="207"/>
      <c r="Q124" s="207"/>
      <c r="R124" s="233" t="s">
        <v>31</v>
      </c>
      <c r="S124" s="234" t="s">
        <v>32</v>
      </c>
      <c r="T124" s="234" t="s">
        <v>33</v>
      </c>
      <c r="U124" s="235">
        <v>16</v>
      </c>
      <c r="V124" s="235">
        <v>8</v>
      </c>
      <c r="W124" s="235">
        <v>8</v>
      </c>
      <c r="X124" s="236" t="s">
        <v>34</v>
      </c>
      <c r="Y124" s="236">
        <v>50</v>
      </c>
      <c r="Z124" s="237">
        <v>21</v>
      </c>
      <c r="AA124" s="237">
        <v>7</v>
      </c>
      <c r="AB124" s="237">
        <v>18</v>
      </c>
      <c r="AC124" s="236" t="s">
        <v>35</v>
      </c>
      <c r="AD124" s="236">
        <v>50</v>
      </c>
      <c r="AE124" s="238">
        <v>18.5</v>
      </c>
      <c r="AF124" s="238">
        <v>7.5</v>
      </c>
      <c r="AG124" s="238">
        <v>13</v>
      </c>
    </row>
    <row r="125" spans="1:33" s="239" customFormat="1" ht="23.5" customHeight="1">
      <c r="A125" s="186">
        <v>254</v>
      </c>
      <c r="B125" s="205">
        <v>60</v>
      </c>
      <c r="C125" s="225" t="s">
        <v>62</v>
      </c>
      <c r="D125" s="205">
        <v>8121038</v>
      </c>
      <c r="E125" s="188">
        <f>VLOOKUP(D125,รายแปลง!E:G,3,FALSE)</f>
        <v>903124</v>
      </c>
      <c r="F125" s="206">
        <v>6.9049999999999994</v>
      </c>
      <c r="G125" s="250" t="s">
        <v>28</v>
      </c>
      <c r="H125" s="206">
        <v>3.0563199999999999</v>
      </c>
      <c r="I125" s="206">
        <v>1.8601733723419047</v>
      </c>
      <c r="J125" s="250" t="s">
        <v>28</v>
      </c>
      <c r="K125" s="206">
        <v>52.637456671904339</v>
      </c>
      <c r="L125" s="250" t="s">
        <v>29</v>
      </c>
      <c r="M125" s="206">
        <v>426.07469204986478</v>
      </c>
      <c r="N125" s="250" t="s">
        <v>30</v>
      </c>
      <c r="O125" s="207"/>
      <c r="P125" s="207"/>
      <c r="Q125" s="207"/>
      <c r="R125" s="233" t="s">
        <v>31</v>
      </c>
      <c r="S125" s="234" t="s">
        <v>32</v>
      </c>
      <c r="T125" s="234" t="s">
        <v>33</v>
      </c>
      <c r="U125" s="235">
        <v>16</v>
      </c>
      <c r="V125" s="235">
        <v>8</v>
      </c>
      <c r="W125" s="235">
        <v>8</v>
      </c>
      <c r="X125" s="236" t="s">
        <v>34</v>
      </c>
      <c r="Y125" s="236">
        <v>50</v>
      </c>
      <c r="Z125" s="237">
        <v>21</v>
      </c>
      <c r="AA125" s="237">
        <v>7</v>
      </c>
      <c r="AB125" s="237">
        <v>18</v>
      </c>
      <c r="AC125" s="236" t="s">
        <v>35</v>
      </c>
      <c r="AD125" s="236">
        <v>50</v>
      </c>
      <c r="AE125" s="238">
        <v>18.5</v>
      </c>
      <c r="AF125" s="238">
        <v>7.5</v>
      </c>
      <c r="AG125" s="238">
        <v>13</v>
      </c>
    </row>
    <row r="126" spans="1:33" s="239" customFormat="1" ht="23.5" customHeight="1">
      <c r="A126" s="186">
        <v>255</v>
      </c>
      <c r="B126" s="205">
        <v>60</v>
      </c>
      <c r="C126" s="225" t="s">
        <v>63</v>
      </c>
      <c r="D126" s="205">
        <v>804609</v>
      </c>
      <c r="E126" s="188">
        <f>VLOOKUP(D126,รายแปลง!E:G,3,FALSE)</f>
        <v>924108</v>
      </c>
      <c r="F126" s="206">
        <v>7.3550000000000004</v>
      </c>
      <c r="G126" s="250" t="s">
        <v>40</v>
      </c>
      <c r="H126" s="206">
        <v>3.3561999999999994</v>
      </c>
      <c r="I126" s="206">
        <v>1.3822954245245578</v>
      </c>
      <c r="J126" s="250" t="s">
        <v>41</v>
      </c>
      <c r="K126" s="206">
        <v>279.41678426563669</v>
      </c>
      <c r="L126" s="250" t="s">
        <v>29</v>
      </c>
      <c r="M126" s="206">
        <v>444.77231172470522</v>
      </c>
      <c r="N126" s="250" t="s">
        <v>30</v>
      </c>
      <c r="O126" s="207"/>
      <c r="P126" s="207"/>
      <c r="Q126" s="207"/>
      <c r="R126" s="233" t="s">
        <v>31</v>
      </c>
      <c r="S126" s="234" t="s">
        <v>32</v>
      </c>
      <c r="T126" s="234" t="s">
        <v>33</v>
      </c>
      <c r="U126" s="235">
        <v>16</v>
      </c>
      <c r="V126" s="235">
        <v>8</v>
      </c>
      <c r="W126" s="235">
        <v>8</v>
      </c>
      <c r="X126" s="236" t="s">
        <v>34</v>
      </c>
      <c r="Y126" s="236">
        <v>50</v>
      </c>
      <c r="Z126" s="237">
        <v>21</v>
      </c>
      <c r="AA126" s="237">
        <v>7</v>
      </c>
      <c r="AB126" s="237">
        <v>18</v>
      </c>
      <c r="AC126" s="236" t="s">
        <v>35</v>
      </c>
      <c r="AD126" s="236">
        <v>50</v>
      </c>
      <c r="AE126" s="238">
        <v>18.5</v>
      </c>
      <c r="AF126" s="238">
        <v>7.5</v>
      </c>
      <c r="AG126" s="238">
        <v>13</v>
      </c>
    </row>
    <row r="127" spans="1:33" s="239" customFormat="1" ht="23.5" customHeight="1">
      <c r="A127" s="186">
        <v>259</v>
      </c>
      <c r="B127" s="205">
        <v>60</v>
      </c>
      <c r="C127" s="225" t="s">
        <v>63</v>
      </c>
      <c r="D127" s="205">
        <v>804615</v>
      </c>
      <c r="E127" s="188">
        <f>VLOOKUP(D127,รายแปลง!E:G,3,FALSE)</f>
        <v>924115</v>
      </c>
      <c r="F127" s="206">
        <v>7.57</v>
      </c>
      <c r="G127" s="250" t="s">
        <v>40</v>
      </c>
      <c r="H127" s="206">
        <v>2.9093199999999997</v>
      </c>
      <c r="I127" s="206">
        <v>1.2718624668635905</v>
      </c>
      <c r="J127" s="250" t="s">
        <v>41</v>
      </c>
      <c r="K127" s="206">
        <v>304.10737855292155</v>
      </c>
      <c r="L127" s="250" t="s">
        <v>29</v>
      </c>
      <c r="M127" s="206">
        <v>277.62837656933948</v>
      </c>
      <c r="N127" s="250" t="s">
        <v>30</v>
      </c>
      <c r="O127" s="207"/>
      <c r="P127" s="207"/>
      <c r="Q127" s="207"/>
      <c r="R127" s="233" t="s">
        <v>31</v>
      </c>
      <c r="S127" s="234" t="s">
        <v>32</v>
      </c>
      <c r="T127" s="234" t="s">
        <v>33</v>
      </c>
      <c r="U127" s="235">
        <v>16</v>
      </c>
      <c r="V127" s="235">
        <v>8</v>
      </c>
      <c r="W127" s="235">
        <v>8</v>
      </c>
      <c r="X127" s="236" t="s">
        <v>34</v>
      </c>
      <c r="Y127" s="236">
        <v>50</v>
      </c>
      <c r="Z127" s="237">
        <v>21</v>
      </c>
      <c r="AA127" s="237">
        <v>7</v>
      </c>
      <c r="AB127" s="237">
        <v>18</v>
      </c>
      <c r="AC127" s="236" t="s">
        <v>35</v>
      </c>
      <c r="AD127" s="236">
        <v>50</v>
      </c>
      <c r="AE127" s="238">
        <v>18.5</v>
      </c>
      <c r="AF127" s="238">
        <v>7.5</v>
      </c>
      <c r="AG127" s="238">
        <v>13</v>
      </c>
    </row>
    <row r="128" spans="1:33" s="239" customFormat="1" ht="23.5" customHeight="1">
      <c r="A128" s="186">
        <v>260</v>
      </c>
      <c r="B128" s="205">
        <v>60</v>
      </c>
      <c r="C128" s="225" t="s">
        <v>63</v>
      </c>
      <c r="D128" s="205">
        <v>618</v>
      </c>
      <c r="E128" s="188">
        <f>VLOOKUP(D128,รายแปลง!E:G,3,FALSE)</f>
        <v>902105</v>
      </c>
      <c r="F128" s="206">
        <v>7.5250000000000004</v>
      </c>
      <c r="G128" s="250" t="s">
        <v>40</v>
      </c>
      <c r="H128" s="206">
        <v>2.9151999999999996</v>
      </c>
      <c r="I128" s="206">
        <v>1.242142516894293</v>
      </c>
      <c r="J128" s="250" t="s">
        <v>41</v>
      </c>
      <c r="K128" s="206">
        <v>307.42840116250943</v>
      </c>
      <c r="L128" s="250" t="s">
        <v>29</v>
      </c>
      <c r="M128" s="206">
        <v>267.31017780111631</v>
      </c>
      <c r="N128" s="250" t="s">
        <v>30</v>
      </c>
      <c r="O128" s="207"/>
      <c r="P128" s="207"/>
      <c r="Q128" s="207"/>
      <c r="R128" s="233" t="s">
        <v>31</v>
      </c>
      <c r="S128" s="234" t="s">
        <v>32</v>
      </c>
      <c r="T128" s="234" t="s">
        <v>33</v>
      </c>
      <c r="U128" s="235">
        <v>16</v>
      </c>
      <c r="V128" s="235">
        <v>8</v>
      </c>
      <c r="W128" s="235">
        <v>8</v>
      </c>
      <c r="X128" s="236" t="s">
        <v>34</v>
      </c>
      <c r="Y128" s="236">
        <v>50</v>
      </c>
      <c r="Z128" s="237">
        <v>21</v>
      </c>
      <c r="AA128" s="237">
        <v>7</v>
      </c>
      <c r="AB128" s="237">
        <v>18</v>
      </c>
      <c r="AC128" s="236" t="s">
        <v>35</v>
      </c>
      <c r="AD128" s="236">
        <v>50</v>
      </c>
      <c r="AE128" s="238">
        <v>18.5</v>
      </c>
      <c r="AF128" s="238">
        <v>7.5</v>
      </c>
      <c r="AG128" s="238">
        <v>13</v>
      </c>
    </row>
    <row r="129" spans="1:33" s="239" customFormat="1" ht="23.5" customHeight="1">
      <c r="A129" s="186">
        <v>262</v>
      </c>
      <c r="B129" s="205">
        <v>60</v>
      </c>
      <c r="C129" s="225" t="s">
        <v>63</v>
      </c>
      <c r="D129" s="205">
        <v>804621</v>
      </c>
      <c r="E129" s="188">
        <f>VLOOKUP(D129,รายแปลง!E:G,3,FALSE)</f>
        <v>924114</v>
      </c>
      <c r="F129" s="206">
        <v>7.5449999999999999</v>
      </c>
      <c r="G129" s="250" t="s">
        <v>40</v>
      </c>
      <c r="H129" s="206">
        <v>2.6270799999999999</v>
      </c>
      <c r="I129" s="206">
        <v>1.2755073363851801</v>
      </c>
      <c r="J129" s="250" t="s">
        <v>41</v>
      </c>
      <c r="K129" s="206">
        <v>309.55737458913455</v>
      </c>
      <c r="L129" s="250" t="s">
        <v>29</v>
      </c>
      <c r="M129" s="206">
        <v>281.03829331339523</v>
      </c>
      <c r="N129" s="250" t="s">
        <v>30</v>
      </c>
      <c r="O129" s="207"/>
      <c r="P129" s="207"/>
      <c r="Q129" s="207"/>
      <c r="R129" s="233" t="s">
        <v>31</v>
      </c>
      <c r="S129" s="234" t="s">
        <v>32</v>
      </c>
      <c r="T129" s="234" t="s">
        <v>33</v>
      </c>
      <c r="U129" s="235">
        <v>16</v>
      </c>
      <c r="V129" s="235">
        <v>8</v>
      </c>
      <c r="W129" s="235">
        <v>8</v>
      </c>
      <c r="X129" s="236" t="s">
        <v>34</v>
      </c>
      <c r="Y129" s="236">
        <v>50</v>
      </c>
      <c r="Z129" s="237">
        <v>21</v>
      </c>
      <c r="AA129" s="237">
        <v>7</v>
      </c>
      <c r="AB129" s="237">
        <v>18</v>
      </c>
      <c r="AC129" s="236" t="s">
        <v>35</v>
      </c>
      <c r="AD129" s="236">
        <v>50</v>
      </c>
      <c r="AE129" s="238">
        <v>18.5</v>
      </c>
      <c r="AF129" s="238">
        <v>7.5</v>
      </c>
      <c r="AG129" s="238">
        <v>13</v>
      </c>
    </row>
    <row r="130" spans="1:33" s="239" customFormat="1" ht="23.5" customHeight="1">
      <c r="A130" s="186">
        <v>263</v>
      </c>
      <c r="B130" s="205">
        <v>60</v>
      </c>
      <c r="C130" s="225" t="s">
        <v>63</v>
      </c>
      <c r="D130" s="205">
        <v>804638</v>
      </c>
      <c r="E130" s="188">
        <f>VLOOKUP(D130,รายแปลง!E:G,3,FALSE)</f>
        <v>924116</v>
      </c>
      <c r="F130" s="206">
        <v>7.58</v>
      </c>
      <c r="G130" s="250" t="s">
        <v>40</v>
      </c>
      <c r="H130" s="206">
        <v>2.4918399999999998</v>
      </c>
      <c r="I130" s="206">
        <v>1.2779736830155548</v>
      </c>
      <c r="J130" s="250" t="s">
        <v>41</v>
      </c>
      <c r="K130" s="206">
        <v>303.74438721426617</v>
      </c>
      <c r="L130" s="250" t="s">
        <v>29</v>
      </c>
      <c r="M130" s="206">
        <v>259.26852031745278</v>
      </c>
      <c r="N130" s="250" t="s">
        <v>30</v>
      </c>
      <c r="O130" s="207"/>
      <c r="P130" s="207"/>
      <c r="Q130" s="207"/>
      <c r="R130" s="233" t="s">
        <v>31</v>
      </c>
      <c r="S130" s="234" t="s">
        <v>32</v>
      </c>
      <c r="T130" s="234" t="s">
        <v>33</v>
      </c>
      <c r="U130" s="235">
        <v>16</v>
      </c>
      <c r="V130" s="235">
        <v>8</v>
      </c>
      <c r="W130" s="235">
        <v>8</v>
      </c>
      <c r="X130" s="236" t="s">
        <v>34</v>
      </c>
      <c r="Y130" s="236">
        <v>50</v>
      </c>
      <c r="Z130" s="237">
        <v>21</v>
      </c>
      <c r="AA130" s="237">
        <v>7</v>
      </c>
      <c r="AB130" s="237">
        <v>18</v>
      </c>
      <c r="AC130" s="236" t="s">
        <v>35</v>
      </c>
      <c r="AD130" s="236">
        <v>50</v>
      </c>
      <c r="AE130" s="238">
        <v>18.5</v>
      </c>
      <c r="AF130" s="238">
        <v>7.5</v>
      </c>
      <c r="AG130" s="238">
        <v>13</v>
      </c>
    </row>
    <row r="131" spans="1:33" s="239" customFormat="1" ht="23.5" customHeight="1">
      <c r="A131" s="186">
        <v>264</v>
      </c>
      <c r="B131" s="205">
        <v>60</v>
      </c>
      <c r="C131" s="225" t="s">
        <v>63</v>
      </c>
      <c r="D131" s="205">
        <v>804631</v>
      </c>
      <c r="E131" s="188">
        <f>VLOOKUP(D131,รายแปลง!E:G,3,FALSE)</f>
        <v>924132</v>
      </c>
      <c r="F131" s="206">
        <v>7.5600000000000005</v>
      </c>
      <c r="G131" s="250" t="s">
        <v>40</v>
      </c>
      <c r="H131" s="206">
        <v>2.7623199999999999</v>
      </c>
      <c r="I131" s="206">
        <v>1.2332000176165054</v>
      </c>
      <c r="J131" s="250" t="s">
        <v>41</v>
      </c>
      <c r="K131" s="206">
        <v>306.59162714520625</v>
      </c>
      <c r="L131" s="250" t="s">
        <v>29</v>
      </c>
      <c r="M131" s="206">
        <v>274.75581549163132</v>
      </c>
      <c r="N131" s="250" t="s">
        <v>30</v>
      </c>
      <c r="O131" s="207"/>
      <c r="P131" s="207"/>
      <c r="Q131" s="207"/>
      <c r="R131" s="233" t="s">
        <v>31</v>
      </c>
      <c r="S131" s="234" t="s">
        <v>32</v>
      </c>
      <c r="T131" s="234" t="s">
        <v>33</v>
      </c>
      <c r="U131" s="235">
        <v>16</v>
      </c>
      <c r="V131" s="235">
        <v>8</v>
      </c>
      <c r="W131" s="235">
        <v>8</v>
      </c>
      <c r="X131" s="236" t="s">
        <v>34</v>
      </c>
      <c r="Y131" s="236">
        <v>50</v>
      </c>
      <c r="Z131" s="237">
        <v>21</v>
      </c>
      <c r="AA131" s="237">
        <v>7</v>
      </c>
      <c r="AB131" s="237">
        <v>18</v>
      </c>
      <c r="AC131" s="236" t="s">
        <v>35</v>
      </c>
      <c r="AD131" s="236">
        <v>50</v>
      </c>
      <c r="AE131" s="238">
        <v>18.5</v>
      </c>
      <c r="AF131" s="238">
        <v>7.5</v>
      </c>
      <c r="AG131" s="238">
        <v>13</v>
      </c>
    </row>
    <row r="132" spans="1:33" s="244" customFormat="1" ht="23.5" customHeight="1">
      <c r="A132" s="208">
        <v>265</v>
      </c>
      <c r="B132" s="209">
        <v>60</v>
      </c>
      <c r="C132" s="229" t="s">
        <v>63</v>
      </c>
      <c r="D132" s="209">
        <v>804632</v>
      </c>
      <c r="E132" s="210">
        <f>VLOOKUP(D132,รายแปลง!E:G,3,FALSE)</f>
        <v>924133</v>
      </c>
      <c r="F132" s="211">
        <v>7.5299999999999994</v>
      </c>
      <c r="G132" s="251" t="s">
        <v>40</v>
      </c>
      <c r="H132" s="211">
        <v>2.3707120000000002</v>
      </c>
      <c r="I132" s="211">
        <v>1.2081656341004408</v>
      </c>
      <c r="J132" s="251" t="s">
        <v>41</v>
      </c>
      <c r="K132" s="211">
        <v>300.44966057482691</v>
      </c>
      <c r="L132" s="251" t="s">
        <v>29</v>
      </c>
      <c r="M132" s="211">
        <v>269.79326043485355</v>
      </c>
      <c r="N132" s="251" t="s">
        <v>30</v>
      </c>
      <c r="O132" s="212"/>
      <c r="P132" s="212"/>
      <c r="Q132" s="212"/>
      <c r="R132" s="241" t="s">
        <v>31</v>
      </c>
      <c r="S132" s="242" t="s">
        <v>32</v>
      </c>
      <c r="T132" s="242" t="s">
        <v>33</v>
      </c>
      <c r="U132" s="243">
        <v>16</v>
      </c>
      <c r="V132" s="243">
        <v>8</v>
      </c>
      <c r="W132" s="243">
        <v>8</v>
      </c>
      <c r="X132" s="243" t="s">
        <v>34</v>
      </c>
      <c r="Y132" s="243">
        <v>50</v>
      </c>
      <c r="Z132" s="243">
        <v>21</v>
      </c>
      <c r="AA132" s="243">
        <v>7</v>
      </c>
      <c r="AB132" s="243">
        <v>18</v>
      </c>
      <c r="AC132" s="243" t="s">
        <v>35</v>
      </c>
      <c r="AD132" s="243">
        <v>50</v>
      </c>
      <c r="AE132" s="210">
        <v>18.5</v>
      </c>
      <c r="AF132" s="210">
        <v>7.5</v>
      </c>
      <c r="AG132" s="210">
        <v>13</v>
      </c>
    </row>
    <row r="133" spans="1:33" s="239" customFormat="1" ht="23.5" customHeight="1">
      <c r="A133" s="186">
        <v>266</v>
      </c>
      <c r="B133" s="205">
        <v>60</v>
      </c>
      <c r="C133" s="225" t="s">
        <v>63</v>
      </c>
      <c r="D133" s="205">
        <v>804636</v>
      </c>
      <c r="E133" s="188">
        <f>VLOOKUP(D133,รายแปลง!E:G,3,FALSE)</f>
        <v>924130</v>
      </c>
      <c r="F133" s="206">
        <v>7.52</v>
      </c>
      <c r="G133" s="250" t="s">
        <v>40</v>
      </c>
      <c r="H133" s="206">
        <v>2.5676920000000001</v>
      </c>
      <c r="I133" s="206">
        <v>1.4657112951841191</v>
      </c>
      <c r="J133" s="250" t="s">
        <v>41</v>
      </c>
      <c r="K133" s="206">
        <v>304.45066592927168</v>
      </c>
      <c r="L133" s="250" t="s">
        <v>29</v>
      </c>
      <c r="M133" s="206">
        <v>269.62869658728755</v>
      </c>
      <c r="N133" s="250" t="s">
        <v>30</v>
      </c>
      <c r="O133" s="207"/>
      <c r="P133" s="207"/>
      <c r="Q133" s="207"/>
      <c r="R133" s="233" t="s">
        <v>31</v>
      </c>
      <c r="S133" s="234" t="s">
        <v>32</v>
      </c>
      <c r="T133" s="234" t="s">
        <v>33</v>
      </c>
      <c r="U133" s="235">
        <v>16</v>
      </c>
      <c r="V133" s="235">
        <v>8</v>
      </c>
      <c r="W133" s="235">
        <v>8</v>
      </c>
      <c r="X133" s="236" t="s">
        <v>34</v>
      </c>
      <c r="Y133" s="236">
        <v>50</v>
      </c>
      <c r="Z133" s="237">
        <v>21</v>
      </c>
      <c r="AA133" s="237">
        <v>7</v>
      </c>
      <c r="AB133" s="237">
        <v>18</v>
      </c>
      <c r="AC133" s="236" t="s">
        <v>35</v>
      </c>
      <c r="AD133" s="236">
        <v>50</v>
      </c>
      <c r="AE133" s="238">
        <v>18.5</v>
      </c>
      <c r="AF133" s="238">
        <v>7.5</v>
      </c>
      <c r="AG133" s="238">
        <v>13</v>
      </c>
    </row>
    <row r="134" spans="1:33" s="239" customFormat="1" ht="23.5" customHeight="1">
      <c r="A134" s="186">
        <v>267</v>
      </c>
      <c r="B134" s="205">
        <v>60</v>
      </c>
      <c r="C134" s="225" t="s">
        <v>63</v>
      </c>
      <c r="D134" s="205">
        <v>804637</v>
      </c>
      <c r="E134" s="188">
        <f>VLOOKUP(D134,รายแปลง!E:G,3,FALSE)</f>
        <v>924131</v>
      </c>
      <c r="F134" s="206">
        <v>7.6</v>
      </c>
      <c r="G134" s="250" t="s">
        <v>40</v>
      </c>
      <c r="H134" s="206">
        <v>2.5623999999999998</v>
      </c>
      <c r="I134" s="206">
        <v>1.3348447185255656</v>
      </c>
      <c r="J134" s="250" t="s">
        <v>41</v>
      </c>
      <c r="K134" s="206">
        <v>306.79235774037124</v>
      </c>
      <c r="L134" s="250" t="s">
        <v>29</v>
      </c>
      <c r="M134" s="206">
        <v>273.39444717799432</v>
      </c>
      <c r="N134" s="250" t="s">
        <v>30</v>
      </c>
      <c r="O134" s="207"/>
      <c r="P134" s="207"/>
      <c r="Q134" s="207"/>
      <c r="R134" s="233" t="s">
        <v>31</v>
      </c>
      <c r="S134" s="234" t="s">
        <v>32</v>
      </c>
      <c r="T134" s="234" t="s">
        <v>33</v>
      </c>
      <c r="U134" s="235">
        <v>16</v>
      </c>
      <c r="V134" s="235">
        <v>8</v>
      </c>
      <c r="W134" s="235">
        <v>8</v>
      </c>
      <c r="X134" s="236" t="s">
        <v>34</v>
      </c>
      <c r="Y134" s="236">
        <v>50</v>
      </c>
      <c r="Z134" s="237">
        <v>21</v>
      </c>
      <c r="AA134" s="237">
        <v>7</v>
      </c>
      <c r="AB134" s="237">
        <v>18</v>
      </c>
      <c r="AC134" s="236" t="s">
        <v>35</v>
      </c>
      <c r="AD134" s="236">
        <v>50</v>
      </c>
      <c r="AE134" s="238">
        <v>18.5</v>
      </c>
      <c r="AF134" s="238">
        <v>7.5</v>
      </c>
      <c r="AG134" s="238">
        <v>13</v>
      </c>
    </row>
    <row r="135" spans="1:33" s="239" customFormat="1" ht="23.5" customHeight="1">
      <c r="A135" s="186">
        <v>268</v>
      </c>
      <c r="B135" s="205">
        <v>60</v>
      </c>
      <c r="C135" s="225" t="s">
        <v>63</v>
      </c>
      <c r="D135" s="205">
        <v>804645</v>
      </c>
      <c r="E135" s="188">
        <f>VLOOKUP(D135,รายแปลง!E:G,3,FALSE)</f>
        <v>924121</v>
      </c>
      <c r="F135" s="206">
        <v>7.59</v>
      </c>
      <c r="G135" s="250" t="s">
        <v>40</v>
      </c>
      <c r="H135" s="206">
        <v>2.4348039999999997</v>
      </c>
      <c r="I135" s="206">
        <v>1.3846874490375543</v>
      </c>
      <c r="J135" s="250" t="s">
        <v>41</v>
      </c>
      <c r="K135" s="206">
        <v>304.08770703894754</v>
      </c>
      <c r="L135" s="250" t="s">
        <v>29</v>
      </c>
      <c r="M135" s="206">
        <v>277.6881725537491</v>
      </c>
      <c r="N135" s="250" t="s">
        <v>30</v>
      </c>
      <c r="O135" s="207"/>
      <c r="P135" s="207"/>
      <c r="Q135" s="207"/>
      <c r="R135" s="233" t="s">
        <v>31</v>
      </c>
      <c r="S135" s="234" t="s">
        <v>32</v>
      </c>
      <c r="T135" s="234" t="s">
        <v>33</v>
      </c>
      <c r="U135" s="235">
        <v>16</v>
      </c>
      <c r="V135" s="235">
        <v>8</v>
      </c>
      <c r="W135" s="235">
        <v>8</v>
      </c>
      <c r="X135" s="236" t="s">
        <v>34</v>
      </c>
      <c r="Y135" s="236">
        <v>50</v>
      </c>
      <c r="Z135" s="237">
        <v>21</v>
      </c>
      <c r="AA135" s="237">
        <v>7</v>
      </c>
      <c r="AB135" s="237">
        <v>18</v>
      </c>
      <c r="AC135" s="236" t="s">
        <v>35</v>
      </c>
      <c r="AD135" s="236">
        <v>50</v>
      </c>
      <c r="AE135" s="238">
        <v>18.5</v>
      </c>
      <c r="AF135" s="238">
        <v>7.5</v>
      </c>
      <c r="AG135" s="238">
        <v>13</v>
      </c>
    </row>
    <row r="136" spans="1:33" s="239" customFormat="1" ht="23.5" customHeight="1">
      <c r="A136" s="186">
        <v>269</v>
      </c>
      <c r="B136" s="205">
        <v>60</v>
      </c>
      <c r="C136" s="225" t="s">
        <v>63</v>
      </c>
      <c r="D136" s="205">
        <v>804646</v>
      </c>
      <c r="E136" s="188">
        <f>VLOOKUP(D136,รายแปลง!E:G,3,FALSE)</f>
        <v>924122</v>
      </c>
      <c r="F136" s="206">
        <v>7.6</v>
      </c>
      <c r="G136" s="250" t="s">
        <v>40</v>
      </c>
      <c r="H136" s="206">
        <v>3.0151599999999998</v>
      </c>
      <c r="I136" s="206">
        <v>1.5123576252133617</v>
      </c>
      <c r="J136" s="250" t="s">
        <v>41</v>
      </c>
      <c r="K136" s="206">
        <v>310.459580274431</v>
      </c>
      <c r="L136" s="250" t="s">
        <v>29</v>
      </c>
      <c r="M136" s="206">
        <v>243.900829681749</v>
      </c>
      <c r="N136" s="250" t="s">
        <v>30</v>
      </c>
      <c r="O136" s="207"/>
      <c r="P136" s="207"/>
      <c r="Q136" s="207"/>
      <c r="R136" s="233" t="s">
        <v>31</v>
      </c>
      <c r="S136" s="234" t="s">
        <v>32</v>
      </c>
      <c r="T136" s="234" t="s">
        <v>33</v>
      </c>
      <c r="U136" s="235">
        <v>16</v>
      </c>
      <c r="V136" s="235">
        <v>8</v>
      </c>
      <c r="W136" s="235">
        <v>8</v>
      </c>
      <c r="X136" s="236" t="s">
        <v>34</v>
      </c>
      <c r="Y136" s="236">
        <v>50</v>
      </c>
      <c r="Z136" s="237">
        <v>21</v>
      </c>
      <c r="AA136" s="237">
        <v>7</v>
      </c>
      <c r="AB136" s="237">
        <v>18</v>
      </c>
      <c r="AC136" s="236" t="s">
        <v>35</v>
      </c>
      <c r="AD136" s="236">
        <v>50</v>
      </c>
      <c r="AE136" s="238">
        <v>18.5</v>
      </c>
      <c r="AF136" s="238">
        <v>7.5</v>
      </c>
      <c r="AG136" s="238">
        <v>13</v>
      </c>
    </row>
    <row r="137" spans="1:33" s="239" customFormat="1" ht="23.5" customHeight="1">
      <c r="A137" s="186">
        <v>270</v>
      </c>
      <c r="B137" s="205">
        <v>60</v>
      </c>
      <c r="C137" s="225" t="s">
        <v>63</v>
      </c>
      <c r="D137" s="205">
        <v>804650</v>
      </c>
      <c r="E137" s="188">
        <f>VLOOKUP(D137,รายแปลง!E:G,3,FALSE)</f>
        <v>924126</v>
      </c>
      <c r="F137" s="206">
        <v>7.585</v>
      </c>
      <c r="G137" s="250" t="s">
        <v>40</v>
      </c>
      <c r="H137" s="206">
        <v>2.9093199999999997</v>
      </c>
      <c r="I137" s="206">
        <v>1.3296048861618557</v>
      </c>
      <c r="J137" s="250" t="s">
        <v>41</v>
      </c>
      <c r="K137" s="206">
        <v>306.79307138882956</v>
      </c>
      <c r="L137" s="250" t="s">
        <v>29</v>
      </c>
      <c r="M137" s="206">
        <v>269.16551525744353</v>
      </c>
      <c r="N137" s="250" t="s">
        <v>30</v>
      </c>
      <c r="O137" s="207"/>
      <c r="P137" s="207"/>
      <c r="Q137" s="207"/>
      <c r="R137" s="233" t="s">
        <v>31</v>
      </c>
      <c r="S137" s="234" t="s">
        <v>32</v>
      </c>
      <c r="T137" s="234" t="s">
        <v>33</v>
      </c>
      <c r="U137" s="235">
        <v>16</v>
      </c>
      <c r="V137" s="235">
        <v>8</v>
      </c>
      <c r="W137" s="235">
        <v>8</v>
      </c>
      <c r="X137" s="236" t="s">
        <v>34</v>
      </c>
      <c r="Y137" s="236">
        <v>50</v>
      </c>
      <c r="Z137" s="237">
        <v>21</v>
      </c>
      <c r="AA137" s="237">
        <v>7</v>
      </c>
      <c r="AB137" s="237">
        <v>18</v>
      </c>
      <c r="AC137" s="236" t="s">
        <v>35</v>
      </c>
      <c r="AD137" s="236">
        <v>50</v>
      </c>
      <c r="AE137" s="238">
        <v>18.5</v>
      </c>
      <c r="AF137" s="238">
        <v>7.5</v>
      </c>
      <c r="AG137" s="238">
        <v>13</v>
      </c>
    </row>
    <row r="138" spans="1:33" s="239" customFormat="1" ht="23.5" customHeight="1">
      <c r="A138" s="186">
        <v>271</v>
      </c>
      <c r="B138" s="205">
        <v>60</v>
      </c>
      <c r="C138" s="225" t="s">
        <v>64</v>
      </c>
      <c r="D138" s="205">
        <v>152</v>
      </c>
      <c r="E138" s="188">
        <f>VLOOKUP(D138,รายแปลง!E:G,3,FALSE)</f>
        <v>928120</v>
      </c>
      <c r="F138" s="206">
        <v>6.6349999999999998</v>
      </c>
      <c r="G138" s="250" t="s">
        <v>28</v>
      </c>
      <c r="H138" s="206">
        <v>1.6180720000000002</v>
      </c>
      <c r="I138" s="206">
        <v>1.1029803968489684</v>
      </c>
      <c r="J138" s="250" t="s">
        <v>41</v>
      </c>
      <c r="K138" s="206">
        <v>18.941001543027781</v>
      </c>
      <c r="L138" s="250" t="s">
        <v>41</v>
      </c>
      <c r="M138" s="206">
        <v>154.87952336743248</v>
      </c>
      <c r="N138" s="250" t="s">
        <v>30</v>
      </c>
      <c r="O138" s="207"/>
      <c r="P138" s="207"/>
      <c r="Q138" s="207"/>
      <c r="R138" s="233" t="s">
        <v>31</v>
      </c>
      <c r="S138" s="234" t="s">
        <v>42</v>
      </c>
      <c r="T138" s="234" t="s">
        <v>33</v>
      </c>
      <c r="U138" s="235">
        <v>16</v>
      </c>
      <c r="V138" s="235">
        <v>16</v>
      </c>
      <c r="W138" s="235">
        <v>8</v>
      </c>
      <c r="X138" s="236" t="s">
        <v>39</v>
      </c>
      <c r="Y138" s="236">
        <v>50</v>
      </c>
      <c r="Z138" s="237">
        <v>21</v>
      </c>
      <c r="AA138" s="237">
        <v>7</v>
      </c>
      <c r="AB138" s="237">
        <v>18</v>
      </c>
      <c r="AC138" s="236" t="s">
        <v>35</v>
      </c>
      <c r="AD138" s="236">
        <v>50</v>
      </c>
      <c r="AE138" s="238">
        <v>18.5</v>
      </c>
      <c r="AF138" s="238">
        <v>11.5</v>
      </c>
      <c r="AG138" s="238">
        <v>13</v>
      </c>
    </row>
    <row r="139" spans="1:33" s="239" customFormat="1" ht="23.5" customHeight="1">
      <c r="A139" s="186">
        <v>274</v>
      </c>
      <c r="B139" s="205">
        <v>60</v>
      </c>
      <c r="C139" s="225" t="s">
        <v>64</v>
      </c>
      <c r="D139" s="205">
        <v>155</v>
      </c>
      <c r="E139" s="188">
        <f>VLOOKUP(D139,รายแปลง!E:G,3,FALSE)</f>
        <v>928122</v>
      </c>
      <c r="F139" s="206">
        <v>6.6999999999999993</v>
      </c>
      <c r="G139" s="250" t="s">
        <v>28</v>
      </c>
      <c r="H139" s="206">
        <v>1.943236</v>
      </c>
      <c r="I139" s="206">
        <v>0.36548031900327915</v>
      </c>
      <c r="J139" s="250" t="s">
        <v>37</v>
      </c>
      <c r="K139" s="206">
        <v>29.127770937334837</v>
      </c>
      <c r="L139" s="250" t="s">
        <v>28</v>
      </c>
      <c r="M139" s="206">
        <v>181.64634659759804</v>
      </c>
      <c r="N139" s="250" t="s">
        <v>30</v>
      </c>
      <c r="O139" s="207"/>
      <c r="P139" s="207"/>
      <c r="Q139" s="207"/>
      <c r="R139" s="233" t="s">
        <v>38</v>
      </c>
      <c r="S139" s="234" t="s">
        <v>42</v>
      </c>
      <c r="T139" s="234" t="s">
        <v>33</v>
      </c>
      <c r="U139" s="235">
        <v>16</v>
      </c>
      <c r="V139" s="235">
        <v>16</v>
      </c>
      <c r="W139" s="235">
        <v>8</v>
      </c>
      <c r="X139" s="236" t="s">
        <v>39</v>
      </c>
      <c r="Y139" s="236">
        <v>50</v>
      </c>
      <c r="Z139" s="237">
        <v>21</v>
      </c>
      <c r="AA139" s="237">
        <v>7</v>
      </c>
      <c r="AB139" s="237">
        <v>18</v>
      </c>
      <c r="AC139" s="236" t="s">
        <v>35</v>
      </c>
      <c r="AD139" s="236">
        <v>50</v>
      </c>
      <c r="AE139" s="238">
        <v>18.5</v>
      </c>
      <c r="AF139" s="238">
        <v>11.5</v>
      </c>
      <c r="AG139" s="238">
        <v>13</v>
      </c>
    </row>
    <row r="140" spans="1:33" s="239" customFormat="1" ht="23.5" customHeight="1">
      <c r="A140" s="186">
        <v>278</v>
      </c>
      <c r="B140" s="205">
        <v>60</v>
      </c>
      <c r="C140" s="225" t="s">
        <v>64</v>
      </c>
      <c r="D140" s="205">
        <v>806848</v>
      </c>
      <c r="E140" s="188">
        <f>VLOOKUP(D140,รายแปลง!E:G,3,FALSE)</f>
        <v>928139</v>
      </c>
      <c r="F140" s="206">
        <v>6.165</v>
      </c>
      <c r="G140" s="250" t="s">
        <v>28</v>
      </c>
      <c r="H140" s="206">
        <v>2.3019159999999994</v>
      </c>
      <c r="I140" s="206">
        <v>0.60156466297897715</v>
      </c>
      <c r="J140" s="250" t="s">
        <v>37</v>
      </c>
      <c r="K140" s="206">
        <v>17.087611473104609</v>
      </c>
      <c r="L140" s="250" t="s">
        <v>41</v>
      </c>
      <c r="M140" s="206">
        <v>232.00160197809117</v>
      </c>
      <c r="N140" s="250" t="s">
        <v>30</v>
      </c>
      <c r="O140" s="207"/>
      <c r="P140" s="207"/>
      <c r="Q140" s="207"/>
      <c r="R140" s="233" t="s">
        <v>38</v>
      </c>
      <c r="S140" s="234" t="s">
        <v>42</v>
      </c>
      <c r="T140" s="234" t="s">
        <v>33</v>
      </c>
      <c r="U140" s="235">
        <v>16</v>
      </c>
      <c r="V140" s="235">
        <v>16</v>
      </c>
      <c r="W140" s="235">
        <v>8</v>
      </c>
      <c r="X140" s="236" t="s">
        <v>39</v>
      </c>
      <c r="Y140" s="236">
        <v>50</v>
      </c>
      <c r="Z140" s="237">
        <v>21</v>
      </c>
      <c r="AA140" s="237">
        <v>7</v>
      </c>
      <c r="AB140" s="237">
        <v>18</v>
      </c>
      <c r="AC140" s="236" t="s">
        <v>35</v>
      </c>
      <c r="AD140" s="236">
        <v>50</v>
      </c>
      <c r="AE140" s="238">
        <v>18.5</v>
      </c>
      <c r="AF140" s="238">
        <v>11.5</v>
      </c>
      <c r="AG140" s="238">
        <v>13</v>
      </c>
    </row>
    <row r="141" spans="1:33" s="239" customFormat="1" ht="23.5" customHeight="1">
      <c r="A141" s="186">
        <v>279</v>
      </c>
      <c r="B141" s="205">
        <v>60</v>
      </c>
      <c r="C141" s="225" t="s">
        <v>64</v>
      </c>
      <c r="D141" s="205">
        <v>806850</v>
      </c>
      <c r="E141" s="188">
        <f>VLOOKUP(D141,รายแปลง!E:G,3,FALSE)</f>
        <v>928141</v>
      </c>
      <c r="F141" s="206">
        <v>6.6550000000000002</v>
      </c>
      <c r="G141" s="250" t="s">
        <v>28</v>
      </c>
      <c r="H141" s="206">
        <v>1.8074079999999999</v>
      </c>
      <c r="I141" s="206">
        <v>0.66773271551736346</v>
      </c>
      <c r="J141" s="250" t="s">
        <v>37</v>
      </c>
      <c r="K141" s="206">
        <v>15.380861298260541</v>
      </c>
      <c r="L141" s="250" t="s">
        <v>41</v>
      </c>
      <c r="M141" s="206">
        <v>189.74541406208914</v>
      </c>
      <c r="N141" s="250" t="s">
        <v>30</v>
      </c>
      <c r="O141" s="207"/>
      <c r="P141" s="207"/>
      <c r="Q141" s="207"/>
      <c r="R141" s="233" t="s">
        <v>38</v>
      </c>
      <c r="S141" s="234" t="s">
        <v>42</v>
      </c>
      <c r="T141" s="234" t="s">
        <v>33</v>
      </c>
      <c r="U141" s="235">
        <v>16</v>
      </c>
      <c r="V141" s="235">
        <v>16</v>
      </c>
      <c r="W141" s="235">
        <v>8</v>
      </c>
      <c r="X141" s="236" t="s">
        <v>39</v>
      </c>
      <c r="Y141" s="236">
        <v>50</v>
      </c>
      <c r="Z141" s="237">
        <v>21</v>
      </c>
      <c r="AA141" s="237">
        <v>7</v>
      </c>
      <c r="AB141" s="237">
        <v>18</v>
      </c>
      <c r="AC141" s="236" t="s">
        <v>35</v>
      </c>
      <c r="AD141" s="236">
        <v>50</v>
      </c>
      <c r="AE141" s="238">
        <v>18.5</v>
      </c>
      <c r="AF141" s="238">
        <v>11.5</v>
      </c>
      <c r="AG141" s="238">
        <v>13</v>
      </c>
    </row>
    <row r="142" spans="1:33" s="239" customFormat="1" ht="23.5" customHeight="1">
      <c r="A142" s="186">
        <v>296</v>
      </c>
      <c r="B142" s="205">
        <v>60</v>
      </c>
      <c r="C142" s="225" t="s">
        <v>49</v>
      </c>
      <c r="D142" s="205">
        <v>812551</v>
      </c>
      <c r="E142" s="188">
        <f>VLOOKUP(D142,รายแปลง!E:G,3,FALSE)</f>
        <v>921113</v>
      </c>
      <c r="F142" s="206">
        <v>8.1449999999999996</v>
      </c>
      <c r="G142" s="250" t="s">
        <v>40</v>
      </c>
      <c r="H142" s="206">
        <v>1.4669560000000001</v>
      </c>
      <c r="I142" s="206">
        <v>1.5037686211737049</v>
      </c>
      <c r="J142" s="250" t="s">
        <v>41</v>
      </c>
      <c r="K142" s="206">
        <v>184.88463648518234</v>
      </c>
      <c r="L142" s="250" t="s">
        <v>29</v>
      </c>
      <c r="M142" s="206">
        <v>78.906215011982198</v>
      </c>
      <c r="N142" s="250" t="s">
        <v>28</v>
      </c>
      <c r="O142" s="207"/>
      <c r="P142" s="207"/>
      <c r="Q142" s="207"/>
      <c r="R142" s="233" t="s">
        <v>31</v>
      </c>
      <c r="S142" s="234" t="s">
        <v>32</v>
      </c>
      <c r="T142" s="234" t="s">
        <v>43</v>
      </c>
      <c r="U142" s="235">
        <v>16</v>
      </c>
      <c r="V142" s="235">
        <v>16</v>
      </c>
      <c r="W142" s="235">
        <v>8</v>
      </c>
      <c r="X142" s="236" t="s">
        <v>39</v>
      </c>
      <c r="Y142" s="236">
        <v>50</v>
      </c>
      <c r="Z142" s="237">
        <v>15</v>
      </c>
      <c r="AA142" s="237">
        <v>7</v>
      </c>
      <c r="AB142" s="237">
        <v>18</v>
      </c>
      <c r="AC142" s="236" t="s">
        <v>51</v>
      </c>
      <c r="AD142" s="236">
        <v>50</v>
      </c>
      <c r="AE142" s="238">
        <v>15.5</v>
      </c>
      <c r="AF142" s="238">
        <v>11.5</v>
      </c>
      <c r="AG142" s="238">
        <v>13</v>
      </c>
    </row>
    <row r="143" spans="1:33" s="239" customFormat="1" ht="23.5" customHeight="1">
      <c r="A143" s="186">
        <v>297</v>
      </c>
      <c r="B143" s="205">
        <v>60</v>
      </c>
      <c r="C143" s="225" t="s">
        <v>49</v>
      </c>
      <c r="D143" s="205">
        <v>812554</v>
      </c>
      <c r="E143" s="188">
        <f>VLOOKUP(D143,รายแปลง!E:G,3,FALSE)</f>
        <v>921115</v>
      </c>
      <c r="F143" s="206">
        <v>7.2050000000000001</v>
      </c>
      <c r="G143" s="250" t="s">
        <v>28</v>
      </c>
      <c r="H143" s="206">
        <v>1.5539800000000001</v>
      </c>
      <c r="I143" s="206">
        <v>1.3832731993396523</v>
      </c>
      <c r="J143" s="250" t="s">
        <v>41</v>
      </c>
      <c r="K143" s="206">
        <v>226.95032390984974</v>
      </c>
      <c r="L143" s="250" t="s">
        <v>29</v>
      </c>
      <c r="M143" s="206">
        <v>74.196118692443804</v>
      </c>
      <c r="N143" s="250" t="s">
        <v>28</v>
      </c>
      <c r="O143" s="207"/>
      <c r="P143" s="207"/>
      <c r="Q143" s="207"/>
      <c r="R143" s="233" t="s">
        <v>31</v>
      </c>
      <c r="S143" s="234" t="s">
        <v>32</v>
      </c>
      <c r="T143" s="234" t="s">
        <v>43</v>
      </c>
      <c r="U143" s="235">
        <v>16</v>
      </c>
      <c r="V143" s="235">
        <v>16</v>
      </c>
      <c r="W143" s="235">
        <v>8</v>
      </c>
      <c r="X143" s="236" t="s">
        <v>39</v>
      </c>
      <c r="Y143" s="236">
        <v>50</v>
      </c>
      <c r="Z143" s="237">
        <v>15</v>
      </c>
      <c r="AA143" s="237">
        <v>7</v>
      </c>
      <c r="AB143" s="237">
        <v>18</v>
      </c>
      <c r="AC143" s="236" t="s">
        <v>51</v>
      </c>
      <c r="AD143" s="236">
        <v>50</v>
      </c>
      <c r="AE143" s="238">
        <v>15.5</v>
      </c>
      <c r="AF143" s="238">
        <v>11.5</v>
      </c>
      <c r="AG143" s="238">
        <v>13</v>
      </c>
    </row>
    <row r="144" spans="1:33" s="239" customFormat="1" ht="23.5" customHeight="1">
      <c r="A144" s="186">
        <v>298</v>
      </c>
      <c r="B144" s="205">
        <v>60</v>
      </c>
      <c r="C144" s="225" t="s">
        <v>49</v>
      </c>
      <c r="D144" s="205">
        <v>802555</v>
      </c>
      <c r="E144" s="188">
        <f>VLOOKUP(D144,รายแปลง!E:G,3,FALSE)</f>
        <v>921111</v>
      </c>
      <c r="F144" s="206">
        <v>6.87</v>
      </c>
      <c r="G144" s="250" t="s">
        <v>28</v>
      </c>
      <c r="H144" s="206">
        <v>1.535164</v>
      </c>
      <c r="I144" s="206">
        <v>1.0114182217832748</v>
      </c>
      <c r="J144" s="250" t="s">
        <v>41</v>
      </c>
      <c r="K144" s="206">
        <v>246.190332922544</v>
      </c>
      <c r="L144" s="250" t="s">
        <v>29</v>
      </c>
      <c r="M144" s="206">
        <v>75.974593359718227</v>
      </c>
      <c r="N144" s="250" t="s">
        <v>28</v>
      </c>
      <c r="O144" s="207"/>
      <c r="P144" s="207"/>
      <c r="Q144" s="207"/>
      <c r="R144" s="233" t="s">
        <v>31</v>
      </c>
      <c r="S144" s="234" t="s">
        <v>32</v>
      </c>
      <c r="T144" s="234" t="s">
        <v>43</v>
      </c>
      <c r="U144" s="235">
        <v>16</v>
      </c>
      <c r="V144" s="235">
        <v>16</v>
      </c>
      <c r="W144" s="235">
        <v>8</v>
      </c>
      <c r="X144" s="236" t="s">
        <v>39</v>
      </c>
      <c r="Y144" s="236">
        <v>50</v>
      </c>
      <c r="Z144" s="237">
        <v>15</v>
      </c>
      <c r="AA144" s="237">
        <v>7</v>
      </c>
      <c r="AB144" s="237">
        <v>18</v>
      </c>
      <c r="AC144" s="236" t="s">
        <v>51</v>
      </c>
      <c r="AD144" s="236">
        <v>50</v>
      </c>
      <c r="AE144" s="238">
        <v>15.5</v>
      </c>
      <c r="AF144" s="238">
        <v>11.5</v>
      </c>
      <c r="AG144" s="238">
        <v>13</v>
      </c>
    </row>
    <row r="145" spans="1:33" s="239" customFormat="1" ht="23.5" customHeight="1">
      <c r="A145" s="186">
        <v>300</v>
      </c>
      <c r="B145" s="205">
        <v>60</v>
      </c>
      <c r="C145" s="225" t="s">
        <v>49</v>
      </c>
      <c r="D145" s="205">
        <v>802557</v>
      </c>
      <c r="E145" s="188">
        <f>VLOOKUP(D145,รายแปลง!E:G,3,FALSE)</f>
        <v>921112</v>
      </c>
      <c r="F145" s="206">
        <v>6.45</v>
      </c>
      <c r="G145" s="250" t="s">
        <v>28</v>
      </c>
      <c r="H145" s="206">
        <v>1.3358319999999999</v>
      </c>
      <c r="I145" s="206">
        <v>1.4077989464057461</v>
      </c>
      <c r="J145" s="250" t="s">
        <v>41</v>
      </c>
      <c r="K145" s="206">
        <v>236.6568482050418</v>
      </c>
      <c r="L145" s="250" t="s">
        <v>29</v>
      </c>
      <c r="M145" s="206">
        <v>74.008331083935985</v>
      </c>
      <c r="N145" s="250" t="s">
        <v>28</v>
      </c>
      <c r="O145" s="207"/>
      <c r="P145" s="207"/>
      <c r="Q145" s="207"/>
      <c r="R145" s="233" t="s">
        <v>31</v>
      </c>
      <c r="S145" s="234" t="s">
        <v>32</v>
      </c>
      <c r="T145" s="234" t="s">
        <v>43</v>
      </c>
      <c r="U145" s="235">
        <v>16</v>
      </c>
      <c r="V145" s="235">
        <v>16</v>
      </c>
      <c r="W145" s="235">
        <v>8</v>
      </c>
      <c r="X145" s="236" t="s">
        <v>39</v>
      </c>
      <c r="Y145" s="236">
        <v>50</v>
      </c>
      <c r="Z145" s="237">
        <v>15</v>
      </c>
      <c r="AA145" s="237">
        <v>7</v>
      </c>
      <c r="AB145" s="237">
        <v>18</v>
      </c>
      <c r="AC145" s="236" t="s">
        <v>51</v>
      </c>
      <c r="AD145" s="236">
        <v>50</v>
      </c>
      <c r="AE145" s="238">
        <v>15.5</v>
      </c>
      <c r="AF145" s="238">
        <v>11.5</v>
      </c>
      <c r="AG145" s="238">
        <v>13</v>
      </c>
    </row>
    <row r="146" spans="1:33" s="239" customFormat="1" ht="23.5" customHeight="1">
      <c r="A146" s="186">
        <v>301</v>
      </c>
      <c r="B146" s="205">
        <v>60</v>
      </c>
      <c r="C146" s="227" t="s">
        <v>52</v>
      </c>
      <c r="D146" s="205">
        <v>928</v>
      </c>
      <c r="E146" s="188">
        <f>VLOOKUP(D146,รายแปลง!E:G,3,FALSE)</f>
        <v>906123</v>
      </c>
      <c r="F146" s="206">
        <v>7.5950000000000006</v>
      </c>
      <c r="G146" s="250" t="s">
        <v>40</v>
      </c>
      <c r="H146" s="206">
        <v>4.5968800000000005</v>
      </c>
      <c r="I146" s="206">
        <v>0.74245723658516327</v>
      </c>
      <c r="J146" s="250" t="s">
        <v>37</v>
      </c>
      <c r="K146" s="206">
        <v>107.5023215500714</v>
      </c>
      <c r="L146" s="250" t="s">
        <v>29</v>
      </c>
      <c r="M146" s="206">
        <v>118.8473513457339</v>
      </c>
      <c r="N146" s="250" t="s">
        <v>29</v>
      </c>
      <c r="O146" s="207"/>
      <c r="P146" s="207"/>
      <c r="Q146" s="207"/>
      <c r="R146" s="233" t="s">
        <v>38</v>
      </c>
      <c r="S146" s="234" t="s">
        <v>32</v>
      </c>
      <c r="T146" s="234" t="s">
        <v>33</v>
      </c>
      <c r="U146" s="235">
        <v>16</v>
      </c>
      <c r="V146" s="235">
        <v>16</v>
      </c>
      <c r="W146" s="235">
        <v>8</v>
      </c>
      <c r="X146" s="236" t="s">
        <v>39</v>
      </c>
      <c r="Y146" s="236">
        <v>50</v>
      </c>
      <c r="Z146" s="237">
        <v>21</v>
      </c>
      <c r="AA146" s="237">
        <v>7</v>
      </c>
      <c r="AB146" s="237">
        <v>18</v>
      </c>
      <c r="AC146" s="236" t="s">
        <v>35</v>
      </c>
      <c r="AD146" s="236">
        <v>50</v>
      </c>
      <c r="AE146" s="238">
        <v>18.5</v>
      </c>
      <c r="AF146" s="238">
        <v>11.5</v>
      </c>
      <c r="AG146" s="238">
        <v>13</v>
      </c>
    </row>
    <row r="147" spans="1:33" s="239" customFormat="1" ht="23.5" customHeight="1">
      <c r="A147" s="186">
        <v>304</v>
      </c>
      <c r="B147" s="205">
        <v>60</v>
      </c>
      <c r="C147" s="225" t="s">
        <v>65</v>
      </c>
      <c r="D147" s="205">
        <v>110</v>
      </c>
      <c r="E147" s="188">
        <f>VLOOKUP(D147,รายแปลง!E:G,3,FALSE)</f>
        <v>900119</v>
      </c>
      <c r="F147" s="206">
        <v>6.1899999999999995</v>
      </c>
      <c r="G147" s="250" t="s">
        <v>28</v>
      </c>
      <c r="H147" s="206">
        <v>1.9355920000000002</v>
      </c>
      <c r="I147" s="206">
        <v>0.73514654398855739</v>
      </c>
      <c r="J147" s="250" t="s">
        <v>37</v>
      </c>
      <c r="K147" s="206">
        <v>125.69840164626777</v>
      </c>
      <c r="L147" s="250" t="s">
        <v>29</v>
      </c>
      <c r="M147" s="206">
        <v>221.84201062220322</v>
      </c>
      <c r="N147" s="250" t="s">
        <v>30</v>
      </c>
      <c r="O147" s="207"/>
      <c r="P147" s="207"/>
      <c r="Q147" s="207"/>
      <c r="R147" s="233" t="s">
        <v>38</v>
      </c>
      <c r="S147" s="234" t="s">
        <v>32</v>
      </c>
      <c r="T147" s="234" t="s">
        <v>33</v>
      </c>
      <c r="U147" s="235">
        <v>16</v>
      </c>
      <c r="V147" s="235">
        <v>16</v>
      </c>
      <c r="W147" s="235">
        <v>8</v>
      </c>
      <c r="X147" s="236" t="s">
        <v>39</v>
      </c>
      <c r="Y147" s="236">
        <v>50</v>
      </c>
      <c r="Z147" s="237">
        <v>21</v>
      </c>
      <c r="AA147" s="237">
        <v>7</v>
      </c>
      <c r="AB147" s="237">
        <v>18</v>
      </c>
      <c r="AC147" s="236" t="s">
        <v>35</v>
      </c>
      <c r="AD147" s="236">
        <v>50</v>
      </c>
      <c r="AE147" s="238">
        <v>18.5</v>
      </c>
      <c r="AF147" s="238">
        <v>11.5</v>
      </c>
      <c r="AG147" s="238">
        <v>13</v>
      </c>
    </row>
    <row r="148" spans="1:33" s="239" customFormat="1" ht="23.5" customHeight="1">
      <c r="A148" s="186">
        <v>306</v>
      </c>
      <c r="B148" s="205">
        <v>60</v>
      </c>
      <c r="C148" s="225" t="s">
        <v>65</v>
      </c>
      <c r="D148" s="205">
        <v>117</v>
      </c>
      <c r="E148" s="188">
        <f>VLOOKUP(D148,รายแปลง!E:G,3,FALSE)</f>
        <v>900101</v>
      </c>
      <c r="F148" s="206">
        <v>5.4700000000000006</v>
      </c>
      <c r="G148" s="250" t="s">
        <v>56</v>
      </c>
      <c r="H148" s="206">
        <v>0.99008800000000008</v>
      </c>
      <c r="I148" s="206">
        <v>0.64137903996722057</v>
      </c>
      <c r="J148" s="250" t="s">
        <v>37</v>
      </c>
      <c r="K148" s="206">
        <v>63.175583680409588</v>
      </c>
      <c r="L148" s="250" t="s">
        <v>29</v>
      </c>
      <c r="M148" s="206">
        <v>116.44636567838761</v>
      </c>
      <c r="N148" s="250" t="s">
        <v>29</v>
      </c>
      <c r="O148" s="207"/>
      <c r="P148" s="207"/>
      <c r="Q148" s="207"/>
      <c r="R148" s="233" t="s">
        <v>38</v>
      </c>
      <c r="S148" s="234" t="s">
        <v>32</v>
      </c>
      <c r="T148" s="234" t="s">
        <v>33</v>
      </c>
      <c r="U148" s="235">
        <v>16</v>
      </c>
      <c r="V148" s="235">
        <v>16</v>
      </c>
      <c r="W148" s="235">
        <v>8</v>
      </c>
      <c r="X148" s="236" t="s">
        <v>39</v>
      </c>
      <c r="Y148" s="236">
        <v>50</v>
      </c>
      <c r="Z148" s="237">
        <v>21</v>
      </c>
      <c r="AA148" s="237">
        <v>7</v>
      </c>
      <c r="AB148" s="237">
        <v>18</v>
      </c>
      <c r="AC148" s="236" t="s">
        <v>35</v>
      </c>
      <c r="AD148" s="236">
        <v>50</v>
      </c>
      <c r="AE148" s="238">
        <v>18.5</v>
      </c>
      <c r="AF148" s="238">
        <v>11.5</v>
      </c>
      <c r="AG148" s="238">
        <v>13</v>
      </c>
    </row>
    <row r="149" spans="1:33" s="239" customFormat="1" ht="23.5" customHeight="1">
      <c r="A149" s="186">
        <v>307</v>
      </c>
      <c r="B149" s="205">
        <v>60</v>
      </c>
      <c r="C149" s="225" t="s">
        <v>65</v>
      </c>
      <c r="D149" s="205">
        <v>120</v>
      </c>
      <c r="E149" s="188">
        <f>VLOOKUP(D149,รายแปลง!E:G,3,FALSE)</f>
        <v>900109</v>
      </c>
      <c r="F149" s="206">
        <v>6.0600000000000005</v>
      </c>
      <c r="G149" s="250" t="s">
        <v>28</v>
      </c>
      <c r="H149" s="206">
        <v>1.9938039999999999</v>
      </c>
      <c r="I149" s="206">
        <v>0.66607647414003091</v>
      </c>
      <c r="J149" s="250" t="s">
        <v>37</v>
      </c>
      <c r="K149" s="206">
        <v>127.59265031931201</v>
      </c>
      <c r="L149" s="250" t="s">
        <v>29</v>
      </c>
      <c r="M149" s="206">
        <v>242.65237147351496</v>
      </c>
      <c r="N149" s="250" t="s">
        <v>30</v>
      </c>
      <c r="O149" s="207"/>
      <c r="P149" s="207"/>
      <c r="Q149" s="207"/>
      <c r="R149" s="233" t="s">
        <v>38</v>
      </c>
      <c r="S149" s="234" t="s">
        <v>32</v>
      </c>
      <c r="T149" s="234" t="s">
        <v>33</v>
      </c>
      <c r="U149" s="235">
        <v>16</v>
      </c>
      <c r="V149" s="235">
        <v>16</v>
      </c>
      <c r="W149" s="235">
        <v>8</v>
      </c>
      <c r="X149" s="236" t="s">
        <v>39</v>
      </c>
      <c r="Y149" s="236">
        <v>50</v>
      </c>
      <c r="Z149" s="237">
        <v>21</v>
      </c>
      <c r="AA149" s="237">
        <v>7</v>
      </c>
      <c r="AB149" s="237">
        <v>18</v>
      </c>
      <c r="AC149" s="236" t="s">
        <v>35</v>
      </c>
      <c r="AD149" s="236">
        <v>50</v>
      </c>
      <c r="AE149" s="238">
        <v>18.5</v>
      </c>
      <c r="AF149" s="238">
        <v>11.5</v>
      </c>
      <c r="AG149" s="238">
        <v>13</v>
      </c>
    </row>
    <row r="150" spans="1:33" s="239" customFormat="1" ht="23.5" customHeight="1">
      <c r="A150" s="186">
        <v>311</v>
      </c>
      <c r="B150" s="205">
        <v>60</v>
      </c>
      <c r="C150" s="225" t="s">
        <v>65</v>
      </c>
      <c r="D150" s="205">
        <v>445</v>
      </c>
      <c r="E150" s="188">
        <f>VLOOKUP(D150,รายแปลง!E:G,3,FALSE)</f>
        <v>900117</v>
      </c>
      <c r="F150" s="206">
        <v>6.6550000000000002</v>
      </c>
      <c r="G150" s="250" t="s">
        <v>28</v>
      </c>
      <c r="H150" s="206">
        <v>2.8211199999999996</v>
      </c>
      <c r="I150" s="206">
        <v>1.2368296357095274</v>
      </c>
      <c r="J150" s="250" t="s">
        <v>41</v>
      </c>
      <c r="K150" s="206">
        <v>50.278649386736433</v>
      </c>
      <c r="L150" s="250" t="s">
        <v>29</v>
      </c>
      <c r="M150" s="206">
        <v>172.66683345151802</v>
      </c>
      <c r="N150" s="250" t="s">
        <v>30</v>
      </c>
      <c r="O150" s="207"/>
      <c r="P150" s="207"/>
      <c r="Q150" s="207"/>
      <c r="R150" s="233" t="s">
        <v>31</v>
      </c>
      <c r="S150" s="234" t="s">
        <v>32</v>
      </c>
      <c r="T150" s="234" t="s">
        <v>33</v>
      </c>
      <c r="U150" s="235">
        <v>16</v>
      </c>
      <c r="V150" s="235">
        <v>8</v>
      </c>
      <c r="W150" s="235">
        <v>8</v>
      </c>
      <c r="X150" s="236" t="s">
        <v>34</v>
      </c>
      <c r="Y150" s="236">
        <v>50</v>
      </c>
      <c r="Z150" s="237">
        <v>21</v>
      </c>
      <c r="AA150" s="237">
        <v>7</v>
      </c>
      <c r="AB150" s="237">
        <v>18</v>
      </c>
      <c r="AC150" s="236" t="s">
        <v>35</v>
      </c>
      <c r="AD150" s="236">
        <v>50</v>
      </c>
      <c r="AE150" s="238">
        <v>18.5</v>
      </c>
      <c r="AF150" s="238">
        <v>7.5</v>
      </c>
      <c r="AG150" s="238">
        <v>13</v>
      </c>
    </row>
    <row r="151" spans="1:33" s="239" customFormat="1" ht="23.5" customHeight="1">
      <c r="A151" s="186">
        <v>317</v>
      </c>
      <c r="B151" s="205">
        <v>60</v>
      </c>
      <c r="C151" s="225" t="s">
        <v>66</v>
      </c>
      <c r="D151" s="205">
        <v>1704</v>
      </c>
      <c r="E151" s="188">
        <f>VLOOKUP(D151,รายแปลง!E:G,3,FALSE)</f>
        <v>910102</v>
      </c>
      <c r="F151" s="206">
        <v>5.5350000000000001</v>
      </c>
      <c r="G151" s="250" t="s">
        <v>28</v>
      </c>
      <c r="H151" s="206">
        <v>1.313488</v>
      </c>
      <c r="I151" s="206">
        <v>1.0413128248735279</v>
      </c>
      <c r="J151" s="250" t="s">
        <v>41</v>
      </c>
      <c r="K151" s="206">
        <v>5.9698611069945819</v>
      </c>
      <c r="L151" s="250" t="s">
        <v>47</v>
      </c>
      <c r="M151" s="206">
        <v>64.922507235252382</v>
      </c>
      <c r="N151" s="250" t="s">
        <v>28</v>
      </c>
      <c r="O151" s="207"/>
      <c r="P151" s="207"/>
      <c r="Q151" s="207"/>
      <c r="R151" s="233" t="s">
        <v>31</v>
      </c>
      <c r="S151" s="234" t="s">
        <v>43</v>
      </c>
      <c r="T151" s="234" t="s">
        <v>43</v>
      </c>
      <c r="U151" s="235">
        <v>16</v>
      </c>
      <c r="V151" s="235">
        <v>16</v>
      </c>
      <c r="W151" s="235">
        <v>8</v>
      </c>
      <c r="X151" s="236" t="s">
        <v>39</v>
      </c>
      <c r="Y151" s="236">
        <v>50</v>
      </c>
      <c r="Z151" s="237">
        <v>21</v>
      </c>
      <c r="AA151" s="237">
        <v>7</v>
      </c>
      <c r="AB151" s="237">
        <v>18</v>
      </c>
      <c r="AC151" s="236" t="s">
        <v>35</v>
      </c>
      <c r="AD151" s="236">
        <v>50</v>
      </c>
      <c r="AE151" s="238">
        <v>18.5</v>
      </c>
      <c r="AF151" s="238">
        <v>11.5</v>
      </c>
      <c r="AG151" s="238">
        <v>13</v>
      </c>
    </row>
    <row r="152" spans="1:33" s="239" customFormat="1" ht="23.5" customHeight="1">
      <c r="A152" s="186">
        <v>318</v>
      </c>
      <c r="B152" s="205">
        <v>60</v>
      </c>
      <c r="C152" s="225" t="s">
        <v>66</v>
      </c>
      <c r="D152" s="205">
        <v>1707</v>
      </c>
      <c r="E152" s="188">
        <f>VLOOKUP(D152,รายแปลง!E:G,3,FALSE)</f>
        <v>910108</v>
      </c>
      <c r="F152" s="206">
        <v>5.8550000000000004</v>
      </c>
      <c r="G152" s="250" t="s">
        <v>28</v>
      </c>
      <c r="H152" s="206">
        <v>2.2437039999999997</v>
      </c>
      <c r="I152" s="206">
        <v>1.007153288116466</v>
      </c>
      <c r="J152" s="250" t="s">
        <v>41</v>
      </c>
      <c r="K152" s="206">
        <v>20.547434529913687</v>
      </c>
      <c r="L152" s="250" t="s">
        <v>28</v>
      </c>
      <c r="M152" s="206">
        <v>78.801388175498687</v>
      </c>
      <c r="N152" s="250" t="s">
        <v>28</v>
      </c>
      <c r="O152" s="207"/>
      <c r="P152" s="207"/>
      <c r="Q152" s="207"/>
      <c r="R152" s="233" t="s">
        <v>31</v>
      </c>
      <c r="S152" s="234" t="s">
        <v>42</v>
      </c>
      <c r="T152" s="234" t="s">
        <v>43</v>
      </c>
      <c r="U152" s="235">
        <v>16</v>
      </c>
      <c r="V152" s="235">
        <v>16</v>
      </c>
      <c r="W152" s="235">
        <v>8</v>
      </c>
      <c r="X152" s="236" t="s">
        <v>39</v>
      </c>
      <c r="Y152" s="236">
        <v>50</v>
      </c>
      <c r="Z152" s="237">
        <v>21</v>
      </c>
      <c r="AA152" s="237">
        <v>7</v>
      </c>
      <c r="AB152" s="237">
        <v>18</v>
      </c>
      <c r="AC152" s="236" t="s">
        <v>35</v>
      </c>
      <c r="AD152" s="236">
        <v>50</v>
      </c>
      <c r="AE152" s="238">
        <v>18.5</v>
      </c>
      <c r="AF152" s="238">
        <v>11.5</v>
      </c>
      <c r="AG152" s="238">
        <v>13</v>
      </c>
    </row>
    <row r="153" spans="1:33" s="239" customFormat="1" ht="23.5" customHeight="1">
      <c r="A153" s="186">
        <v>325</v>
      </c>
      <c r="B153" s="205">
        <v>60</v>
      </c>
      <c r="C153" s="225" t="s">
        <v>66</v>
      </c>
      <c r="D153" s="205" t="s">
        <v>67</v>
      </c>
      <c r="E153" s="188">
        <f>VLOOKUP(D153,รายแปลง!E:G,3,FALSE)</f>
        <v>910111</v>
      </c>
      <c r="F153" s="206">
        <v>6.56</v>
      </c>
      <c r="G153" s="250" t="s">
        <v>28</v>
      </c>
      <c r="H153" s="206">
        <v>2.137276</v>
      </c>
      <c r="I153" s="206">
        <v>1.6658812460898129</v>
      </c>
      <c r="J153" s="250" t="s">
        <v>28</v>
      </c>
      <c r="K153" s="206">
        <v>5.7947888530377742</v>
      </c>
      <c r="L153" s="250" t="s">
        <v>47</v>
      </c>
      <c r="M153" s="206">
        <v>85.301196171680417</v>
      </c>
      <c r="N153" s="250" t="s">
        <v>28</v>
      </c>
      <c r="O153" s="207"/>
      <c r="P153" s="207"/>
      <c r="Q153" s="207"/>
      <c r="R153" s="233" t="s">
        <v>31</v>
      </c>
      <c r="S153" s="234" t="s">
        <v>43</v>
      </c>
      <c r="T153" s="234" t="s">
        <v>43</v>
      </c>
      <c r="U153" s="235">
        <v>16</v>
      </c>
      <c r="V153" s="235">
        <v>16</v>
      </c>
      <c r="W153" s="235">
        <v>8</v>
      </c>
      <c r="X153" s="236" t="s">
        <v>39</v>
      </c>
      <c r="Y153" s="236">
        <v>50</v>
      </c>
      <c r="Z153" s="237">
        <v>21</v>
      </c>
      <c r="AA153" s="237">
        <v>7</v>
      </c>
      <c r="AB153" s="237">
        <v>18</v>
      </c>
      <c r="AC153" s="236" t="s">
        <v>35</v>
      </c>
      <c r="AD153" s="236">
        <v>50</v>
      </c>
      <c r="AE153" s="238">
        <v>18.5</v>
      </c>
      <c r="AF153" s="238">
        <v>11.5</v>
      </c>
      <c r="AG153" s="238">
        <v>13</v>
      </c>
    </row>
    <row r="154" spans="1:33" s="239" customFormat="1" ht="23.5" customHeight="1">
      <c r="A154" s="186">
        <v>326</v>
      </c>
      <c r="B154" s="205">
        <v>60</v>
      </c>
      <c r="C154" s="225" t="s">
        <v>66</v>
      </c>
      <c r="D154" s="205">
        <v>1709</v>
      </c>
      <c r="E154" s="188">
        <f>VLOOKUP(D154,รายแปลง!E:G,3,FALSE)</f>
        <v>910110</v>
      </c>
      <c r="F154" s="206">
        <v>7.7850000000000001</v>
      </c>
      <c r="G154" s="250" t="s">
        <v>40</v>
      </c>
      <c r="H154" s="206">
        <v>2.3483679999999998</v>
      </c>
      <c r="I154" s="206">
        <v>1.6332014310928384</v>
      </c>
      <c r="J154" s="250" t="s">
        <v>28</v>
      </c>
      <c r="K154" s="206">
        <v>68.371159654163051</v>
      </c>
      <c r="L154" s="250" t="s">
        <v>29</v>
      </c>
      <c r="M154" s="206">
        <v>82.359209878400833</v>
      </c>
      <c r="N154" s="250" t="s">
        <v>28</v>
      </c>
      <c r="O154" s="207"/>
      <c r="P154" s="207"/>
      <c r="Q154" s="207"/>
      <c r="R154" s="233" t="s">
        <v>31</v>
      </c>
      <c r="S154" s="234" t="s">
        <v>32</v>
      </c>
      <c r="T154" s="234" t="s">
        <v>43</v>
      </c>
      <c r="U154" s="235">
        <v>16</v>
      </c>
      <c r="V154" s="235">
        <v>16</v>
      </c>
      <c r="W154" s="235">
        <v>8</v>
      </c>
      <c r="X154" s="236" t="s">
        <v>39</v>
      </c>
      <c r="Y154" s="236">
        <v>50</v>
      </c>
      <c r="Z154" s="237">
        <v>15</v>
      </c>
      <c r="AA154" s="237">
        <v>7</v>
      </c>
      <c r="AB154" s="237">
        <v>18</v>
      </c>
      <c r="AC154" s="236" t="s">
        <v>51</v>
      </c>
      <c r="AD154" s="236">
        <v>50</v>
      </c>
      <c r="AE154" s="238">
        <v>15.5</v>
      </c>
      <c r="AF154" s="238">
        <v>11.5</v>
      </c>
      <c r="AG154" s="238">
        <v>13</v>
      </c>
    </row>
    <row r="155" spans="1:33" s="239" customFormat="1" ht="23.5" customHeight="1">
      <c r="A155" s="186">
        <v>328</v>
      </c>
      <c r="B155" s="205">
        <v>60</v>
      </c>
      <c r="C155" s="225" t="s">
        <v>66</v>
      </c>
      <c r="D155" s="205">
        <v>1718</v>
      </c>
      <c r="E155" s="188">
        <f>VLOOKUP(D155,รายแปลง!E:G,3,FALSE)</f>
        <v>910120</v>
      </c>
      <c r="F155" s="206">
        <v>6.31</v>
      </c>
      <c r="G155" s="250" t="s">
        <v>28</v>
      </c>
      <c r="H155" s="206">
        <v>0.90188800000000002</v>
      </c>
      <c r="I155" s="206">
        <v>0.67906785709033246</v>
      </c>
      <c r="J155" s="250" t="s">
        <v>37</v>
      </c>
      <c r="K155" s="206">
        <v>11.489767894087068</v>
      </c>
      <c r="L155" s="250" t="s">
        <v>41</v>
      </c>
      <c r="M155" s="206">
        <v>71.218969317209073</v>
      </c>
      <c r="N155" s="250" t="s">
        <v>28</v>
      </c>
      <c r="O155" s="207"/>
      <c r="P155" s="207"/>
      <c r="Q155" s="207"/>
      <c r="R155" s="233" t="s">
        <v>38</v>
      </c>
      <c r="S155" s="234" t="s">
        <v>43</v>
      </c>
      <c r="T155" s="234" t="s">
        <v>43</v>
      </c>
      <c r="U155" s="235">
        <v>16</v>
      </c>
      <c r="V155" s="235">
        <v>16</v>
      </c>
      <c r="W155" s="235">
        <v>8</v>
      </c>
      <c r="X155" s="236" t="s">
        <v>39</v>
      </c>
      <c r="Y155" s="236">
        <v>50</v>
      </c>
      <c r="Z155" s="237">
        <v>21</v>
      </c>
      <c r="AA155" s="237">
        <v>7</v>
      </c>
      <c r="AB155" s="237">
        <v>18</v>
      </c>
      <c r="AC155" s="236" t="s">
        <v>35</v>
      </c>
      <c r="AD155" s="236">
        <v>50</v>
      </c>
      <c r="AE155" s="238">
        <v>18.5</v>
      </c>
      <c r="AF155" s="238">
        <v>11.5</v>
      </c>
      <c r="AG155" s="238">
        <v>13</v>
      </c>
    </row>
    <row r="156" spans="1:33" s="239" customFormat="1" ht="23.5" customHeight="1">
      <c r="A156" s="186">
        <v>330</v>
      </c>
      <c r="B156" s="205">
        <v>60</v>
      </c>
      <c r="C156" s="225" t="s">
        <v>66</v>
      </c>
      <c r="D156" s="205">
        <v>1702</v>
      </c>
      <c r="E156" s="188">
        <f>VLOOKUP(D156,รายแปลง!E:G,3,FALSE)</f>
        <v>910101</v>
      </c>
      <c r="F156" s="206">
        <v>5.84</v>
      </c>
      <c r="G156" s="250" t="s">
        <v>28</v>
      </c>
      <c r="H156" s="206">
        <v>3.3209200000000001</v>
      </c>
      <c r="I156" s="206">
        <v>0.61138928383064817</v>
      </c>
      <c r="J156" s="250" t="s">
        <v>37</v>
      </c>
      <c r="K156" s="206">
        <v>21.950983500941092</v>
      </c>
      <c r="L156" s="250" t="s">
        <v>28</v>
      </c>
      <c r="M156" s="206">
        <v>444.63658768125731</v>
      </c>
      <c r="N156" s="250" t="s">
        <v>30</v>
      </c>
      <c r="O156" s="207"/>
      <c r="P156" s="207"/>
      <c r="Q156" s="207"/>
      <c r="R156" s="233" t="s">
        <v>38</v>
      </c>
      <c r="S156" s="234" t="s">
        <v>42</v>
      </c>
      <c r="T156" s="234" t="s">
        <v>33</v>
      </c>
      <c r="U156" s="235">
        <v>16</v>
      </c>
      <c r="V156" s="235">
        <v>16</v>
      </c>
      <c r="W156" s="235">
        <v>8</v>
      </c>
      <c r="X156" s="236" t="s">
        <v>39</v>
      </c>
      <c r="Y156" s="236">
        <v>50</v>
      </c>
      <c r="Z156" s="237">
        <v>21</v>
      </c>
      <c r="AA156" s="237">
        <v>7</v>
      </c>
      <c r="AB156" s="237">
        <v>18</v>
      </c>
      <c r="AC156" s="236" t="s">
        <v>35</v>
      </c>
      <c r="AD156" s="236">
        <v>50</v>
      </c>
      <c r="AE156" s="238">
        <v>18.5</v>
      </c>
      <c r="AF156" s="238">
        <v>11.5</v>
      </c>
      <c r="AG156" s="238">
        <v>13</v>
      </c>
    </row>
    <row r="157" spans="1:33" s="239" customFormat="1" ht="23.5" customHeight="1">
      <c r="A157" s="186">
        <v>332</v>
      </c>
      <c r="B157" s="205">
        <v>60</v>
      </c>
      <c r="C157" s="225" t="s">
        <v>66</v>
      </c>
      <c r="D157" s="205" t="s">
        <v>68</v>
      </c>
      <c r="E157" s="188">
        <f>VLOOKUP(D157,รายแปลง!E:G,3,FALSE)</f>
        <v>910119</v>
      </c>
      <c r="F157" s="206">
        <v>5.92</v>
      </c>
      <c r="G157" s="250" t="s">
        <v>28</v>
      </c>
      <c r="H157" s="206">
        <v>2.297212</v>
      </c>
      <c r="I157" s="206">
        <v>0.84040486880557852</v>
      </c>
      <c r="J157" s="250" t="s">
        <v>37</v>
      </c>
      <c r="K157" s="206">
        <v>26.579981077772715</v>
      </c>
      <c r="L157" s="250" t="s">
        <v>28</v>
      </c>
      <c r="M157" s="206">
        <v>37.072760590600552</v>
      </c>
      <c r="N157" s="250" t="s">
        <v>41</v>
      </c>
      <c r="O157" s="207"/>
      <c r="P157" s="207"/>
      <c r="Q157" s="207"/>
      <c r="R157" s="233" t="s">
        <v>38</v>
      </c>
      <c r="S157" s="234" t="s">
        <v>42</v>
      </c>
      <c r="T157" s="234" t="s">
        <v>31</v>
      </c>
      <c r="U157" s="235">
        <v>16</v>
      </c>
      <c r="V157" s="235">
        <v>16</v>
      </c>
      <c r="W157" s="235">
        <v>8</v>
      </c>
      <c r="X157" s="236" t="s">
        <v>39</v>
      </c>
      <c r="Y157" s="236">
        <v>50</v>
      </c>
      <c r="Z157" s="237">
        <v>20</v>
      </c>
      <c r="AA157" s="237">
        <v>8</v>
      </c>
      <c r="AB157" s="237">
        <v>20</v>
      </c>
      <c r="AC157" s="236" t="s">
        <v>45</v>
      </c>
      <c r="AD157" s="236">
        <v>50</v>
      </c>
      <c r="AE157" s="238">
        <v>18</v>
      </c>
      <c r="AF157" s="238">
        <v>12</v>
      </c>
      <c r="AG157" s="238">
        <v>14</v>
      </c>
    </row>
    <row r="158" spans="1:33" s="239" customFormat="1" ht="23.5" customHeight="1">
      <c r="A158" s="186">
        <v>333</v>
      </c>
      <c r="B158" s="205">
        <v>60</v>
      </c>
      <c r="C158" s="225" t="s">
        <v>66</v>
      </c>
      <c r="D158" s="205">
        <v>1703</v>
      </c>
      <c r="E158" s="188">
        <f>VLOOKUP(D158,รายแปลง!E:G,3,FALSE)</f>
        <v>910103</v>
      </c>
      <c r="F158" s="206">
        <v>6.5350000000000001</v>
      </c>
      <c r="G158" s="250" t="s">
        <v>28</v>
      </c>
      <c r="H158" s="206">
        <v>3.5908119999999997</v>
      </c>
      <c r="I158" s="206">
        <v>0.98374969113560184</v>
      </c>
      <c r="J158" s="250" t="s">
        <v>37</v>
      </c>
      <c r="K158" s="206">
        <v>33.664442076179142</v>
      </c>
      <c r="L158" s="250" t="s">
        <v>28</v>
      </c>
      <c r="M158" s="206">
        <v>371.6533951530223</v>
      </c>
      <c r="N158" s="250" t="s">
        <v>30</v>
      </c>
      <c r="O158" s="207"/>
      <c r="P158" s="207"/>
      <c r="Q158" s="207"/>
      <c r="R158" s="233" t="s">
        <v>38</v>
      </c>
      <c r="S158" s="234" t="s">
        <v>32</v>
      </c>
      <c r="T158" s="234" t="s">
        <v>33</v>
      </c>
      <c r="U158" s="235">
        <v>16</v>
      </c>
      <c r="V158" s="235">
        <v>16</v>
      </c>
      <c r="W158" s="235">
        <v>8</v>
      </c>
      <c r="X158" s="236" t="s">
        <v>39</v>
      </c>
      <c r="Y158" s="236">
        <v>50</v>
      </c>
      <c r="Z158" s="237">
        <v>21</v>
      </c>
      <c r="AA158" s="237">
        <v>7</v>
      </c>
      <c r="AB158" s="237">
        <v>18</v>
      </c>
      <c r="AC158" s="236" t="s">
        <v>35</v>
      </c>
      <c r="AD158" s="236">
        <v>50</v>
      </c>
      <c r="AE158" s="238">
        <v>18.5</v>
      </c>
      <c r="AF158" s="238">
        <v>11.5</v>
      </c>
      <c r="AG158" s="238">
        <v>13</v>
      </c>
    </row>
    <row r="159" spans="1:33" s="239" customFormat="1" ht="23.5" customHeight="1">
      <c r="A159" s="186">
        <v>346</v>
      </c>
      <c r="B159" s="213">
        <v>61</v>
      </c>
      <c r="C159" s="227" t="s">
        <v>48</v>
      </c>
      <c r="D159" s="213">
        <v>701</v>
      </c>
      <c r="E159" s="188">
        <f>VLOOKUP(D159,รายแปลง!E:G,3,FALSE)</f>
        <v>902138</v>
      </c>
      <c r="F159" s="214">
        <v>7.3250000000000002</v>
      </c>
      <c r="G159" s="252" t="s">
        <v>40</v>
      </c>
      <c r="H159" s="214">
        <v>3.4973199999999993</v>
      </c>
      <c r="I159" s="214">
        <v>1.0884745527913446</v>
      </c>
      <c r="J159" s="252" t="s">
        <v>41</v>
      </c>
      <c r="K159" s="215">
        <v>22.741451066041158</v>
      </c>
      <c r="L159" s="255" t="s">
        <v>28</v>
      </c>
      <c r="M159" s="215">
        <v>133.37234419469581</v>
      </c>
      <c r="N159" s="255" t="s">
        <v>30</v>
      </c>
      <c r="O159" s="216">
        <v>2723.3631772921954</v>
      </c>
      <c r="P159" s="216">
        <v>173.39511776710009</v>
      </c>
      <c r="Q159" s="216">
        <v>164.01308245385874</v>
      </c>
      <c r="R159" s="233" t="s">
        <v>31</v>
      </c>
      <c r="S159" s="234" t="s">
        <v>42</v>
      </c>
      <c r="T159" s="234" t="s">
        <v>33</v>
      </c>
      <c r="U159" s="235">
        <v>16</v>
      </c>
      <c r="V159" s="235">
        <v>16</v>
      </c>
      <c r="W159" s="235">
        <v>8</v>
      </c>
      <c r="X159" s="236" t="s">
        <v>39</v>
      </c>
      <c r="Y159" s="236">
        <v>50</v>
      </c>
      <c r="Z159" s="237">
        <v>21</v>
      </c>
      <c r="AA159" s="237">
        <v>7</v>
      </c>
      <c r="AB159" s="237">
        <v>18</v>
      </c>
      <c r="AC159" s="236" t="s">
        <v>35</v>
      </c>
      <c r="AD159" s="236">
        <v>50</v>
      </c>
      <c r="AE159" s="238">
        <v>18.5</v>
      </c>
      <c r="AF159" s="238">
        <v>11.5</v>
      </c>
      <c r="AG159" s="238">
        <v>13</v>
      </c>
    </row>
    <row r="160" spans="1:33" s="239" customFormat="1" ht="23.5" customHeight="1">
      <c r="A160" s="186">
        <v>347</v>
      </c>
      <c r="B160" s="213">
        <v>61</v>
      </c>
      <c r="C160" s="227" t="s">
        <v>48</v>
      </c>
      <c r="D160" s="213">
        <v>702</v>
      </c>
      <c r="E160" s="188">
        <f>VLOOKUP(D160,รายแปลง!E:G,3,FALSE)</f>
        <v>902139</v>
      </c>
      <c r="F160" s="214">
        <v>8.0300000000000011</v>
      </c>
      <c r="G160" s="252" t="s">
        <v>40</v>
      </c>
      <c r="H160" s="214">
        <v>3.3209200000000001</v>
      </c>
      <c r="I160" s="214">
        <v>1.1734935445490446</v>
      </c>
      <c r="J160" s="252" t="s">
        <v>41</v>
      </c>
      <c r="K160" s="215">
        <v>35.107651314819449</v>
      </c>
      <c r="L160" s="255" t="s">
        <v>28</v>
      </c>
      <c r="M160" s="215">
        <v>298.11051425230693</v>
      </c>
      <c r="N160" s="255" t="s">
        <v>30</v>
      </c>
      <c r="O160" s="216">
        <v>2766.9766577137129</v>
      </c>
      <c r="P160" s="216">
        <v>149.71244691954462</v>
      </c>
      <c r="Q160" s="216">
        <v>166.97227039352009</v>
      </c>
      <c r="R160" s="233" t="s">
        <v>31</v>
      </c>
      <c r="S160" s="234" t="s">
        <v>32</v>
      </c>
      <c r="T160" s="234" t="s">
        <v>33</v>
      </c>
      <c r="U160" s="235">
        <v>16</v>
      </c>
      <c r="V160" s="235">
        <v>8</v>
      </c>
      <c r="W160" s="235">
        <v>8</v>
      </c>
      <c r="X160" s="236" t="s">
        <v>34</v>
      </c>
      <c r="Y160" s="236">
        <v>50</v>
      </c>
      <c r="Z160" s="237">
        <v>21</v>
      </c>
      <c r="AA160" s="237">
        <v>7</v>
      </c>
      <c r="AB160" s="237">
        <v>18</v>
      </c>
      <c r="AC160" s="236" t="s">
        <v>35</v>
      </c>
      <c r="AD160" s="236">
        <v>50</v>
      </c>
      <c r="AE160" s="238">
        <v>18.5</v>
      </c>
      <c r="AF160" s="238">
        <v>7.5</v>
      </c>
      <c r="AG160" s="238">
        <v>13</v>
      </c>
    </row>
    <row r="161" spans="1:33" s="239" customFormat="1" ht="23.5" customHeight="1">
      <c r="A161" s="186">
        <v>352</v>
      </c>
      <c r="B161" s="213">
        <v>61</v>
      </c>
      <c r="C161" s="227" t="s">
        <v>48</v>
      </c>
      <c r="D161" s="213">
        <v>614</v>
      </c>
      <c r="E161" s="188">
        <f>VLOOKUP(D161,รายแปลง!E:G,3,FALSE)</f>
        <v>902109</v>
      </c>
      <c r="F161" s="214">
        <v>7.3250000000000002</v>
      </c>
      <c r="G161" s="252" t="s">
        <v>40</v>
      </c>
      <c r="H161" s="214">
        <v>1.740964</v>
      </c>
      <c r="I161" s="214">
        <v>1.0097490564576632</v>
      </c>
      <c r="J161" s="252" t="s">
        <v>41</v>
      </c>
      <c r="K161" s="215">
        <v>100.13267560386316</v>
      </c>
      <c r="L161" s="255" t="s">
        <v>29</v>
      </c>
      <c r="M161" s="215">
        <v>68.787066781703615</v>
      </c>
      <c r="N161" s="255" t="s">
        <v>28</v>
      </c>
      <c r="O161" s="216">
        <v>2005.2257606822643</v>
      </c>
      <c r="P161" s="216">
        <v>107.57437222939613</v>
      </c>
      <c r="Q161" s="216">
        <v>163.2697678088671</v>
      </c>
      <c r="R161" s="233" t="s">
        <v>31</v>
      </c>
      <c r="S161" s="234" t="s">
        <v>32</v>
      </c>
      <c r="T161" s="234" t="s">
        <v>43</v>
      </c>
      <c r="U161" s="235">
        <v>16</v>
      </c>
      <c r="V161" s="235">
        <v>16</v>
      </c>
      <c r="W161" s="235">
        <v>8</v>
      </c>
      <c r="X161" s="236" t="s">
        <v>39</v>
      </c>
      <c r="Y161" s="236">
        <v>50</v>
      </c>
      <c r="Z161" s="237">
        <v>15</v>
      </c>
      <c r="AA161" s="237">
        <v>7</v>
      </c>
      <c r="AB161" s="237">
        <v>18</v>
      </c>
      <c r="AC161" s="236" t="s">
        <v>51</v>
      </c>
      <c r="AD161" s="236">
        <v>50</v>
      </c>
      <c r="AE161" s="238">
        <v>15.5</v>
      </c>
      <c r="AF161" s="238">
        <v>11.5</v>
      </c>
      <c r="AG161" s="238">
        <v>13</v>
      </c>
    </row>
    <row r="162" spans="1:33" s="239" customFormat="1" ht="23.5" customHeight="1">
      <c r="A162" s="186">
        <v>353</v>
      </c>
      <c r="B162" s="213">
        <v>61</v>
      </c>
      <c r="C162" s="227" t="s">
        <v>48</v>
      </c>
      <c r="D162" s="213">
        <v>632</v>
      </c>
      <c r="E162" s="188">
        <f>VLOOKUP(D162,รายแปลง!E:G,3,FALSE)</f>
        <v>902104</v>
      </c>
      <c r="F162" s="214">
        <v>7.4850000000000003</v>
      </c>
      <c r="G162" s="252" t="s">
        <v>40</v>
      </c>
      <c r="H162" s="214">
        <v>2.0573079999999999</v>
      </c>
      <c r="I162" s="214">
        <v>1.0233553629812544</v>
      </c>
      <c r="J162" s="252" t="s">
        <v>41</v>
      </c>
      <c r="K162" s="215">
        <v>160.60096387106182</v>
      </c>
      <c r="L162" s="255" t="s">
        <v>29</v>
      </c>
      <c r="M162" s="215">
        <v>141.47022927949138</v>
      </c>
      <c r="N162" s="255" t="s">
        <v>30</v>
      </c>
      <c r="O162" s="216">
        <v>1610.8636192697847</v>
      </c>
      <c r="P162" s="216">
        <v>121.18746746815</v>
      </c>
      <c r="Q162" s="216">
        <v>171.0380954767503</v>
      </c>
      <c r="R162" s="233" t="s">
        <v>31</v>
      </c>
      <c r="S162" s="234" t="s">
        <v>32</v>
      </c>
      <c r="T162" s="234" t="s">
        <v>33</v>
      </c>
      <c r="U162" s="235">
        <v>16</v>
      </c>
      <c r="V162" s="235">
        <v>8</v>
      </c>
      <c r="W162" s="235">
        <v>8</v>
      </c>
      <c r="X162" s="236" t="s">
        <v>34</v>
      </c>
      <c r="Y162" s="236">
        <v>50</v>
      </c>
      <c r="Z162" s="237">
        <v>21</v>
      </c>
      <c r="AA162" s="237">
        <v>7</v>
      </c>
      <c r="AB162" s="237">
        <v>18</v>
      </c>
      <c r="AC162" s="236" t="s">
        <v>35</v>
      </c>
      <c r="AD162" s="236">
        <v>50</v>
      </c>
      <c r="AE162" s="238">
        <v>18.5</v>
      </c>
      <c r="AF162" s="238">
        <v>7.5</v>
      </c>
      <c r="AG162" s="238">
        <v>13</v>
      </c>
    </row>
    <row r="163" spans="1:33" s="239" customFormat="1" ht="23.5" customHeight="1">
      <c r="A163" s="186">
        <v>354</v>
      </c>
      <c r="B163" s="213">
        <v>61</v>
      </c>
      <c r="C163" s="227" t="s">
        <v>48</v>
      </c>
      <c r="D163" s="213">
        <v>639</v>
      </c>
      <c r="E163" s="188">
        <f>VLOOKUP(D163,รายแปลง!E:G,3,FALSE)</f>
        <v>902102</v>
      </c>
      <c r="F163" s="214">
        <v>7.53</v>
      </c>
      <c r="G163" s="252" t="s">
        <v>40</v>
      </c>
      <c r="H163" s="214">
        <v>2.15374</v>
      </c>
      <c r="I163" s="214">
        <v>1.0195205390354891</v>
      </c>
      <c r="J163" s="252" t="s">
        <v>41</v>
      </c>
      <c r="K163" s="215">
        <v>163.82827862867515</v>
      </c>
      <c r="L163" s="255" t="s">
        <v>29</v>
      </c>
      <c r="M163" s="215">
        <v>71.014219220172777</v>
      </c>
      <c r="N163" s="255" t="s">
        <v>28</v>
      </c>
      <c r="O163" s="216">
        <v>1435.6042684443951</v>
      </c>
      <c r="P163" s="216">
        <v>153.95096578092347</v>
      </c>
      <c r="Q163" s="216">
        <v>301.13837498679067</v>
      </c>
      <c r="R163" s="233" t="s">
        <v>31</v>
      </c>
      <c r="S163" s="234" t="s">
        <v>32</v>
      </c>
      <c r="T163" s="234" t="s">
        <v>43</v>
      </c>
      <c r="U163" s="235">
        <v>16</v>
      </c>
      <c r="V163" s="235">
        <v>16</v>
      </c>
      <c r="W163" s="235">
        <v>8</v>
      </c>
      <c r="X163" s="236" t="s">
        <v>39</v>
      </c>
      <c r="Y163" s="236">
        <v>50</v>
      </c>
      <c r="Z163" s="237">
        <v>15</v>
      </c>
      <c r="AA163" s="237">
        <v>7</v>
      </c>
      <c r="AB163" s="237">
        <v>18</v>
      </c>
      <c r="AC163" s="236" t="s">
        <v>51</v>
      </c>
      <c r="AD163" s="236">
        <v>50</v>
      </c>
      <c r="AE163" s="238">
        <v>15.5</v>
      </c>
      <c r="AF163" s="238">
        <v>11.5</v>
      </c>
      <c r="AG163" s="238">
        <v>13</v>
      </c>
    </row>
    <row r="164" spans="1:33" s="239" customFormat="1" ht="23.5" customHeight="1">
      <c r="A164" s="186">
        <v>379</v>
      </c>
      <c r="B164" s="213">
        <v>61</v>
      </c>
      <c r="C164" s="224" t="s">
        <v>53</v>
      </c>
      <c r="D164" s="213">
        <v>1205</v>
      </c>
      <c r="E164" s="188">
        <f>VLOOKUP(D164,รายแปลง!E:G,3,FALSE)</f>
        <v>907103</v>
      </c>
      <c r="F164" s="214">
        <v>6.66</v>
      </c>
      <c r="G164" s="252" t="s">
        <v>28</v>
      </c>
      <c r="H164" s="214">
        <v>2.0073279999999998</v>
      </c>
      <c r="I164" s="214">
        <v>1.8175483016237961</v>
      </c>
      <c r="J164" s="252" t="s">
        <v>28</v>
      </c>
      <c r="K164" s="215">
        <v>17.459551996855978</v>
      </c>
      <c r="L164" s="255" t="s">
        <v>41</v>
      </c>
      <c r="M164" s="215">
        <v>162.63439132468517</v>
      </c>
      <c r="N164" s="255" t="s">
        <v>30</v>
      </c>
      <c r="O164" s="216">
        <v>1736.9044090037746</v>
      </c>
      <c r="P164" s="216">
        <v>160.17727169743378</v>
      </c>
      <c r="Q164" s="216">
        <v>115.30664637129303</v>
      </c>
      <c r="R164" s="233" t="s">
        <v>31</v>
      </c>
      <c r="S164" s="234" t="s">
        <v>42</v>
      </c>
      <c r="T164" s="234" t="s">
        <v>33</v>
      </c>
      <c r="U164" s="235">
        <v>16</v>
      </c>
      <c r="V164" s="235">
        <v>16</v>
      </c>
      <c r="W164" s="235">
        <v>8</v>
      </c>
      <c r="X164" s="236" t="s">
        <v>39</v>
      </c>
      <c r="Y164" s="236">
        <v>50</v>
      </c>
      <c r="Z164" s="237">
        <v>21</v>
      </c>
      <c r="AA164" s="237">
        <v>7</v>
      </c>
      <c r="AB164" s="237">
        <v>18</v>
      </c>
      <c r="AC164" s="236" t="s">
        <v>35</v>
      </c>
      <c r="AD164" s="236">
        <v>50</v>
      </c>
      <c r="AE164" s="238">
        <v>18.5</v>
      </c>
      <c r="AF164" s="238">
        <v>11.5</v>
      </c>
      <c r="AG164" s="238">
        <v>13</v>
      </c>
    </row>
    <row r="165" spans="1:33" s="239" customFormat="1" ht="23.5" customHeight="1">
      <c r="A165" s="186">
        <v>381</v>
      </c>
      <c r="B165" s="213">
        <v>61</v>
      </c>
      <c r="C165" s="224" t="s">
        <v>53</v>
      </c>
      <c r="D165" s="213">
        <v>1209</v>
      </c>
      <c r="E165" s="188">
        <f>VLOOKUP(D165,รายแปลง!E:G,3,FALSE)</f>
        <v>907111</v>
      </c>
      <c r="F165" s="214">
        <v>7.8149999999999995</v>
      </c>
      <c r="G165" s="252" t="s">
        <v>40</v>
      </c>
      <c r="H165" s="214">
        <v>5.0790399999999991</v>
      </c>
      <c r="I165" s="214">
        <v>2.1331709625556172</v>
      </c>
      <c r="J165" s="252" t="s">
        <v>28</v>
      </c>
      <c r="K165" s="215">
        <v>18.224562229489202</v>
      </c>
      <c r="L165" s="255" t="s">
        <v>41</v>
      </c>
      <c r="M165" s="215">
        <v>113.25094531019016</v>
      </c>
      <c r="N165" s="255" t="s">
        <v>29</v>
      </c>
      <c r="O165" s="216">
        <v>3541.5544690484776</v>
      </c>
      <c r="P165" s="216">
        <v>133.76465487037012</v>
      </c>
      <c r="Q165" s="216">
        <v>81.072461696982359</v>
      </c>
      <c r="R165" s="233" t="s">
        <v>43</v>
      </c>
      <c r="S165" s="234" t="s">
        <v>42</v>
      </c>
      <c r="T165" s="234" t="s">
        <v>33</v>
      </c>
      <c r="U165" s="235">
        <v>16</v>
      </c>
      <c r="V165" s="235">
        <v>16</v>
      </c>
      <c r="W165" s="235">
        <v>8</v>
      </c>
      <c r="X165" s="236" t="s">
        <v>39</v>
      </c>
      <c r="Y165" s="236">
        <v>50</v>
      </c>
      <c r="Z165" s="237">
        <v>15</v>
      </c>
      <c r="AA165" s="237">
        <v>7</v>
      </c>
      <c r="AB165" s="237">
        <v>18</v>
      </c>
      <c r="AC165" s="236" t="s">
        <v>51</v>
      </c>
      <c r="AD165" s="236">
        <v>50</v>
      </c>
      <c r="AE165" s="238">
        <v>15.5</v>
      </c>
      <c r="AF165" s="238">
        <v>11.5</v>
      </c>
      <c r="AG165" s="238">
        <v>13</v>
      </c>
    </row>
    <row r="166" spans="1:33" s="239" customFormat="1" ht="23.5" customHeight="1">
      <c r="A166" s="186">
        <v>385</v>
      </c>
      <c r="B166" s="213">
        <v>61</v>
      </c>
      <c r="C166" s="224" t="s">
        <v>53</v>
      </c>
      <c r="D166" s="213">
        <v>1226</v>
      </c>
      <c r="E166" s="188">
        <f>VLOOKUP(D166,รายแปลง!E:G,3,FALSE)</f>
        <v>907122</v>
      </c>
      <c r="F166" s="214">
        <v>7.9249999999999998</v>
      </c>
      <c r="G166" s="252" t="s">
        <v>40</v>
      </c>
      <c r="H166" s="214">
        <v>3.5796399999999999</v>
      </c>
      <c r="I166" s="214">
        <v>2.1037099939499617</v>
      </c>
      <c r="J166" s="252" t="s">
        <v>28</v>
      </c>
      <c r="K166" s="215">
        <v>20.28643832620817</v>
      </c>
      <c r="L166" s="255" t="s">
        <v>28</v>
      </c>
      <c r="M166" s="215">
        <v>267.50750535582165</v>
      </c>
      <c r="N166" s="255" t="s">
        <v>30</v>
      </c>
      <c r="O166" s="216">
        <v>2252.3203942330219</v>
      </c>
      <c r="P166" s="216">
        <v>166.83584689935441</v>
      </c>
      <c r="Q166" s="216">
        <v>126.82101881656149</v>
      </c>
      <c r="R166" s="233" t="s">
        <v>43</v>
      </c>
      <c r="S166" s="234" t="s">
        <v>42</v>
      </c>
      <c r="T166" s="234" t="s">
        <v>33</v>
      </c>
      <c r="U166" s="235">
        <v>16</v>
      </c>
      <c r="V166" s="235">
        <v>16</v>
      </c>
      <c r="W166" s="235">
        <v>8</v>
      </c>
      <c r="X166" s="236" t="s">
        <v>39</v>
      </c>
      <c r="Y166" s="236">
        <v>50</v>
      </c>
      <c r="Z166" s="237">
        <v>15</v>
      </c>
      <c r="AA166" s="237">
        <v>7</v>
      </c>
      <c r="AB166" s="237">
        <v>18</v>
      </c>
      <c r="AC166" s="236" t="s">
        <v>51</v>
      </c>
      <c r="AD166" s="236">
        <v>50</v>
      </c>
      <c r="AE166" s="238">
        <v>15.5</v>
      </c>
      <c r="AF166" s="238">
        <v>11.5</v>
      </c>
      <c r="AG166" s="238">
        <v>13</v>
      </c>
    </row>
    <row r="167" spans="1:33" s="239" customFormat="1" ht="23.5" customHeight="1">
      <c r="A167" s="186">
        <v>386</v>
      </c>
      <c r="B167" s="213">
        <v>61</v>
      </c>
      <c r="C167" s="224" t="s">
        <v>53</v>
      </c>
      <c r="D167" s="213">
        <v>1227</v>
      </c>
      <c r="E167" s="188">
        <f>VLOOKUP(D167,รายแปลง!E:G,3,FALSE)</f>
        <v>907119</v>
      </c>
      <c r="F167" s="214">
        <v>6.7549999999999999</v>
      </c>
      <c r="G167" s="252" t="s">
        <v>28</v>
      </c>
      <c r="H167" s="214">
        <v>22.189839999999997</v>
      </c>
      <c r="I167" s="214">
        <v>1.8211259839242584</v>
      </c>
      <c r="J167" s="252" t="s">
        <v>28</v>
      </c>
      <c r="K167" s="215">
        <v>327.41599946087337</v>
      </c>
      <c r="L167" s="255" t="s">
        <v>29</v>
      </c>
      <c r="M167" s="215">
        <v>418.80724092910282</v>
      </c>
      <c r="N167" s="255" t="s">
        <v>30</v>
      </c>
      <c r="O167" s="216">
        <v>2404.947518606461</v>
      </c>
      <c r="P167" s="216">
        <v>150.46681960249214</v>
      </c>
      <c r="Q167" s="216">
        <v>104.76527301606208</v>
      </c>
      <c r="R167" s="233" t="s">
        <v>31</v>
      </c>
      <c r="S167" s="234" t="s">
        <v>32</v>
      </c>
      <c r="T167" s="234" t="s">
        <v>33</v>
      </c>
      <c r="U167" s="235">
        <v>16</v>
      </c>
      <c r="V167" s="235">
        <v>8</v>
      </c>
      <c r="W167" s="235">
        <v>8</v>
      </c>
      <c r="X167" s="236" t="s">
        <v>34</v>
      </c>
      <c r="Y167" s="236">
        <v>50</v>
      </c>
      <c r="Z167" s="237">
        <v>21</v>
      </c>
      <c r="AA167" s="237">
        <v>7</v>
      </c>
      <c r="AB167" s="237">
        <v>18</v>
      </c>
      <c r="AC167" s="236" t="s">
        <v>35</v>
      </c>
      <c r="AD167" s="236">
        <v>50</v>
      </c>
      <c r="AE167" s="238">
        <v>18.5</v>
      </c>
      <c r="AF167" s="238">
        <v>7.5</v>
      </c>
      <c r="AG167" s="238">
        <v>13</v>
      </c>
    </row>
    <row r="168" spans="1:33" s="239" customFormat="1" ht="23.5" customHeight="1">
      <c r="A168" s="186">
        <v>387</v>
      </c>
      <c r="B168" s="213">
        <v>61</v>
      </c>
      <c r="C168" s="224" t="s">
        <v>53</v>
      </c>
      <c r="D168" s="213">
        <v>1230</v>
      </c>
      <c r="E168" s="188">
        <f>VLOOKUP(D168,รายแปลง!E:G,3,FALSE)</f>
        <v>907125</v>
      </c>
      <c r="F168" s="214">
        <v>6.9250000000000007</v>
      </c>
      <c r="G168" s="252" t="s">
        <v>28</v>
      </c>
      <c r="H168" s="214">
        <v>8.7305200000000003</v>
      </c>
      <c r="I168" s="214">
        <v>1.8773339321791429</v>
      </c>
      <c r="J168" s="252" t="s">
        <v>28</v>
      </c>
      <c r="K168" s="215">
        <v>40.667153304170213</v>
      </c>
      <c r="L168" s="255" t="s">
        <v>29</v>
      </c>
      <c r="M168" s="215">
        <v>150.32755093688681</v>
      </c>
      <c r="N168" s="255" t="s">
        <v>30</v>
      </c>
      <c r="O168" s="216">
        <v>2116.8533008547147</v>
      </c>
      <c r="P168" s="216">
        <v>160.54329956426528</v>
      </c>
      <c r="Q168" s="216">
        <v>97.879499725115423</v>
      </c>
      <c r="R168" s="233" t="s">
        <v>31</v>
      </c>
      <c r="S168" s="234" t="s">
        <v>32</v>
      </c>
      <c r="T168" s="234" t="s">
        <v>33</v>
      </c>
      <c r="U168" s="235">
        <v>16</v>
      </c>
      <c r="V168" s="235">
        <v>8</v>
      </c>
      <c r="W168" s="235">
        <v>8</v>
      </c>
      <c r="X168" s="236" t="s">
        <v>34</v>
      </c>
      <c r="Y168" s="236">
        <v>50</v>
      </c>
      <c r="Z168" s="237">
        <v>21</v>
      </c>
      <c r="AA168" s="237">
        <v>7</v>
      </c>
      <c r="AB168" s="237">
        <v>18</v>
      </c>
      <c r="AC168" s="236" t="s">
        <v>35</v>
      </c>
      <c r="AD168" s="236">
        <v>50</v>
      </c>
      <c r="AE168" s="238">
        <v>18.5</v>
      </c>
      <c r="AF168" s="238">
        <v>7.5</v>
      </c>
      <c r="AG168" s="238">
        <v>13</v>
      </c>
    </row>
    <row r="169" spans="1:33" s="239" customFormat="1" ht="23.5" customHeight="1">
      <c r="A169" s="186">
        <v>388</v>
      </c>
      <c r="B169" s="213">
        <v>61</v>
      </c>
      <c r="C169" s="224" t="s">
        <v>53</v>
      </c>
      <c r="D169" s="213">
        <v>1231</v>
      </c>
      <c r="E169" s="188">
        <f>VLOOKUP(D169,รายแปลง!E:G,3,FALSE)</f>
        <v>907126</v>
      </c>
      <c r="F169" s="214">
        <v>7.0600000000000005</v>
      </c>
      <c r="G169" s="252" t="s">
        <v>28</v>
      </c>
      <c r="H169" s="214">
        <v>8.4482800000000005</v>
      </c>
      <c r="I169" s="214">
        <v>2.9417999359009683</v>
      </c>
      <c r="J169" s="252" t="s">
        <v>29</v>
      </c>
      <c r="K169" s="215">
        <v>70.344842728330377</v>
      </c>
      <c r="L169" s="255" t="s">
        <v>29</v>
      </c>
      <c r="M169" s="215">
        <v>165.66782028589967</v>
      </c>
      <c r="N169" s="255" t="s">
        <v>30</v>
      </c>
      <c r="O169" s="216">
        <v>4749.0403462787826</v>
      </c>
      <c r="P169" s="216">
        <v>224.46662635395535</v>
      </c>
      <c r="Q169" s="216">
        <v>89.747492389829205</v>
      </c>
      <c r="R169" s="233" t="s">
        <v>43</v>
      </c>
      <c r="S169" s="234" t="s">
        <v>32</v>
      </c>
      <c r="T169" s="234" t="s">
        <v>33</v>
      </c>
      <c r="U169" s="235">
        <v>16</v>
      </c>
      <c r="V169" s="235">
        <v>8</v>
      </c>
      <c r="W169" s="235">
        <v>8</v>
      </c>
      <c r="X169" s="236" t="s">
        <v>34</v>
      </c>
      <c r="Y169" s="236">
        <v>50</v>
      </c>
      <c r="Z169" s="237">
        <v>21</v>
      </c>
      <c r="AA169" s="237">
        <v>7</v>
      </c>
      <c r="AB169" s="237">
        <v>18</v>
      </c>
      <c r="AC169" s="236" t="s">
        <v>35</v>
      </c>
      <c r="AD169" s="236">
        <v>50</v>
      </c>
      <c r="AE169" s="238">
        <v>18.5</v>
      </c>
      <c r="AF169" s="238">
        <v>7.5</v>
      </c>
      <c r="AG169" s="238">
        <v>13</v>
      </c>
    </row>
    <row r="170" spans="1:33" s="239" customFormat="1" ht="23.5" customHeight="1">
      <c r="A170" s="186">
        <v>391</v>
      </c>
      <c r="B170" s="213">
        <v>61</v>
      </c>
      <c r="C170" s="223" t="s">
        <v>55</v>
      </c>
      <c r="D170" s="213" t="s">
        <v>69</v>
      </c>
      <c r="E170" s="188">
        <v>917128</v>
      </c>
      <c r="F170" s="214">
        <v>6.9049999999999994</v>
      </c>
      <c r="G170" s="252" t="s">
        <v>28</v>
      </c>
      <c r="H170" s="214">
        <v>2.6564800000000002</v>
      </c>
      <c r="I170" s="214">
        <v>0.77088211577063981</v>
      </c>
      <c r="J170" s="252" t="s">
        <v>37</v>
      </c>
      <c r="K170" s="215">
        <v>22.891665391648097</v>
      </c>
      <c r="L170" s="255" t="s">
        <v>28</v>
      </c>
      <c r="M170" s="215">
        <v>90.1</v>
      </c>
      <c r="N170" s="255" t="s">
        <v>29</v>
      </c>
      <c r="O170" s="216">
        <v>728.59834804589468</v>
      </c>
      <c r="P170" s="216">
        <v>144.01361936384109</v>
      </c>
      <c r="Q170" s="216">
        <v>69.455732746117306</v>
      </c>
      <c r="R170" s="233" t="s">
        <v>38</v>
      </c>
      <c r="S170" s="234" t="s">
        <v>42</v>
      </c>
      <c r="T170" s="234" t="s">
        <v>33</v>
      </c>
      <c r="U170" s="235">
        <v>16</v>
      </c>
      <c r="V170" s="235">
        <v>16</v>
      </c>
      <c r="W170" s="235">
        <v>8</v>
      </c>
      <c r="X170" s="236" t="s">
        <v>39</v>
      </c>
      <c r="Y170" s="236">
        <v>50</v>
      </c>
      <c r="Z170" s="237">
        <v>21</v>
      </c>
      <c r="AA170" s="237">
        <v>7</v>
      </c>
      <c r="AB170" s="237">
        <v>18</v>
      </c>
      <c r="AC170" s="236" t="s">
        <v>35</v>
      </c>
      <c r="AD170" s="236">
        <v>50</v>
      </c>
      <c r="AE170" s="238">
        <v>18.5</v>
      </c>
      <c r="AF170" s="238">
        <v>11.5</v>
      </c>
      <c r="AG170" s="238">
        <v>13</v>
      </c>
    </row>
    <row r="171" spans="1:33" s="239" customFormat="1" ht="23.5" customHeight="1">
      <c r="A171" s="186">
        <v>396</v>
      </c>
      <c r="B171" s="213">
        <v>61</v>
      </c>
      <c r="C171" s="224" t="s">
        <v>66</v>
      </c>
      <c r="D171" s="213">
        <v>1706</v>
      </c>
      <c r="E171" s="188">
        <f>VLOOKUP(D171,รายแปลง!E:G,3,FALSE)</f>
        <v>910106</v>
      </c>
      <c r="F171" s="214">
        <v>6.2799999999999994</v>
      </c>
      <c r="G171" s="252" t="s">
        <v>28</v>
      </c>
      <c r="H171" s="214">
        <v>1.5822039999999999</v>
      </c>
      <c r="I171" s="214">
        <v>0.80644979038557807</v>
      </c>
      <c r="J171" s="252" t="s">
        <v>37</v>
      </c>
      <c r="K171" s="215">
        <v>7.1307564598305486</v>
      </c>
      <c r="L171" s="255" t="s">
        <v>37</v>
      </c>
      <c r="M171" s="215">
        <v>124.59261799754456</v>
      </c>
      <c r="N171" s="255" t="s">
        <v>30</v>
      </c>
      <c r="O171" s="216">
        <v>1220.8248837844371</v>
      </c>
      <c r="P171" s="216">
        <v>174.92046646544256</v>
      </c>
      <c r="Q171" s="216">
        <v>67.50311831678242</v>
      </c>
      <c r="R171" s="233" t="s">
        <v>38</v>
      </c>
      <c r="S171" s="234" t="s">
        <v>43</v>
      </c>
      <c r="T171" s="234" t="s">
        <v>33</v>
      </c>
      <c r="U171" s="235">
        <v>16</v>
      </c>
      <c r="V171" s="235">
        <v>16</v>
      </c>
      <c r="W171" s="235">
        <v>8</v>
      </c>
      <c r="X171" s="236" t="s">
        <v>39</v>
      </c>
      <c r="Y171" s="236">
        <v>50</v>
      </c>
      <c r="Z171" s="237">
        <v>21</v>
      </c>
      <c r="AA171" s="237">
        <v>7</v>
      </c>
      <c r="AB171" s="237">
        <v>18</v>
      </c>
      <c r="AC171" s="236" t="s">
        <v>35</v>
      </c>
      <c r="AD171" s="236">
        <v>50</v>
      </c>
      <c r="AE171" s="238">
        <v>18.5</v>
      </c>
      <c r="AF171" s="238">
        <v>11.5</v>
      </c>
      <c r="AG171" s="238">
        <v>13</v>
      </c>
    </row>
    <row r="172" spans="1:33" s="239" customFormat="1" ht="23.5" customHeight="1">
      <c r="A172" s="186">
        <v>397</v>
      </c>
      <c r="B172" s="213">
        <v>61</v>
      </c>
      <c r="C172" s="224" t="s">
        <v>66</v>
      </c>
      <c r="D172" s="213">
        <v>1711</v>
      </c>
      <c r="E172" s="188">
        <f>VLOOKUP(D172,รายแปลง!E:G,3,FALSE)</f>
        <v>910112</v>
      </c>
      <c r="F172" s="214">
        <v>6.1</v>
      </c>
      <c r="G172" s="252" t="s">
        <v>28</v>
      </c>
      <c r="H172" s="214">
        <v>1.6257160000000002</v>
      </c>
      <c r="I172" s="214">
        <v>0.87857472298969541</v>
      </c>
      <c r="J172" s="252" t="s">
        <v>37</v>
      </c>
      <c r="K172" s="215">
        <v>8.7391073798029311</v>
      </c>
      <c r="L172" s="255" t="s">
        <v>37</v>
      </c>
      <c r="M172" s="215">
        <v>115.98681698648238</v>
      </c>
      <c r="N172" s="255" t="s">
        <v>29</v>
      </c>
      <c r="O172" s="216">
        <v>1146.0677002952093</v>
      </c>
      <c r="P172" s="216">
        <v>180.80824076172811</v>
      </c>
      <c r="Q172" s="216">
        <v>68.420390180468445</v>
      </c>
      <c r="R172" s="233" t="s">
        <v>38</v>
      </c>
      <c r="S172" s="234" t="s">
        <v>43</v>
      </c>
      <c r="T172" s="234" t="s">
        <v>33</v>
      </c>
      <c r="U172" s="235">
        <v>16</v>
      </c>
      <c r="V172" s="235">
        <v>16</v>
      </c>
      <c r="W172" s="235">
        <v>8</v>
      </c>
      <c r="X172" s="236" t="s">
        <v>39</v>
      </c>
      <c r="Y172" s="236">
        <v>50</v>
      </c>
      <c r="Z172" s="237">
        <v>21</v>
      </c>
      <c r="AA172" s="237">
        <v>7</v>
      </c>
      <c r="AB172" s="237">
        <v>18</v>
      </c>
      <c r="AC172" s="236" t="s">
        <v>35</v>
      </c>
      <c r="AD172" s="236">
        <v>50</v>
      </c>
      <c r="AE172" s="238">
        <v>18.5</v>
      </c>
      <c r="AF172" s="238">
        <v>11.5</v>
      </c>
      <c r="AG172" s="238">
        <v>13</v>
      </c>
    </row>
    <row r="173" spans="1:33" s="239" customFormat="1" ht="23.5" customHeight="1">
      <c r="A173" s="186">
        <v>401</v>
      </c>
      <c r="B173" s="213">
        <v>61</v>
      </c>
      <c r="C173" s="225" t="s">
        <v>60</v>
      </c>
      <c r="D173" s="213" t="s">
        <v>70</v>
      </c>
      <c r="E173" s="188">
        <v>913102</v>
      </c>
      <c r="F173" s="214">
        <v>6.49</v>
      </c>
      <c r="G173" s="252" t="s">
        <v>28</v>
      </c>
      <c r="H173" s="214">
        <v>2.5329999999999995</v>
      </c>
      <c r="I173" s="214">
        <v>0.87422529180471498</v>
      </c>
      <c r="J173" s="252" t="s">
        <v>37</v>
      </c>
      <c r="K173" s="215">
        <v>14.250364399446918</v>
      </c>
      <c r="L173" s="255" t="s">
        <v>41</v>
      </c>
      <c r="M173" s="215">
        <v>286.94575936192933</v>
      </c>
      <c r="N173" s="255" t="s">
        <v>30</v>
      </c>
      <c r="O173" s="216">
        <v>1158.7477035883526</v>
      </c>
      <c r="P173" s="216">
        <v>201.86824480241813</v>
      </c>
      <c r="Q173" s="216">
        <v>42.659805889022486</v>
      </c>
      <c r="R173" s="233" t="s">
        <v>38</v>
      </c>
      <c r="S173" s="234" t="s">
        <v>43</v>
      </c>
      <c r="T173" s="234" t="s">
        <v>33</v>
      </c>
      <c r="U173" s="235">
        <v>16</v>
      </c>
      <c r="V173" s="235">
        <v>16</v>
      </c>
      <c r="W173" s="235">
        <v>8</v>
      </c>
      <c r="X173" s="236" t="s">
        <v>39</v>
      </c>
      <c r="Y173" s="236">
        <v>50</v>
      </c>
      <c r="Z173" s="237">
        <v>21</v>
      </c>
      <c r="AA173" s="237">
        <v>7</v>
      </c>
      <c r="AB173" s="237">
        <v>18</v>
      </c>
      <c r="AC173" s="236" t="s">
        <v>35</v>
      </c>
      <c r="AD173" s="236">
        <v>50</v>
      </c>
      <c r="AE173" s="238">
        <v>18.5</v>
      </c>
      <c r="AF173" s="238">
        <v>11.5</v>
      </c>
      <c r="AG173" s="238">
        <v>13</v>
      </c>
    </row>
    <row r="174" spans="1:33" s="239" customFormat="1" ht="23.5" customHeight="1">
      <c r="A174" s="186">
        <v>402</v>
      </c>
      <c r="B174" s="213">
        <v>61</v>
      </c>
      <c r="C174" s="225" t="s">
        <v>60</v>
      </c>
      <c r="D174" s="213" t="s">
        <v>71</v>
      </c>
      <c r="E174" s="188">
        <v>913103</v>
      </c>
      <c r="F174" s="214">
        <v>6.79</v>
      </c>
      <c r="G174" s="252" t="s">
        <v>28</v>
      </c>
      <c r="H174" s="214">
        <v>2.4212799999999994</v>
      </c>
      <c r="I174" s="214">
        <v>0.80299091632585595</v>
      </c>
      <c r="J174" s="252" t="s">
        <v>37</v>
      </c>
      <c r="K174" s="215">
        <v>6.7587159640179078</v>
      </c>
      <c r="L174" s="255" t="s">
        <v>37</v>
      </c>
      <c r="M174" s="215">
        <v>174.20869144550613</v>
      </c>
      <c r="N174" s="255" t="s">
        <v>30</v>
      </c>
      <c r="O174" s="216">
        <v>1301.8284810331784</v>
      </c>
      <c r="P174" s="216">
        <v>274.74235995532808</v>
      </c>
      <c r="Q174" s="216">
        <v>41.645549243500568</v>
      </c>
      <c r="R174" s="233" t="s">
        <v>38</v>
      </c>
      <c r="S174" s="234" t="s">
        <v>43</v>
      </c>
      <c r="T174" s="234" t="s">
        <v>33</v>
      </c>
      <c r="U174" s="235">
        <v>16</v>
      </c>
      <c r="V174" s="235">
        <v>16</v>
      </c>
      <c r="W174" s="235">
        <v>8</v>
      </c>
      <c r="X174" s="236" t="s">
        <v>39</v>
      </c>
      <c r="Y174" s="236">
        <v>50</v>
      </c>
      <c r="Z174" s="237">
        <v>21</v>
      </c>
      <c r="AA174" s="237">
        <v>7</v>
      </c>
      <c r="AB174" s="237">
        <v>18</v>
      </c>
      <c r="AC174" s="236" t="s">
        <v>35</v>
      </c>
      <c r="AD174" s="236">
        <v>50</v>
      </c>
      <c r="AE174" s="238">
        <v>18.5</v>
      </c>
      <c r="AF174" s="238">
        <v>11.5</v>
      </c>
      <c r="AG174" s="238">
        <v>13</v>
      </c>
    </row>
    <row r="175" spans="1:33" s="239" customFormat="1" ht="23.5" customHeight="1">
      <c r="A175" s="186">
        <v>403</v>
      </c>
      <c r="B175" s="213">
        <v>61</v>
      </c>
      <c r="C175" s="225" t="s">
        <v>60</v>
      </c>
      <c r="D175" s="213" t="s">
        <v>72</v>
      </c>
      <c r="E175" s="188">
        <v>913110</v>
      </c>
      <c r="F175" s="214">
        <v>6.1349999999999998</v>
      </c>
      <c r="G175" s="252" t="s">
        <v>28</v>
      </c>
      <c r="H175" s="214">
        <v>1.7039199999999997</v>
      </c>
      <c r="I175" s="214">
        <v>0.87250949257347354</v>
      </c>
      <c r="J175" s="252" t="s">
        <v>37</v>
      </c>
      <c r="K175" s="215">
        <v>10.809617705774087</v>
      </c>
      <c r="L175" s="255" t="s">
        <v>41</v>
      </c>
      <c r="M175" s="215">
        <v>163.67214505127967</v>
      </c>
      <c r="N175" s="255" t="s">
        <v>30</v>
      </c>
      <c r="O175" s="216">
        <v>952.39398840282433</v>
      </c>
      <c r="P175" s="216">
        <v>171.86291519291842</v>
      </c>
      <c r="Q175" s="216">
        <v>53.404757815530033</v>
      </c>
      <c r="R175" s="233" t="s">
        <v>38</v>
      </c>
      <c r="S175" s="234" t="s">
        <v>43</v>
      </c>
      <c r="T175" s="234" t="s">
        <v>33</v>
      </c>
      <c r="U175" s="235">
        <v>16</v>
      </c>
      <c r="V175" s="235">
        <v>16</v>
      </c>
      <c r="W175" s="235">
        <v>8</v>
      </c>
      <c r="X175" s="236" t="s">
        <v>39</v>
      </c>
      <c r="Y175" s="236">
        <v>50</v>
      </c>
      <c r="Z175" s="237">
        <v>21</v>
      </c>
      <c r="AA175" s="237">
        <v>7</v>
      </c>
      <c r="AB175" s="237">
        <v>18</v>
      </c>
      <c r="AC175" s="236" t="s">
        <v>35</v>
      </c>
      <c r="AD175" s="236">
        <v>50</v>
      </c>
      <c r="AE175" s="238">
        <v>18.5</v>
      </c>
      <c r="AF175" s="238">
        <v>11.5</v>
      </c>
      <c r="AG175" s="238">
        <v>13</v>
      </c>
    </row>
    <row r="176" spans="1:33" s="239" customFormat="1" ht="23.5" customHeight="1">
      <c r="A176" s="186">
        <v>405</v>
      </c>
      <c r="B176" s="213">
        <v>61</v>
      </c>
      <c r="C176" s="225" t="s">
        <v>60</v>
      </c>
      <c r="D176" s="213">
        <v>1725</v>
      </c>
      <c r="E176" s="188">
        <f>VLOOKUP(D176,รายแปลง!E:G,3,FALSE)</f>
        <v>913115</v>
      </c>
      <c r="F176" s="214">
        <v>6.83</v>
      </c>
      <c r="G176" s="252" t="s">
        <v>28</v>
      </c>
      <c r="H176" s="214">
        <v>1.773892</v>
      </c>
      <c r="I176" s="214">
        <v>1.2405427466201613</v>
      </c>
      <c r="J176" s="252" t="s">
        <v>41</v>
      </c>
      <c r="K176" s="215">
        <v>2.6327290086731345</v>
      </c>
      <c r="L176" s="255" t="s">
        <v>47</v>
      </c>
      <c r="M176" s="215">
        <v>117.16723072245178</v>
      </c>
      <c r="N176" s="255" t="s">
        <v>29</v>
      </c>
      <c r="O176" s="216">
        <v>1954.0402766931284</v>
      </c>
      <c r="P176" s="216">
        <v>204.54087425973034</v>
      </c>
      <c r="Q176" s="216">
        <v>60.833655128940656</v>
      </c>
      <c r="R176" s="233" t="s">
        <v>31</v>
      </c>
      <c r="S176" s="234" t="s">
        <v>43</v>
      </c>
      <c r="T176" s="234" t="s">
        <v>33</v>
      </c>
      <c r="U176" s="235">
        <v>16</v>
      </c>
      <c r="V176" s="235">
        <v>16</v>
      </c>
      <c r="W176" s="235">
        <v>8</v>
      </c>
      <c r="X176" s="236" t="s">
        <v>39</v>
      </c>
      <c r="Y176" s="236">
        <v>50</v>
      </c>
      <c r="Z176" s="237">
        <v>21</v>
      </c>
      <c r="AA176" s="237">
        <v>7</v>
      </c>
      <c r="AB176" s="237">
        <v>18</v>
      </c>
      <c r="AC176" s="236" t="s">
        <v>35</v>
      </c>
      <c r="AD176" s="236">
        <v>50</v>
      </c>
      <c r="AE176" s="238">
        <v>18.5</v>
      </c>
      <c r="AF176" s="238">
        <v>11.5</v>
      </c>
      <c r="AG176" s="238">
        <v>13</v>
      </c>
    </row>
    <row r="177" spans="1:33" s="239" customFormat="1" ht="23.5" customHeight="1">
      <c r="A177" s="186">
        <v>406</v>
      </c>
      <c r="B177" s="213">
        <v>61</v>
      </c>
      <c r="C177" s="225" t="s">
        <v>60</v>
      </c>
      <c r="D177" s="213" t="s">
        <v>73</v>
      </c>
      <c r="E177" s="188">
        <v>913116</v>
      </c>
      <c r="F177" s="214">
        <v>5.7949999999999999</v>
      </c>
      <c r="G177" s="252" t="s">
        <v>28</v>
      </c>
      <c r="H177" s="214">
        <v>1.4387319999999999</v>
      </c>
      <c r="I177" s="214">
        <v>0.87168048184024838</v>
      </c>
      <c r="J177" s="252" t="s">
        <v>37</v>
      </c>
      <c r="K177" s="215">
        <v>10.801184115753571</v>
      </c>
      <c r="L177" s="255" t="s">
        <v>41</v>
      </c>
      <c r="M177" s="215">
        <v>268.46613199122379</v>
      </c>
      <c r="N177" s="255" t="s">
        <v>30</v>
      </c>
      <c r="O177" s="216">
        <v>376.6396639663966</v>
      </c>
      <c r="P177" s="216">
        <v>120.61525690083488</v>
      </c>
      <c r="Q177" s="216">
        <v>38.069442709458059</v>
      </c>
      <c r="R177" s="233" t="s">
        <v>38</v>
      </c>
      <c r="S177" s="234" t="s">
        <v>43</v>
      </c>
      <c r="T177" s="234" t="s">
        <v>33</v>
      </c>
      <c r="U177" s="235">
        <v>16</v>
      </c>
      <c r="V177" s="235">
        <v>16</v>
      </c>
      <c r="W177" s="235">
        <v>8</v>
      </c>
      <c r="X177" s="236" t="s">
        <v>39</v>
      </c>
      <c r="Y177" s="236">
        <v>50</v>
      </c>
      <c r="Z177" s="237">
        <v>21</v>
      </c>
      <c r="AA177" s="237">
        <v>7</v>
      </c>
      <c r="AB177" s="237">
        <v>18</v>
      </c>
      <c r="AC177" s="236" t="s">
        <v>35</v>
      </c>
      <c r="AD177" s="236">
        <v>50</v>
      </c>
      <c r="AE177" s="238">
        <v>18.5</v>
      </c>
      <c r="AF177" s="238">
        <v>11.5</v>
      </c>
      <c r="AG177" s="238">
        <v>13</v>
      </c>
    </row>
    <row r="178" spans="1:33" s="239" customFormat="1" ht="23.5" customHeight="1">
      <c r="A178" s="186">
        <v>407</v>
      </c>
      <c r="B178" s="213">
        <v>61</v>
      </c>
      <c r="C178" s="224" t="s">
        <v>74</v>
      </c>
      <c r="D178" s="213">
        <v>805</v>
      </c>
      <c r="E178" s="188">
        <f>VLOOKUP(D178,รายแปลง!E:G,3,FALSE)</f>
        <v>903105</v>
      </c>
      <c r="F178" s="214">
        <v>6.82</v>
      </c>
      <c r="G178" s="252" t="s">
        <v>28</v>
      </c>
      <c r="H178" s="214">
        <v>3.5737599999999996</v>
      </c>
      <c r="I178" s="214">
        <v>1.4707124672413492</v>
      </c>
      <c r="J178" s="252" t="s">
        <v>41</v>
      </c>
      <c r="K178" s="215">
        <v>221.89573775814799</v>
      </c>
      <c r="L178" s="255" t="s">
        <v>29</v>
      </c>
      <c r="M178" s="215">
        <v>104.84369467493251</v>
      </c>
      <c r="N178" s="255" t="s">
        <v>29</v>
      </c>
      <c r="O178" s="216">
        <v>1376.8809393355714</v>
      </c>
      <c r="P178" s="216">
        <v>157.04969736764951</v>
      </c>
      <c r="Q178" s="216">
        <v>36.368509224885997</v>
      </c>
      <c r="R178" s="233" t="s">
        <v>31</v>
      </c>
      <c r="S178" s="234" t="s">
        <v>32</v>
      </c>
      <c r="T178" s="234" t="s">
        <v>33</v>
      </c>
      <c r="U178" s="235">
        <v>16</v>
      </c>
      <c r="V178" s="235">
        <v>8</v>
      </c>
      <c r="W178" s="235">
        <v>8</v>
      </c>
      <c r="X178" s="236" t="s">
        <v>34</v>
      </c>
      <c r="Y178" s="236">
        <v>50</v>
      </c>
      <c r="Z178" s="237">
        <v>21</v>
      </c>
      <c r="AA178" s="237">
        <v>7</v>
      </c>
      <c r="AB178" s="237">
        <v>18</v>
      </c>
      <c r="AC178" s="236" t="s">
        <v>35</v>
      </c>
      <c r="AD178" s="236">
        <v>50</v>
      </c>
      <c r="AE178" s="238">
        <v>18.5</v>
      </c>
      <c r="AF178" s="238">
        <v>7.5</v>
      </c>
      <c r="AG178" s="238">
        <v>13</v>
      </c>
    </row>
    <row r="179" spans="1:33" s="239" customFormat="1" ht="23.5" customHeight="1">
      <c r="A179" s="186">
        <v>413</v>
      </c>
      <c r="B179" s="213">
        <v>61</v>
      </c>
      <c r="C179" s="225" t="s">
        <v>61</v>
      </c>
      <c r="D179" s="213">
        <v>1901</v>
      </c>
      <c r="E179" s="188">
        <f>VLOOKUP(D179,รายแปลง!E:G,3,FALSE)</f>
        <v>919101</v>
      </c>
      <c r="F179" s="214">
        <v>7.8249999999999993</v>
      </c>
      <c r="G179" s="252" t="s">
        <v>40</v>
      </c>
      <c r="H179" s="214">
        <v>2.5388799999999998</v>
      </c>
      <c r="I179" s="214">
        <v>1.4641740926782525</v>
      </c>
      <c r="J179" s="252" t="s">
        <v>41</v>
      </c>
      <c r="K179" s="215">
        <v>9.1963666264218862</v>
      </c>
      <c r="L179" s="255" t="s">
        <v>37</v>
      </c>
      <c r="M179" s="215">
        <v>268.60825625244649</v>
      </c>
      <c r="N179" s="255" t="s">
        <v>30</v>
      </c>
      <c r="O179" s="216">
        <v>2099.1914257188969</v>
      </c>
      <c r="P179" s="216">
        <v>229.19760764570802</v>
      </c>
      <c r="Q179" s="216">
        <v>51.530708836974583</v>
      </c>
      <c r="R179" s="233" t="s">
        <v>31</v>
      </c>
      <c r="S179" s="234" t="s">
        <v>43</v>
      </c>
      <c r="T179" s="234" t="s">
        <v>33</v>
      </c>
      <c r="U179" s="235">
        <v>16</v>
      </c>
      <c r="V179" s="235">
        <v>16</v>
      </c>
      <c r="W179" s="235">
        <v>8</v>
      </c>
      <c r="X179" s="236" t="s">
        <v>39</v>
      </c>
      <c r="Y179" s="236">
        <v>50</v>
      </c>
      <c r="Z179" s="237">
        <v>21</v>
      </c>
      <c r="AA179" s="237">
        <v>7</v>
      </c>
      <c r="AB179" s="237">
        <v>18</v>
      </c>
      <c r="AC179" s="236" t="s">
        <v>35</v>
      </c>
      <c r="AD179" s="236">
        <v>50</v>
      </c>
      <c r="AE179" s="238">
        <v>18.5</v>
      </c>
      <c r="AF179" s="238">
        <v>11.5</v>
      </c>
      <c r="AG179" s="238">
        <v>13</v>
      </c>
    </row>
    <row r="180" spans="1:33" s="239" customFormat="1" ht="23.5" customHeight="1">
      <c r="A180" s="186">
        <v>414</v>
      </c>
      <c r="B180" s="213">
        <v>61</v>
      </c>
      <c r="C180" s="225" t="s">
        <v>61</v>
      </c>
      <c r="D180" s="213">
        <v>1902</v>
      </c>
      <c r="E180" s="188">
        <f>VLOOKUP(D180,รายแปลง!E:G,3,FALSE)</f>
        <v>919102</v>
      </c>
      <c r="F180" s="214">
        <v>7.6899999999999995</v>
      </c>
      <c r="G180" s="252" t="s">
        <v>40</v>
      </c>
      <c r="H180" s="214">
        <v>2.4977199999999997</v>
      </c>
      <c r="I180" s="214">
        <v>1.3124734263599522</v>
      </c>
      <c r="J180" s="252" t="s">
        <v>41</v>
      </c>
      <c r="K180" s="215">
        <v>8.7417908261604751</v>
      </c>
      <c r="L180" s="255" t="s">
        <v>37</v>
      </c>
      <c r="M180" s="215">
        <v>145.47897103123415</v>
      </c>
      <c r="N180" s="255" t="s">
        <v>30</v>
      </c>
      <c r="O180" s="216">
        <v>1948.2895571998804</v>
      </c>
      <c r="P180" s="216">
        <v>268.81251344247164</v>
      </c>
      <c r="Q180" s="216">
        <v>49.395493163210645</v>
      </c>
      <c r="R180" s="233" t="s">
        <v>31</v>
      </c>
      <c r="S180" s="234" t="s">
        <v>43</v>
      </c>
      <c r="T180" s="234" t="s">
        <v>33</v>
      </c>
      <c r="U180" s="235">
        <v>16</v>
      </c>
      <c r="V180" s="235">
        <v>16</v>
      </c>
      <c r="W180" s="235">
        <v>8</v>
      </c>
      <c r="X180" s="236" t="s">
        <v>39</v>
      </c>
      <c r="Y180" s="236">
        <v>50</v>
      </c>
      <c r="Z180" s="237">
        <v>21</v>
      </c>
      <c r="AA180" s="237">
        <v>7</v>
      </c>
      <c r="AB180" s="237">
        <v>18</v>
      </c>
      <c r="AC180" s="236" t="s">
        <v>35</v>
      </c>
      <c r="AD180" s="236">
        <v>50</v>
      </c>
      <c r="AE180" s="238">
        <v>18.5</v>
      </c>
      <c r="AF180" s="238">
        <v>11.5</v>
      </c>
      <c r="AG180" s="238">
        <v>13</v>
      </c>
    </row>
    <row r="181" spans="1:33" s="239" customFormat="1" ht="23.5" customHeight="1">
      <c r="A181" s="186">
        <v>416</v>
      </c>
      <c r="B181" s="213">
        <v>61</v>
      </c>
      <c r="C181" s="225" t="s">
        <v>61</v>
      </c>
      <c r="D181" s="213">
        <v>1907</v>
      </c>
      <c r="E181" s="188">
        <f>VLOOKUP(D181,รายแปลง!E:G,3,FALSE)</f>
        <v>919109</v>
      </c>
      <c r="F181" s="214">
        <v>7.6750000000000007</v>
      </c>
      <c r="G181" s="252" t="s">
        <v>40</v>
      </c>
      <c r="H181" s="214">
        <v>3.6972399999999999</v>
      </c>
      <c r="I181" s="214">
        <v>1.3436237325473344</v>
      </c>
      <c r="J181" s="252" t="s">
        <v>41</v>
      </c>
      <c r="K181" s="215">
        <v>36.388347599465625</v>
      </c>
      <c r="L181" s="255" t="s">
        <v>28</v>
      </c>
      <c r="M181" s="215">
        <v>177.27959872705401</v>
      </c>
      <c r="N181" s="255" t="s">
        <v>30</v>
      </c>
      <c r="O181" s="216">
        <v>2280.1471654772959</v>
      </c>
      <c r="P181" s="216">
        <v>312.77262553618283</v>
      </c>
      <c r="Q181" s="216">
        <v>38.668079964647333</v>
      </c>
      <c r="R181" s="233" t="s">
        <v>31</v>
      </c>
      <c r="S181" s="234" t="s">
        <v>32</v>
      </c>
      <c r="T181" s="234" t="s">
        <v>33</v>
      </c>
      <c r="U181" s="235">
        <v>16</v>
      </c>
      <c r="V181" s="235">
        <v>8</v>
      </c>
      <c r="W181" s="235">
        <v>8</v>
      </c>
      <c r="X181" s="236" t="s">
        <v>34</v>
      </c>
      <c r="Y181" s="236">
        <v>50</v>
      </c>
      <c r="Z181" s="237">
        <v>21</v>
      </c>
      <c r="AA181" s="237">
        <v>7</v>
      </c>
      <c r="AB181" s="237">
        <v>18</v>
      </c>
      <c r="AC181" s="236" t="s">
        <v>35</v>
      </c>
      <c r="AD181" s="236">
        <v>50</v>
      </c>
      <c r="AE181" s="238">
        <v>18.5</v>
      </c>
      <c r="AF181" s="238">
        <v>7.5</v>
      </c>
      <c r="AG181" s="238">
        <v>13</v>
      </c>
    </row>
    <row r="182" spans="1:33" s="239" customFormat="1" ht="23.5" customHeight="1">
      <c r="A182" s="186">
        <v>421</v>
      </c>
      <c r="B182" s="213">
        <v>61</v>
      </c>
      <c r="C182" s="225" t="s">
        <v>61</v>
      </c>
      <c r="D182" s="213">
        <v>1915</v>
      </c>
      <c r="E182" s="188">
        <f>VLOOKUP(D182,รายแปลง!E:G,3,FALSE)</f>
        <v>919118</v>
      </c>
      <c r="F182" s="214">
        <v>6.9</v>
      </c>
      <c r="G182" s="252" t="s">
        <v>28</v>
      </c>
      <c r="H182" s="214">
        <v>4.2499599999999997</v>
      </c>
      <c r="I182" s="214">
        <v>2.3417428780828038</v>
      </c>
      <c r="J182" s="252" t="s">
        <v>28</v>
      </c>
      <c r="K182" s="215">
        <v>23.499872121806099</v>
      </c>
      <c r="L182" s="255" t="s">
        <v>28</v>
      </c>
      <c r="M182" s="215">
        <v>378.01090332432261</v>
      </c>
      <c r="N182" s="255" t="s">
        <v>30</v>
      </c>
      <c r="O182" s="216">
        <v>2166.5256253046555</v>
      </c>
      <c r="P182" s="216">
        <v>379.74596533596633</v>
      </c>
      <c r="Q182" s="216">
        <v>34.151841252739246</v>
      </c>
      <c r="R182" s="233" t="s">
        <v>43</v>
      </c>
      <c r="S182" s="234" t="s">
        <v>42</v>
      </c>
      <c r="T182" s="234" t="s">
        <v>33</v>
      </c>
      <c r="U182" s="235">
        <v>16</v>
      </c>
      <c r="V182" s="235">
        <v>16</v>
      </c>
      <c r="W182" s="235">
        <v>8</v>
      </c>
      <c r="X182" s="236" t="s">
        <v>39</v>
      </c>
      <c r="Y182" s="236">
        <v>50</v>
      </c>
      <c r="Z182" s="237">
        <v>15</v>
      </c>
      <c r="AA182" s="237">
        <v>7</v>
      </c>
      <c r="AB182" s="237">
        <v>18</v>
      </c>
      <c r="AC182" s="236" t="s">
        <v>51</v>
      </c>
      <c r="AD182" s="236">
        <v>50</v>
      </c>
      <c r="AE182" s="238">
        <v>15.5</v>
      </c>
      <c r="AF182" s="238">
        <v>11.5</v>
      </c>
      <c r="AG182" s="238">
        <v>13</v>
      </c>
    </row>
    <row r="183" spans="1:33" s="239" customFormat="1" ht="23.5" customHeight="1">
      <c r="A183" s="186">
        <v>422</v>
      </c>
      <c r="B183" s="213">
        <v>61</v>
      </c>
      <c r="C183" s="225" t="s">
        <v>61</v>
      </c>
      <c r="D183" s="213" t="s">
        <v>75</v>
      </c>
      <c r="E183" s="188" t="e">
        <f>VLOOKUP(D183,รายแปลง!E:G,3,FALSE)</f>
        <v>#N/A</v>
      </c>
      <c r="F183" s="214">
        <v>5.7149999999999999</v>
      </c>
      <c r="G183" s="252" t="s">
        <v>28</v>
      </c>
      <c r="H183" s="214">
        <v>0.74136400000000002</v>
      </c>
      <c r="I183" s="214">
        <v>0.87421842220474955</v>
      </c>
      <c r="J183" s="252" t="s">
        <v>37</v>
      </c>
      <c r="K183" s="215">
        <v>4.4408854134058657</v>
      </c>
      <c r="L183" s="255" t="s">
        <v>47</v>
      </c>
      <c r="M183" s="215">
        <v>28.871129600458787</v>
      </c>
      <c r="N183" s="255" t="s">
        <v>37</v>
      </c>
      <c r="O183" s="216">
        <v>327.66597462058394</v>
      </c>
      <c r="P183" s="216">
        <v>77.958648761927265</v>
      </c>
      <c r="Q183" s="216">
        <v>27.331692743089782</v>
      </c>
      <c r="R183" s="233" t="s">
        <v>38</v>
      </c>
      <c r="S183" s="234" t="s">
        <v>43</v>
      </c>
      <c r="T183" s="234" t="s">
        <v>31</v>
      </c>
      <c r="U183" s="235">
        <v>16</v>
      </c>
      <c r="V183" s="235">
        <v>16</v>
      </c>
      <c r="W183" s="235">
        <v>8</v>
      </c>
      <c r="X183" s="236" t="s">
        <v>39</v>
      </c>
      <c r="Y183" s="236">
        <v>50</v>
      </c>
      <c r="Z183" s="237">
        <v>20</v>
      </c>
      <c r="AA183" s="237">
        <v>8</v>
      </c>
      <c r="AB183" s="237">
        <v>20</v>
      </c>
      <c r="AC183" s="236" t="s">
        <v>45</v>
      </c>
      <c r="AD183" s="236">
        <v>50</v>
      </c>
      <c r="AE183" s="238">
        <v>18</v>
      </c>
      <c r="AF183" s="238">
        <v>12</v>
      </c>
      <c r="AG183" s="238">
        <v>14</v>
      </c>
    </row>
    <row r="184" spans="1:33" s="239" customFormat="1" ht="23.5" customHeight="1">
      <c r="A184" s="186">
        <v>423</v>
      </c>
      <c r="B184" s="213">
        <v>61</v>
      </c>
      <c r="C184" s="224" t="s">
        <v>27</v>
      </c>
      <c r="D184" s="213">
        <v>801</v>
      </c>
      <c r="E184" s="188">
        <f>VLOOKUP(D184,รายแปลง!E:G,3,FALSE)</f>
        <v>903101</v>
      </c>
      <c r="F184" s="214">
        <v>8.7050000000000001</v>
      </c>
      <c r="G184" s="252" t="s">
        <v>36</v>
      </c>
      <c r="H184" s="214">
        <v>5.4318399999999993</v>
      </c>
      <c r="I184" s="214">
        <v>0.70735133932985139</v>
      </c>
      <c r="J184" s="252" t="s">
        <v>37</v>
      </c>
      <c r="K184" s="215">
        <v>87.653918649847554</v>
      </c>
      <c r="L184" s="255" t="s">
        <v>29</v>
      </c>
      <c r="M184" s="215">
        <v>134.23453209972774</v>
      </c>
      <c r="N184" s="255" t="s">
        <v>30</v>
      </c>
      <c r="O184" s="216">
        <v>3475.1584966522878</v>
      </c>
      <c r="P184" s="216">
        <v>172.85268166921975</v>
      </c>
      <c r="Q184" s="216">
        <v>209.6015902261837</v>
      </c>
      <c r="R184" s="233" t="s">
        <v>38</v>
      </c>
      <c r="S184" s="234" t="s">
        <v>32</v>
      </c>
      <c r="T184" s="234" t="s">
        <v>33</v>
      </c>
      <c r="U184" s="235">
        <v>16</v>
      </c>
      <c r="V184" s="235">
        <v>16</v>
      </c>
      <c r="W184" s="235">
        <v>8</v>
      </c>
      <c r="X184" s="236" t="s">
        <v>39</v>
      </c>
      <c r="Y184" s="236">
        <v>50</v>
      </c>
      <c r="Z184" s="237">
        <v>21</v>
      </c>
      <c r="AA184" s="237">
        <v>7</v>
      </c>
      <c r="AB184" s="237">
        <v>18</v>
      </c>
      <c r="AC184" s="236" t="s">
        <v>35</v>
      </c>
      <c r="AD184" s="236">
        <v>50</v>
      </c>
      <c r="AE184" s="238">
        <v>18.5</v>
      </c>
      <c r="AF184" s="238">
        <v>11.5</v>
      </c>
      <c r="AG184" s="238">
        <v>13</v>
      </c>
    </row>
    <row r="185" spans="1:33" s="239" customFormat="1" ht="23.5" customHeight="1">
      <c r="A185" s="186">
        <v>426</v>
      </c>
      <c r="B185" s="213">
        <v>61</v>
      </c>
      <c r="C185" s="224" t="s">
        <v>27</v>
      </c>
      <c r="D185" s="213">
        <v>854</v>
      </c>
      <c r="E185" s="188">
        <f>VLOOKUP(D185,รายแปลง!E:G,3,FALSE)</f>
        <v>903111</v>
      </c>
      <c r="F185" s="214">
        <v>8.1850000000000005</v>
      </c>
      <c r="G185" s="252" t="s">
        <v>40</v>
      </c>
      <c r="H185" s="214">
        <v>6.9900399999999987</v>
      </c>
      <c r="I185" s="214">
        <v>3.6717428808096764</v>
      </c>
      <c r="J185" s="252" t="s">
        <v>29</v>
      </c>
      <c r="K185" s="215">
        <v>232.11556079048052</v>
      </c>
      <c r="L185" s="255" t="s">
        <v>29</v>
      </c>
      <c r="M185" s="215">
        <v>663.64704359261168</v>
      </c>
      <c r="N185" s="255" t="s">
        <v>30</v>
      </c>
      <c r="O185" s="216">
        <v>1700.5919092009399</v>
      </c>
      <c r="P185" s="216">
        <v>473.65731276944712</v>
      </c>
      <c r="Q185" s="216">
        <v>158.09693598233292</v>
      </c>
      <c r="R185" s="233" t="s">
        <v>43</v>
      </c>
      <c r="S185" s="234" t="s">
        <v>32</v>
      </c>
      <c r="T185" s="234" t="s">
        <v>33</v>
      </c>
      <c r="U185" s="235">
        <v>16</v>
      </c>
      <c r="V185" s="235">
        <v>8</v>
      </c>
      <c r="W185" s="235">
        <v>8</v>
      </c>
      <c r="X185" s="236" t="s">
        <v>34</v>
      </c>
      <c r="Y185" s="236">
        <v>50</v>
      </c>
      <c r="Z185" s="237">
        <v>21</v>
      </c>
      <c r="AA185" s="237">
        <v>7</v>
      </c>
      <c r="AB185" s="237">
        <v>18</v>
      </c>
      <c r="AC185" s="236" t="s">
        <v>35</v>
      </c>
      <c r="AD185" s="236">
        <v>50</v>
      </c>
      <c r="AE185" s="238">
        <v>18.5</v>
      </c>
      <c r="AF185" s="238">
        <v>7.5</v>
      </c>
      <c r="AG185" s="238">
        <v>13</v>
      </c>
    </row>
    <row r="186" spans="1:33" s="239" customFormat="1" ht="23.5" customHeight="1">
      <c r="A186" s="186">
        <v>430</v>
      </c>
      <c r="B186" s="213">
        <v>61</v>
      </c>
      <c r="C186" s="224" t="s">
        <v>27</v>
      </c>
      <c r="D186" s="213">
        <v>859</v>
      </c>
      <c r="E186" s="188">
        <f>VLOOKUP(D186,รายแปลง!E:G,3,FALSE)</f>
        <v>903134</v>
      </c>
      <c r="F186" s="214">
        <v>8.11</v>
      </c>
      <c r="G186" s="252" t="s">
        <v>40</v>
      </c>
      <c r="H186" s="214">
        <v>11.16484</v>
      </c>
      <c r="I186" s="214">
        <v>1.2428470791548478</v>
      </c>
      <c r="J186" s="252" t="s">
        <v>41</v>
      </c>
      <c r="K186" s="215">
        <v>13.083457480023343</v>
      </c>
      <c r="L186" s="255" t="s">
        <v>41</v>
      </c>
      <c r="M186" s="215">
        <v>329.00659481502225</v>
      </c>
      <c r="N186" s="255" t="s">
        <v>30</v>
      </c>
      <c r="O186" s="216">
        <v>2077.4855281055261</v>
      </c>
      <c r="P186" s="216">
        <v>255.98762308317049</v>
      </c>
      <c r="Q186" s="216">
        <v>267.65691388415246</v>
      </c>
      <c r="R186" s="233" t="s">
        <v>31</v>
      </c>
      <c r="S186" s="234" t="s">
        <v>43</v>
      </c>
      <c r="T186" s="234" t="s">
        <v>33</v>
      </c>
      <c r="U186" s="235">
        <v>16</v>
      </c>
      <c r="V186" s="235">
        <v>16</v>
      </c>
      <c r="W186" s="235">
        <v>8</v>
      </c>
      <c r="X186" s="236" t="s">
        <v>39</v>
      </c>
      <c r="Y186" s="236">
        <v>50</v>
      </c>
      <c r="Z186" s="237">
        <v>21</v>
      </c>
      <c r="AA186" s="237">
        <v>7</v>
      </c>
      <c r="AB186" s="237">
        <v>18</v>
      </c>
      <c r="AC186" s="236" t="s">
        <v>35</v>
      </c>
      <c r="AD186" s="236">
        <v>50</v>
      </c>
      <c r="AE186" s="238">
        <v>18.5</v>
      </c>
      <c r="AF186" s="238">
        <v>11.5</v>
      </c>
      <c r="AG186" s="238">
        <v>13</v>
      </c>
    </row>
    <row r="187" spans="1:33" s="239" customFormat="1" ht="23.5" customHeight="1">
      <c r="A187" s="186">
        <v>431</v>
      </c>
      <c r="B187" s="213">
        <v>61</v>
      </c>
      <c r="C187" s="224" t="s">
        <v>27</v>
      </c>
      <c r="D187" s="213">
        <v>860</v>
      </c>
      <c r="E187" s="188">
        <f>VLOOKUP(D187,รายแปลง!E:G,3,FALSE)</f>
        <v>903135</v>
      </c>
      <c r="F187" s="214">
        <v>7.5549999999999997</v>
      </c>
      <c r="G187" s="252" t="s">
        <v>40</v>
      </c>
      <c r="H187" s="214">
        <v>2.7211599999999998</v>
      </c>
      <c r="I187" s="214">
        <v>1.3059792865194275</v>
      </c>
      <c r="J187" s="252" t="s">
        <v>41</v>
      </c>
      <c r="K187" s="215">
        <v>138.25880562197949</v>
      </c>
      <c r="L187" s="255" t="s">
        <v>29</v>
      </c>
      <c r="M187" s="215">
        <v>184.03007468801349</v>
      </c>
      <c r="N187" s="255" t="s">
        <v>30</v>
      </c>
      <c r="O187" s="216">
        <v>1096.1595080371346</v>
      </c>
      <c r="P187" s="216">
        <v>149.91839070823619</v>
      </c>
      <c r="Q187" s="216">
        <v>22.54716768985136</v>
      </c>
      <c r="R187" s="233" t="s">
        <v>31</v>
      </c>
      <c r="S187" s="234" t="s">
        <v>32</v>
      </c>
      <c r="T187" s="234" t="s">
        <v>33</v>
      </c>
      <c r="U187" s="235">
        <v>16</v>
      </c>
      <c r="V187" s="235">
        <v>8</v>
      </c>
      <c r="W187" s="235">
        <v>8</v>
      </c>
      <c r="X187" s="236" t="s">
        <v>34</v>
      </c>
      <c r="Y187" s="236">
        <v>50</v>
      </c>
      <c r="Z187" s="237">
        <v>21</v>
      </c>
      <c r="AA187" s="237">
        <v>7</v>
      </c>
      <c r="AB187" s="237">
        <v>18</v>
      </c>
      <c r="AC187" s="236" t="s">
        <v>35</v>
      </c>
      <c r="AD187" s="236">
        <v>50</v>
      </c>
      <c r="AE187" s="238">
        <v>18.5</v>
      </c>
      <c r="AF187" s="238">
        <v>7.5</v>
      </c>
      <c r="AG187" s="238">
        <v>13</v>
      </c>
    </row>
    <row r="188" spans="1:33" s="239" customFormat="1" ht="23.5" customHeight="1">
      <c r="A188" s="186">
        <v>432</v>
      </c>
      <c r="B188" s="213">
        <v>61</v>
      </c>
      <c r="C188" s="224" t="s">
        <v>27</v>
      </c>
      <c r="D188" s="213">
        <v>861</v>
      </c>
      <c r="E188" s="188">
        <f>VLOOKUP(D188,รายแปลง!E:G,3,FALSE)</f>
        <v>903136</v>
      </c>
      <c r="F188" s="214">
        <v>7.4649999999999999</v>
      </c>
      <c r="G188" s="252" t="s">
        <v>40</v>
      </c>
      <c r="H188" s="214">
        <v>3.1386399999999997</v>
      </c>
      <c r="I188" s="214">
        <v>1.2777640913120745</v>
      </c>
      <c r="J188" s="252" t="s">
        <v>41</v>
      </c>
      <c r="K188" s="215">
        <v>134.29368365558855</v>
      </c>
      <c r="L188" s="255" t="s">
        <v>29</v>
      </c>
      <c r="M188" s="215">
        <v>162.23824895385246</v>
      </c>
      <c r="N188" s="255" t="s">
        <v>30</v>
      </c>
      <c r="O188" s="216">
        <v>1062.9435888521016</v>
      </c>
      <c r="P188" s="216">
        <v>132.77241224427797</v>
      </c>
      <c r="Q188" s="216">
        <v>76.047334605810661</v>
      </c>
      <c r="R188" s="233" t="s">
        <v>31</v>
      </c>
      <c r="S188" s="234" t="s">
        <v>32</v>
      </c>
      <c r="T188" s="234" t="s">
        <v>33</v>
      </c>
      <c r="U188" s="235">
        <v>16</v>
      </c>
      <c r="V188" s="235">
        <v>8</v>
      </c>
      <c r="W188" s="235">
        <v>8</v>
      </c>
      <c r="X188" s="236" t="s">
        <v>34</v>
      </c>
      <c r="Y188" s="236">
        <v>50</v>
      </c>
      <c r="Z188" s="237">
        <v>21</v>
      </c>
      <c r="AA188" s="237">
        <v>7</v>
      </c>
      <c r="AB188" s="237">
        <v>18</v>
      </c>
      <c r="AC188" s="236" t="s">
        <v>35</v>
      </c>
      <c r="AD188" s="236">
        <v>50</v>
      </c>
      <c r="AE188" s="238">
        <v>18.5</v>
      </c>
      <c r="AF188" s="238">
        <v>7.5</v>
      </c>
      <c r="AG188" s="238">
        <v>13</v>
      </c>
    </row>
    <row r="189" spans="1:33" s="239" customFormat="1" ht="23.5" customHeight="1">
      <c r="A189" s="186">
        <v>433</v>
      </c>
      <c r="B189" s="213">
        <v>61</v>
      </c>
      <c r="C189" s="224" t="s">
        <v>27</v>
      </c>
      <c r="D189" s="213">
        <v>864</v>
      </c>
      <c r="E189" s="188">
        <f>VLOOKUP(D189,รายแปลง!E:G,3,FALSE)</f>
        <v>903138</v>
      </c>
      <c r="F189" s="214">
        <v>8.92</v>
      </c>
      <c r="G189" s="252" t="s">
        <v>36</v>
      </c>
      <c r="H189" s="214">
        <v>4.6145199999999997</v>
      </c>
      <c r="I189" s="214">
        <v>0.8414277335011775</v>
      </c>
      <c r="J189" s="252" t="s">
        <v>37</v>
      </c>
      <c r="K189" s="215">
        <v>46.393652472929617</v>
      </c>
      <c r="L189" s="255" t="s">
        <v>29</v>
      </c>
      <c r="M189" s="215">
        <v>207.05219643298625</v>
      </c>
      <c r="N189" s="255" t="s">
        <v>30</v>
      </c>
      <c r="O189" s="216">
        <v>2001.7939801754321</v>
      </c>
      <c r="P189" s="216">
        <v>150.16897673335845</v>
      </c>
      <c r="Q189" s="216">
        <v>134.39341910929818</v>
      </c>
      <c r="R189" s="233" t="s">
        <v>38</v>
      </c>
      <c r="S189" s="234" t="s">
        <v>32</v>
      </c>
      <c r="T189" s="234" t="s">
        <v>33</v>
      </c>
      <c r="U189" s="235">
        <v>16</v>
      </c>
      <c r="V189" s="235">
        <v>16</v>
      </c>
      <c r="W189" s="235">
        <v>8</v>
      </c>
      <c r="X189" s="236" t="s">
        <v>39</v>
      </c>
      <c r="Y189" s="236">
        <v>50</v>
      </c>
      <c r="Z189" s="237">
        <v>21</v>
      </c>
      <c r="AA189" s="237">
        <v>7</v>
      </c>
      <c r="AB189" s="237">
        <v>18</v>
      </c>
      <c r="AC189" s="236" t="s">
        <v>35</v>
      </c>
      <c r="AD189" s="236">
        <v>50</v>
      </c>
      <c r="AE189" s="238">
        <v>18.5</v>
      </c>
      <c r="AF189" s="238">
        <v>11.5</v>
      </c>
      <c r="AG189" s="238">
        <v>13</v>
      </c>
    </row>
    <row r="190" spans="1:33" s="239" customFormat="1" ht="23.5" customHeight="1">
      <c r="A190" s="186">
        <v>435</v>
      </c>
      <c r="B190" s="213">
        <v>61</v>
      </c>
      <c r="C190" s="224" t="s">
        <v>27</v>
      </c>
      <c r="D190" s="213">
        <v>867</v>
      </c>
      <c r="E190" s="188">
        <f>VLOOKUP(D190,รายแปลง!E:G,3,FALSE)</f>
        <v>903140</v>
      </c>
      <c r="F190" s="214">
        <v>7.55</v>
      </c>
      <c r="G190" s="252" t="s">
        <v>40</v>
      </c>
      <c r="H190" s="214">
        <v>7.8955599999999997</v>
      </c>
      <c r="I190" s="214">
        <v>1.4790582965411467</v>
      </c>
      <c r="J190" s="252" t="s">
        <v>41</v>
      </c>
      <c r="K190" s="215">
        <v>66.995446933589292</v>
      </c>
      <c r="L190" s="255" t="s">
        <v>29</v>
      </c>
      <c r="M190" s="215">
        <v>291.36851520572452</v>
      </c>
      <c r="N190" s="255" t="s">
        <v>30</v>
      </c>
      <c r="O190" s="216">
        <v>2605.9405940594052</v>
      </c>
      <c r="P190" s="216">
        <v>269.74536037980147</v>
      </c>
      <c r="Q190" s="216">
        <v>279.24509208662215</v>
      </c>
      <c r="R190" s="233" t="s">
        <v>31</v>
      </c>
      <c r="S190" s="234" t="s">
        <v>32</v>
      </c>
      <c r="T190" s="234" t="s">
        <v>33</v>
      </c>
      <c r="U190" s="235">
        <v>16</v>
      </c>
      <c r="V190" s="235">
        <v>8</v>
      </c>
      <c r="W190" s="235">
        <v>8</v>
      </c>
      <c r="X190" s="236" t="s">
        <v>34</v>
      </c>
      <c r="Y190" s="236">
        <v>50</v>
      </c>
      <c r="Z190" s="237">
        <v>21</v>
      </c>
      <c r="AA190" s="237">
        <v>7</v>
      </c>
      <c r="AB190" s="237">
        <v>18</v>
      </c>
      <c r="AC190" s="236" t="s">
        <v>35</v>
      </c>
      <c r="AD190" s="236">
        <v>50</v>
      </c>
      <c r="AE190" s="238">
        <v>18.5</v>
      </c>
      <c r="AF190" s="238">
        <v>7.5</v>
      </c>
      <c r="AG190" s="238">
        <v>13</v>
      </c>
    </row>
    <row r="191" spans="1:33" s="239" customFormat="1" ht="23.5" customHeight="1">
      <c r="A191" s="186">
        <v>436</v>
      </c>
      <c r="B191" s="213">
        <v>61</v>
      </c>
      <c r="C191" s="224" t="s">
        <v>27</v>
      </c>
      <c r="D191" s="213">
        <v>812550</v>
      </c>
      <c r="E191" s="188">
        <f>VLOOKUP(D191,รายแปลง!E:G,3,FALSE)</f>
        <v>903131</v>
      </c>
      <c r="F191" s="214">
        <v>8.41</v>
      </c>
      <c r="G191" s="252" t="s">
        <v>36</v>
      </c>
      <c r="H191" s="214">
        <v>6.0139599999999991</v>
      </c>
      <c r="I191" s="214">
        <v>1.1375748903126301</v>
      </c>
      <c r="J191" s="252" t="s">
        <v>41</v>
      </c>
      <c r="K191" s="215">
        <v>22.086001601037943</v>
      </c>
      <c r="L191" s="255" t="s">
        <v>28</v>
      </c>
      <c r="M191" s="215">
        <v>366.48718488838551</v>
      </c>
      <c r="N191" s="255" t="s">
        <v>30</v>
      </c>
      <c r="O191" s="216">
        <v>2253.7334023306048</v>
      </c>
      <c r="P191" s="216">
        <v>274.7676893133596</v>
      </c>
      <c r="Q191" s="216">
        <v>246.02661346005095</v>
      </c>
      <c r="R191" s="233" t="s">
        <v>31</v>
      </c>
      <c r="S191" s="234" t="s">
        <v>42</v>
      </c>
      <c r="T191" s="234" t="s">
        <v>33</v>
      </c>
      <c r="U191" s="235">
        <v>16</v>
      </c>
      <c r="V191" s="235">
        <v>16</v>
      </c>
      <c r="W191" s="235">
        <v>8</v>
      </c>
      <c r="X191" s="236" t="s">
        <v>39</v>
      </c>
      <c r="Y191" s="236">
        <v>50</v>
      </c>
      <c r="Z191" s="237">
        <v>21</v>
      </c>
      <c r="AA191" s="237">
        <v>7</v>
      </c>
      <c r="AB191" s="237">
        <v>18</v>
      </c>
      <c r="AC191" s="236" t="s">
        <v>35</v>
      </c>
      <c r="AD191" s="236">
        <v>50</v>
      </c>
      <c r="AE191" s="238">
        <v>18.5</v>
      </c>
      <c r="AF191" s="238">
        <v>11.5</v>
      </c>
      <c r="AG191" s="238">
        <v>13</v>
      </c>
    </row>
    <row r="192" spans="1:33" s="239" customFormat="1" ht="23.5" customHeight="1">
      <c r="A192" s="186">
        <v>438</v>
      </c>
      <c r="B192" s="213">
        <v>61</v>
      </c>
      <c r="C192" s="224" t="s">
        <v>27</v>
      </c>
      <c r="D192" s="213">
        <v>8121023</v>
      </c>
      <c r="E192" s="188">
        <f>VLOOKUP(D192,รายแปลง!E:G,3,FALSE)</f>
        <v>901105</v>
      </c>
      <c r="F192" s="214">
        <v>8.1</v>
      </c>
      <c r="G192" s="252" t="s">
        <v>40</v>
      </c>
      <c r="H192" s="214">
        <v>15.951160000000002</v>
      </c>
      <c r="I192" s="214">
        <v>1.9721905113781908</v>
      </c>
      <c r="J192" s="252" t="s">
        <v>28</v>
      </c>
      <c r="K192" s="215">
        <v>198.22437369556587</v>
      </c>
      <c r="L192" s="255" t="s">
        <v>29</v>
      </c>
      <c r="M192" s="215">
        <v>863.73871946087377</v>
      </c>
      <c r="N192" s="255" t="s">
        <v>30</v>
      </c>
      <c r="O192" s="216">
        <v>2139.1941825761519</v>
      </c>
      <c r="P192" s="216">
        <v>334.88004548586514</v>
      </c>
      <c r="Q192" s="216">
        <v>345.3329027339189</v>
      </c>
      <c r="R192" s="233" t="s">
        <v>31</v>
      </c>
      <c r="S192" s="234" t="s">
        <v>32</v>
      </c>
      <c r="T192" s="234" t="s">
        <v>33</v>
      </c>
      <c r="U192" s="235">
        <v>16</v>
      </c>
      <c r="V192" s="235">
        <v>8</v>
      </c>
      <c r="W192" s="235">
        <v>8</v>
      </c>
      <c r="X192" s="236" t="s">
        <v>34</v>
      </c>
      <c r="Y192" s="236">
        <v>50</v>
      </c>
      <c r="Z192" s="237">
        <v>21</v>
      </c>
      <c r="AA192" s="237">
        <v>7</v>
      </c>
      <c r="AB192" s="237">
        <v>18</v>
      </c>
      <c r="AC192" s="236" t="s">
        <v>35</v>
      </c>
      <c r="AD192" s="236">
        <v>50</v>
      </c>
      <c r="AE192" s="238">
        <v>18.5</v>
      </c>
      <c r="AF192" s="238">
        <v>7.5</v>
      </c>
      <c r="AG192" s="238">
        <v>13</v>
      </c>
    </row>
    <row r="193" spans="1:33" s="239" customFormat="1" ht="23.5" customHeight="1">
      <c r="A193" s="186">
        <v>439</v>
      </c>
      <c r="B193" s="213">
        <v>61</v>
      </c>
      <c r="C193" s="224" t="s">
        <v>27</v>
      </c>
      <c r="D193" s="213">
        <v>8121024</v>
      </c>
      <c r="E193" s="188">
        <f>VLOOKUP(D193,รายแปลง!E:G,3,FALSE)</f>
        <v>901106</v>
      </c>
      <c r="F193" s="214">
        <v>8.0500000000000007</v>
      </c>
      <c r="G193" s="252" t="s">
        <v>40</v>
      </c>
      <c r="H193" s="214">
        <v>15.68656</v>
      </c>
      <c r="I193" s="214">
        <v>2.1124138888743382</v>
      </c>
      <c r="J193" s="252" t="s">
        <v>28</v>
      </c>
      <c r="K193" s="215">
        <v>179.84423253730643</v>
      </c>
      <c r="L193" s="255" t="s">
        <v>29</v>
      </c>
      <c r="M193" s="215">
        <v>883.82032794036922</v>
      </c>
      <c r="N193" s="255" t="s">
        <v>30</v>
      </c>
      <c r="O193" s="216">
        <v>2201.9994321574436</v>
      </c>
      <c r="P193" s="216">
        <v>335.7103531893938</v>
      </c>
      <c r="Q193" s="216">
        <v>320.67221800883203</v>
      </c>
      <c r="R193" s="233" t="s">
        <v>43</v>
      </c>
      <c r="S193" s="234" t="s">
        <v>32</v>
      </c>
      <c r="T193" s="234" t="s">
        <v>33</v>
      </c>
      <c r="U193" s="235">
        <v>16</v>
      </c>
      <c r="V193" s="235">
        <v>8</v>
      </c>
      <c r="W193" s="235">
        <v>8</v>
      </c>
      <c r="X193" s="236" t="s">
        <v>34</v>
      </c>
      <c r="Y193" s="236">
        <v>50</v>
      </c>
      <c r="Z193" s="237">
        <v>21</v>
      </c>
      <c r="AA193" s="237">
        <v>7</v>
      </c>
      <c r="AB193" s="237">
        <v>18</v>
      </c>
      <c r="AC193" s="236" t="s">
        <v>35</v>
      </c>
      <c r="AD193" s="236">
        <v>50</v>
      </c>
      <c r="AE193" s="238">
        <v>18.5</v>
      </c>
      <c r="AF193" s="238">
        <v>7.5</v>
      </c>
      <c r="AG193" s="238">
        <v>13</v>
      </c>
    </row>
    <row r="194" spans="1:33" s="239" customFormat="1" ht="23.5" customHeight="1">
      <c r="A194" s="186">
        <v>440</v>
      </c>
      <c r="B194" s="213">
        <v>61</v>
      </c>
      <c r="C194" s="224" t="s">
        <v>27</v>
      </c>
      <c r="D194" s="213">
        <v>8121029</v>
      </c>
      <c r="E194" s="188">
        <f>VLOOKUP(D194,รายแปลง!E:G,3,FALSE)</f>
        <v>901111</v>
      </c>
      <c r="F194" s="214">
        <v>8.3949999999999996</v>
      </c>
      <c r="G194" s="252" t="s">
        <v>40</v>
      </c>
      <c r="H194" s="214">
        <v>6.0198400000000003</v>
      </c>
      <c r="I194" s="214">
        <v>1.2593222239114517</v>
      </c>
      <c r="J194" s="252" t="s">
        <v>41</v>
      </c>
      <c r="K194" s="215">
        <v>27.300215530514471</v>
      </c>
      <c r="L194" s="255" t="s">
        <v>28</v>
      </c>
      <c r="M194" s="215">
        <v>446.01286887776462</v>
      </c>
      <c r="N194" s="255" t="s">
        <v>30</v>
      </c>
      <c r="O194" s="216">
        <v>2176.3236506990679</v>
      </c>
      <c r="P194" s="216">
        <v>253.21015255739673</v>
      </c>
      <c r="Q194" s="216">
        <v>272.44562763688447</v>
      </c>
      <c r="R194" s="233" t="s">
        <v>31</v>
      </c>
      <c r="S194" s="234" t="s">
        <v>42</v>
      </c>
      <c r="T194" s="234" t="s">
        <v>33</v>
      </c>
      <c r="U194" s="235">
        <v>16</v>
      </c>
      <c r="V194" s="235">
        <v>16</v>
      </c>
      <c r="W194" s="235">
        <v>8</v>
      </c>
      <c r="X194" s="236" t="s">
        <v>39</v>
      </c>
      <c r="Y194" s="236">
        <v>50</v>
      </c>
      <c r="Z194" s="237">
        <v>21</v>
      </c>
      <c r="AA194" s="237">
        <v>7</v>
      </c>
      <c r="AB194" s="237">
        <v>18</v>
      </c>
      <c r="AC194" s="236" t="s">
        <v>35</v>
      </c>
      <c r="AD194" s="236">
        <v>50</v>
      </c>
      <c r="AE194" s="238">
        <v>18.5</v>
      </c>
      <c r="AF194" s="238">
        <v>11.5</v>
      </c>
      <c r="AG194" s="238">
        <v>13</v>
      </c>
    </row>
    <row r="195" spans="1:33" s="239" customFormat="1" ht="23.5" customHeight="1">
      <c r="A195" s="186">
        <v>444</v>
      </c>
      <c r="B195" s="213">
        <v>61</v>
      </c>
      <c r="C195" s="224" t="s">
        <v>50</v>
      </c>
      <c r="D195" s="213">
        <v>1503</v>
      </c>
      <c r="E195" s="188">
        <f>VLOOKUP(D195,รายแปลง!E:G,3,FALSE)</f>
        <v>908103</v>
      </c>
      <c r="F195" s="214">
        <v>6.1850000000000005</v>
      </c>
      <c r="G195" s="252" t="s">
        <v>28</v>
      </c>
      <c r="H195" s="214">
        <v>2.7152799999999999</v>
      </c>
      <c r="I195" s="214">
        <v>2.1618729877278273</v>
      </c>
      <c r="J195" s="252" t="s">
        <v>28</v>
      </c>
      <c r="K195" s="215">
        <v>312.52427788175737</v>
      </c>
      <c r="L195" s="255" t="s">
        <v>29</v>
      </c>
      <c r="M195" s="215">
        <v>107.16758667009856</v>
      </c>
      <c r="N195" s="255" t="s">
        <v>29</v>
      </c>
      <c r="O195" s="216">
        <v>1745.1536843600659</v>
      </c>
      <c r="P195" s="216">
        <v>237.46777462163402</v>
      </c>
      <c r="Q195" s="216">
        <v>54.305024074836354</v>
      </c>
      <c r="R195" s="233" t="s">
        <v>43</v>
      </c>
      <c r="S195" s="234" t="s">
        <v>32</v>
      </c>
      <c r="T195" s="234" t="s">
        <v>33</v>
      </c>
      <c r="U195" s="235">
        <v>16</v>
      </c>
      <c r="V195" s="235">
        <v>8</v>
      </c>
      <c r="W195" s="235">
        <v>8</v>
      </c>
      <c r="X195" s="236" t="s">
        <v>34</v>
      </c>
      <c r="Y195" s="236">
        <v>50</v>
      </c>
      <c r="Z195" s="237">
        <v>21</v>
      </c>
      <c r="AA195" s="237">
        <v>7</v>
      </c>
      <c r="AB195" s="237">
        <v>18</v>
      </c>
      <c r="AC195" s="236" t="s">
        <v>35</v>
      </c>
      <c r="AD195" s="236">
        <v>50</v>
      </c>
      <c r="AE195" s="238">
        <v>18.5</v>
      </c>
      <c r="AF195" s="238">
        <v>7.5</v>
      </c>
      <c r="AG195" s="238">
        <v>13</v>
      </c>
    </row>
    <row r="196" spans="1:33" s="239" customFormat="1" ht="23.5" customHeight="1">
      <c r="A196" s="186">
        <v>450</v>
      </c>
      <c r="B196" s="213">
        <v>61</v>
      </c>
      <c r="C196" s="224" t="s">
        <v>50</v>
      </c>
      <c r="D196" s="213">
        <v>1512</v>
      </c>
      <c r="E196" s="188">
        <f>VLOOKUP(D196,รายแปลง!E:G,3,FALSE)</f>
        <v>908117</v>
      </c>
      <c r="F196" s="214">
        <v>5.87</v>
      </c>
      <c r="G196" s="252" t="s">
        <v>28</v>
      </c>
      <c r="H196" s="214">
        <v>2.0267319999999995</v>
      </c>
      <c r="I196" s="214">
        <v>1.8939411960523342</v>
      </c>
      <c r="J196" s="252" t="s">
        <v>28</v>
      </c>
      <c r="K196" s="215">
        <v>124.52904669828342</v>
      </c>
      <c r="L196" s="255" t="s">
        <v>29</v>
      </c>
      <c r="M196" s="215">
        <v>151.0566144579864</v>
      </c>
      <c r="N196" s="255" t="s">
        <v>30</v>
      </c>
      <c r="O196" s="216">
        <v>1576.6068333452049</v>
      </c>
      <c r="P196" s="216">
        <v>141.76525848807358</v>
      </c>
      <c r="Q196" s="216">
        <v>32.045539443773862</v>
      </c>
      <c r="R196" s="233" t="s">
        <v>31</v>
      </c>
      <c r="S196" s="234" t="s">
        <v>32</v>
      </c>
      <c r="T196" s="234" t="s">
        <v>33</v>
      </c>
      <c r="U196" s="235">
        <v>16</v>
      </c>
      <c r="V196" s="235">
        <v>8</v>
      </c>
      <c r="W196" s="235">
        <v>8</v>
      </c>
      <c r="X196" s="236" t="s">
        <v>34</v>
      </c>
      <c r="Y196" s="236">
        <v>50</v>
      </c>
      <c r="Z196" s="237">
        <v>21</v>
      </c>
      <c r="AA196" s="237">
        <v>7</v>
      </c>
      <c r="AB196" s="237">
        <v>18</v>
      </c>
      <c r="AC196" s="236" t="s">
        <v>35</v>
      </c>
      <c r="AD196" s="236">
        <v>50</v>
      </c>
      <c r="AE196" s="238">
        <v>18.5</v>
      </c>
      <c r="AF196" s="238">
        <v>7.5</v>
      </c>
      <c r="AG196" s="238">
        <v>13</v>
      </c>
    </row>
    <row r="197" spans="1:33" s="239" customFormat="1" ht="23.5" customHeight="1">
      <c r="A197" s="186">
        <v>452</v>
      </c>
      <c r="B197" s="213">
        <v>61</v>
      </c>
      <c r="C197" s="224" t="s">
        <v>44</v>
      </c>
      <c r="D197" s="213">
        <v>215</v>
      </c>
      <c r="E197" s="188">
        <f>VLOOKUP(D197,รายแปลง!E:G,3,FALSE)</f>
        <v>911108</v>
      </c>
      <c r="F197" s="214">
        <v>6.28</v>
      </c>
      <c r="G197" s="252" t="s">
        <v>28</v>
      </c>
      <c r="H197" s="214">
        <v>2.3254359999999998</v>
      </c>
      <c r="I197" s="214">
        <v>1.4122100867614633</v>
      </c>
      <c r="J197" s="252" t="s">
        <v>41</v>
      </c>
      <c r="K197" s="215">
        <v>51.155625659726738</v>
      </c>
      <c r="L197" s="255" t="s">
        <v>29</v>
      </c>
      <c r="M197" s="215">
        <v>77.298152470325618</v>
      </c>
      <c r="N197" s="255" t="s">
        <v>28</v>
      </c>
      <c r="O197" s="216">
        <v>1266.286039091211</v>
      </c>
      <c r="P197" s="216">
        <v>122.64240947751713</v>
      </c>
      <c r="Q197" s="216">
        <v>38.890319633273705</v>
      </c>
      <c r="R197" s="233" t="s">
        <v>31</v>
      </c>
      <c r="S197" s="234" t="s">
        <v>32</v>
      </c>
      <c r="T197" s="234" t="s">
        <v>43</v>
      </c>
      <c r="U197" s="235">
        <v>16</v>
      </c>
      <c r="V197" s="235">
        <v>16</v>
      </c>
      <c r="W197" s="235">
        <v>8</v>
      </c>
      <c r="X197" s="236" t="s">
        <v>39</v>
      </c>
      <c r="Y197" s="236">
        <v>50</v>
      </c>
      <c r="Z197" s="237">
        <v>15</v>
      </c>
      <c r="AA197" s="237">
        <v>7</v>
      </c>
      <c r="AB197" s="237">
        <v>18</v>
      </c>
      <c r="AC197" s="236" t="s">
        <v>51</v>
      </c>
      <c r="AD197" s="236">
        <v>50</v>
      </c>
      <c r="AE197" s="238">
        <v>15.5</v>
      </c>
      <c r="AF197" s="238">
        <v>11.5</v>
      </c>
      <c r="AG197" s="238">
        <v>13</v>
      </c>
    </row>
    <row r="198" spans="1:33" s="239" customFormat="1" ht="23.5" customHeight="1">
      <c r="A198" s="186">
        <v>453</v>
      </c>
      <c r="B198" s="213">
        <v>61</v>
      </c>
      <c r="C198" s="224" t="s">
        <v>44</v>
      </c>
      <c r="D198" s="213">
        <v>216</v>
      </c>
      <c r="E198" s="188">
        <f>VLOOKUP(D198,รายแปลง!E:G,3,FALSE)</f>
        <v>911123</v>
      </c>
      <c r="F198" s="214">
        <v>5.46</v>
      </c>
      <c r="G198" s="252" t="s">
        <v>56</v>
      </c>
      <c r="H198" s="214">
        <v>1.1094520000000001</v>
      </c>
      <c r="I198" s="214">
        <v>0.43377254401524246</v>
      </c>
      <c r="J198" s="252" t="s">
        <v>37</v>
      </c>
      <c r="K198" s="215">
        <v>26.509347226478702</v>
      </c>
      <c r="L198" s="255" t="s">
        <v>28</v>
      </c>
      <c r="M198" s="215">
        <v>78.13973492144234</v>
      </c>
      <c r="N198" s="255" t="s">
        <v>28</v>
      </c>
      <c r="O198" s="216">
        <v>545.85929838990273</v>
      </c>
      <c r="P198" s="216">
        <v>32.942544410600355</v>
      </c>
      <c r="Q198" s="216">
        <v>35.826102643784516</v>
      </c>
      <c r="R198" s="233" t="s">
        <v>38</v>
      </c>
      <c r="S198" s="234" t="s">
        <v>42</v>
      </c>
      <c r="T198" s="234" t="s">
        <v>43</v>
      </c>
      <c r="U198" s="235">
        <v>16</v>
      </c>
      <c r="V198" s="235">
        <v>16</v>
      </c>
      <c r="W198" s="235">
        <v>8</v>
      </c>
      <c r="X198" s="236" t="s">
        <v>39</v>
      </c>
      <c r="Y198" s="236">
        <v>50</v>
      </c>
      <c r="Z198" s="237">
        <v>21</v>
      </c>
      <c r="AA198" s="237">
        <v>7</v>
      </c>
      <c r="AB198" s="237">
        <v>18</v>
      </c>
      <c r="AC198" s="236" t="s">
        <v>35</v>
      </c>
      <c r="AD198" s="236">
        <v>50</v>
      </c>
      <c r="AE198" s="238">
        <v>18.5</v>
      </c>
      <c r="AF198" s="238">
        <v>11.5</v>
      </c>
      <c r="AG198" s="238">
        <v>13</v>
      </c>
    </row>
    <row r="199" spans="1:33" s="239" customFormat="1" ht="23.5" customHeight="1">
      <c r="A199" s="186">
        <v>455</v>
      </c>
      <c r="B199" s="213">
        <v>61</v>
      </c>
      <c r="C199" s="224" t="s">
        <v>44</v>
      </c>
      <c r="D199" s="213">
        <v>225</v>
      </c>
      <c r="E199" s="188">
        <f>VLOOKUP(D199,รายแปลง!E:G,3,FALSE)</f>
        <v>911111</v>
      </c>
      <c r="F199" s="214">
        <v>6.4050000000000002</v>
      </c>
      <c r="G199" s="252" t="s">
        <v>28</v>
      </c>
      <c r="H199" s="214">
        <v>5.7787600000000001</v>
      </c>
      <c r="I199" s="214">
        <v>1.4515437154017736</v>
      </c>
      <c r="J199" s="252" t="s">
        <v>41</v>
      </c>
      <c r="K199" s="215">
        <v>87.089446772205889</v>
      </c>
      <c r="L199" s="255" t="s">
        <v>29</v>
      </c>
      <c r="M199" s="215">
        <v>382.82491066570117</v>
      </c>
      <c r="N199" s="255" t="s">
        <v>30</v>
      </c>
      <c r="O199" s="216">
        <v>1226.9991181130595</v>
      </c>
      <c r="P199" s="216">
        <v>147.26086347588381</v>
      </c>
      <c r="Q199" s="216">
        <v>235.99874079746263</v>
      </c>
      <c r="R199" s="233" t="s">
        <v>31</v>
      </c>
      <c r="S199" s="234" t="s">
        <v>32</v>
      </c>
      <c r="T199" s="234" t="s">
        <v>33</v>
      </c>
      <c r="U199" s="235">
        <v>16</v>
      </c>
      <c r="V199" s="235">
        <v>8</v>
      </c>
      <c r="W199" s="235">
        <v>8</v>
      </c>
      <c r="X199" s="236" t="s">
        <v>34</v>
      </c>
      <c r="Y199" s="236">
        <v>50</v>
      </c>
      <c r="Z199" s="237">
        <v>21</v>
      </c>
      <c r="AA199" s="237">
        <v>7</v>
      </c>
      <c r="AB199" s="237">
        <v>18</v>
      </c>
      <c r="AC199" s="236" t="s">
        <v>35</v>
      </c>
      <c r="AD199" s="236">
        <v>50</v>
      </c>
      <c r="AE199" s="238">
        <v>18.5</v>
      </c>
      <c r="AF199" s="238">
        <v>7.5</v>
      </c>
      <c r="AG199" s="238">
        <v>13</v>
      </c>
    </row>
    <row r="200" spans="1:33" s="239" customFormat="1" ht="23.5" customHeight="1">
      <c r="A200" s="186">
        <v>456</v>
      </c>
      <c r="B200" s="213">
        <v>61</v>
      </c>
      <c r="C200" s="224" t="s">
        <v>44</v>
      </c>
      <c r="D200" s="213">
        <v>228</v>
      </c>
      <c r="E200" s="188">
        <f>VLOOKUP(D200,รายแปลง!E:G,3,FALSE)</f>
        <v>911112</v>
      </c>
      <c r="F200" s="214">
        <v>6.2</v>
      </c>
      <c r="G200" s="252" t="s">
        <v>28</v>
      </c>
      <c r="H200" s="214">
        <v>3.9971199999999998</v>
      </c>
      <c r="I200" s="214">
        <v>1.5482818865684194</v>
      </c>
      <c r="J200" s="252" t="s">
        <v>28</v>
      </c>
      <c r="K200" s="215">
        <v>53.07542825882755</v>
      </c>
      <c r="L200" s="255" t="s">
        <v>29</v>
      </c>
      <c r="M200" s="215">
        <v>325.92694770488151</v>
      </c>
      <c r="N200" s="255" t="s">
        <v>30</v>
      </c>
      <c r="O200" s="216">
        <v>447.97727875064771</v>
      </c>
      <c r="P200" s="216">
        <v>154.39912430940441</v>
      </c>
      <c r="Q200" s="216">
        <v>119.89625914915368</v>
      </c>
      <c r="R200" s="233" t="s">
        <v>31</v>
      </c>
      <c r="S200" s="234" t="s">
        <v>32</v>
      </c>
      <c r="T200" s="234" t="s">
        <v>33</v>
      </c>
      <c r="U200" s="235">
        <v>16</v>
      </c>
      <c r="V200" s="235">
        <v>8</v>
      </c>
      <c r="W200" s="235">
        <v>8</v>
      </c>
      <c r="X200" s="236" t="s">
        <v>34</v>
      </c>
      <c r="Y200" s="236">
        <v>50</v>
      </c>
      <c r="Z200" s="237">
        <v>21</v>
      </c>
      <c r="AA200" s="237">
        <v>7</v>
      </c>
      <c r="AB200" s="237">
        <v>18</v>
      </c>
      <c r="AC200" s="236" t="s">
        <v>35</v>
      </c>
      <c r="AD200" s="236">
        <v>50</v>
      </c>
      <c r="AE200" s="238">
        <v>18.5</v>
      </c>
      <c r="AF200" s="238">
        <v>7.5</v>
      </c>
      <c r="AG200" s="238">
        <v>13</v>
      </c>
    </row>
    <row r="201" spans="1:33" s="239" customFormat="1" ht="23.5" customHeight="1">
      <c r="A201" s="186">
        <v>457</v>
      </c>
      <c r="B201" s="213">
        <v>61</v>
      </c>
      <c r="C201" s="224" t="s">
        <v>44</v>
      </c>
      <c r="D201" s="213">
        <v>236</v>
      </c>
      <c r="E201" s="188">
        <f>VLOOKUP(D201,รายแปลง!E:G,3,FALSE)</f>
        <v>911121</v>
      </c>
      <c r="F201" s="214">
        <v>5.92</v>
      </c>
      <c r="G201" s="252" t="s">
        <v>28</v>
      </c>
      <c r="H201" s="214">
        <v>9.7066000000000017</v>
      </c>
      <c r="I201" s="214">
        <v>1.4841486186638451</v>
      </c>
      <c r="J201" s="252" t="s">
        <v>41</v>
      </c>
      <c r="K201" s="215">
        <v>20.547940617319163</v>
      </c>
      <c r="L201" s="255" t="s">
        <v>28</v>
      </c>
      <c r="M201" s="215">
        <v>444.14619236689566</v>
      </c>
      <c r="N201" s="255" t="s">
        <v>30</v>
      </c>
      <c r="O201" s="216">
        <v>1339.1676588157493</v>
      </c>
      <c r="P201" s="216">
        <v>263.25448624635703</v>
      </c>
      <c r="Q201" s="216">
        <v>175.73077642178188</v>
      </c>
      <c r="R201" s="233" t="s">
        <v>31</v>
      </c>
      <c r="S201" s="234" t="s">
        <v>42</v>
      </c>
      <c r="T201" s="234" t="s">
        <v>33</v>
      </c>
      <c r="U201" s="235">
        <v>16</v>
      </c>
      <c r="V201" s="235">
        <v>16</v>
      </c>
      <c r="W201" s="235">
        <v>8</v>
      </c>
      <c r="X201" s="236" t="s">
        <v>39</v>
      </c>
      <c r="Y201" s="236">
        <v>50</v>
      </c>
      <c r="Z201" s="237">
        <v>21</v>
      </c>
      <c r="AA201" s="237">
        <v>7</v>
      </c>
      <c r="AB201" s="237">
        <v>18</v>
      </c>
      <c r="AC201" s="236" t="s">
        <v>35</v>
      </c>
      <c r="AD201" s="236">
        <v>50</v>
      </c>
      <c r="AE201" s="238">
        <v>18.5</v>
      </c>
      <c r="AF201" s="238">
        <v>11.5</v>
      </c>
      <c r="AG201" s="238">
        <v>13</v>
      </c>
    </row>
    <row r="202" spans="1:33" s="239" customFormat="1" ht="23.5" customHeight="1">
      <c r="A202" s="186">
        <v>458</v>
      </c>
      <c r="B202" s="213">
        <v>61</v>
      </c>
      <c r="C202" s="224" t="s">
        <v>44</v>
      </c>
      <c r="D202" s="213">
        <v>238</v>
      </c>
      <c r="E202" s="188">
        <f>VLOOKUP(D202,รายแปลง!E:G,3,FALSE)</f>
        <v>911122</v>
      </c>
      <c r="F202" s="214">
        <v>6.335</v>
      </c>
      <c r="G202" s="252" t="s">
        <v>28</v>
      </c>
      <c r="H202" s="214">
        <v>4.5027999999999997</v>
      </c>
      <c r="I202" s="214">
        <v>1.381424461567343</v>
      </c>
      <c r="J202" s="252" t="s">
        <v>41</v>
      </c>
      <c r="K202" s="215">
        <v>41.566768147214844</v>
      </c>
      <c r="L202" s="255" t="s">
        <v>29</v>
      </c>
      <c r="M202" s="215">
        <v>179.69927060482183</v>
      </c>
      <c r="N202" s="255" t="s">
        <v>30</v>
      </c>
      <c r="O202" s="216">
        <v>1955.3743902597002</v>
      </c>
      <c r="P202" s="216">
        <v>226.260169103057</v>
      </c>
      <c r="Q202" s="216">
        <v>43.642820520758633</v>
      </c>
      <c r="R202" s="233" t="s">
        <v>31</v>
      </c>
      <c r="S202" s="234" t="s">
        <v>32</v>
      </c>
      <c r="T202" s="234" t="s">
        <v>33</v>
      </c>
      <c r="U202" s="235">
        <v>16</v>
      </c>
      <c r="V202" s="235">
        <v>8</v>
      </c>
      <c r="W202" s="235">
        <v>8</v>
      </c>
      <c r="X202" s="236" t="s">
        <v>34</v>
      </c>
      <c r="Y202" s="236">
        <v>50</v>
      </c>
      <c r="Z202" s="237">
        <v>21</v>
      </c>
      <c r="AA202" s="237">
        <v>7</v>
      </c>
      <c r="AB202" s="237">
        <v>18</v>
      </c>
      <c r="AC202" s="236" t="s">
        <v>35</v>
      </c>
      <c r="AD202" s="236">
        <v>50</v>
      </c>
      <c r="AE202" s="238">
        <v>18.5</v>
      </c>
      <c r="AF202" s="238">
        <v>7.5</v>
      </c>
      <c r="AG202" s="238">
        <v>13</v>
      </c>
    </row>
    <row r="203" spans="1:33" s="239" customFormat="1" ht="23.5" customHeight="1">
      <c r="A203" s="186">
        <v>466</v>
      </c>
      <c r="B203" s="213">
        <v>61</v>
      </c>
      <c r="C203" s="224" t="s">
        <v>44</v>
      </c>
      <c r="D203" s="213">
        <v>249</v>
      </c>
      <c r="E203" s="188">
        <f>VLOOKUP(D203,รายแปลง!E:G,3,FALSE)</f>
        <v>911110</v>
      </c>
      <c r="F203" s="214">
        <v>7.32</v>
      </c>
      <c r="G203" s="252" t="s">
        <v>40</v>
      </c>
      <c r="H203" s="214">
        <v>9.6478000000000002</v>
      </c>
      <c r="I203" s="214">
        <v>2.3420568392837509</v>
      </c>
      <c r="J203" s="252" t="s">
        <v>28</v>
      </c>
      <c r="K203" s="215">
        <v>228.78708194990992</v>
      </c>
      <c r="L203" s="255" t="s">
        <v>29</v>
      </c>
      <c r="M203" s="215">
        <v>178.30932269281959</v>
      </c>
      <c r="N203" s="255" t="s">
        <v>30</v>
      </c>
      <c r="O203" s="216">
        <v>2225.5040033143732</v>
      </c>
      <c r="P203" s="216">
        <v>415.21556984655444</v>
      </c>
      <c r="Q203" s="216">
        <v>118.17751388426115</v>
      </c>
      <c r="R203" s="233" t="s">
        <v>43</v>
      </c>
      <c r="S203" s="234" t="s">
        <v>32</v>
      </c>
      <c r="T203" s="234" t="s">
        <v>33</v>
      </c>
      <c r="U203" s="235">
        <v>16</v>
      </c>
      <c r="V203" s="235">
        <v>8</v>
      </c>
      <c r="W203" s="235">
        <v>8</v>
      </c>
      <c r="X203" s="236" t="s">
        <v>34</v>
      </c>
      <c r="Y203" s="236">
        <v>50</v>
      </c>
      <c r="Z203" s="237">
        <v>21</v>
      </c>
      <c r="AA203" s="237">
        <v>7</v>
      </c>
      <c r="AB203" s="237">
        <v>18</v>
      </c>
      <c r="AC203" s="236" t="s">
        <v>35</v>
      </c>
      <c r="AD203" s="236">
        <v>50</v>
      </c>
      <c r="AE203" s="238">
        <v>18.5</v>
      </c>
      <c r="AF203" s="238">
        <v>7.5</v>
      </c>
      <c r="AG203" s="238">
        <v>13</v>
      </c>
    </row>
    <row r="204" spans="1:33" s="239" customFormat="1" ht="23.5" customHeight="1">
      <c r="A204" s="186">
        <v>467</v>
      </c>
      <c r="B204" s="213">
        <v>61</v>
      </c>
      <c r="C204" s="223" t="s">
        <v>55</v>
      </c>
      <c r="D204" s="213">
        <v>1302</v>
      </c>
      <c r="E204" s="188">
        <f>VLOOKUP(D204,รายแปลง!E:G,3,FALSE)</f>
        <v>917102</v>
      </c>
      <c r="F204" s="214">
        <v>7.34</v>
      </c>
      <c r="G204" s="252" t="s">
        <v>40</v>
      </c>
      <c r="H204" s="214">
        <v>8.965720000000001</v>
      </c>
      <c r="I204" s="214">
        <v>2.638147682057423</v>
      </c>
      <c r="J204" s="252" t="s">
        <v>29</v>
      </c>
      <c r="K204" s="215">
        <v>94.201485100884867</v>
      </c>
      <c r="L204" s="255" t="s">
        <v>29</v>
      </c>
      <c r="M204" s="215">
        <v>290.13113262536302</v>
      </c>
      <c r="N204" s="255" t="s">
        <v>30</v>
      </c>
      <c r="O204" s="216">
        <v>2040.3536949301294</v>
      </c>
      <c r="P204" s="216">
        <v>287.09566954518061</v>
      </c>
      <c r="Q204" s="216">
        <v>61.489140127231011</v>
      </c>
      <c r="R204" s="233" t="s">
        <v>43</v>
      </c>
      <c r="S204" s="234" t="s">
        <v>32</v>
      </c>
      <c r="T204" s="234" t="s">
        <v>33</v>
      </c>
      <c r="U204" s="235">
        <v>16</v>
      </c>
      <c r="V204" s="235">
        <v>8</v>
      </c>
      <c r="W204" s="235">
        <v>8</v>
      </c>
      <c r="X204" s="236" t="s">
        <v>34</v>
      </c>
      <c r="Y204" s="236">
        <v>50</v>
      </c>
      <c r="Z204" s="237">
        <v>21</v>
      </c>
      <c r="AA204" s="237">
        <v>7</v>
      </c>
      <c r="AB204" s="237">
        <v>18</v>
      </c>
      <c r="AC204" s="236" t="s">
        <v>35</v>
      </c>
      <c r="AD204" s="236">
        <v>50</v>
      </c>
      <c r="AE204" s="238">
        <v>18.5</v>
      </c>
      <c r="AF204" s="238">
        <v>7.5</v>
      </c>
      <c r="AG204" s="238">
        <v>13</v>
      </c>
    </row>
    <row r="205" spans="1:33" s="239" customFormat="1" ht="23.5" customHeight="1">
      <c r="A205" s="186">
        <v>468</v>
      </c>
      <c r="B205" s="213">
        <v>61</v>
      </c>
      <c r="C205" s="223" t="s">
        <v>55</v>
      </c>
      <c r="D205" s="213">
        <v>1308</v>
      </c>
      <c r="E205" s="188">
        <f>VLOOKUP(D205,รายแปลง!E:G,3,FALSE)</f>
        <v>917108</v>
      </c>
      <c r="F205" s="214">
        <v>6.9649999999999999</v>
      </c>
      <c r="G205" s="252" t="s">
        <v>28</v>
      </c>
      <c r="H205" s="214">
        <v>3.1680399999999995</v>
      </c>
      <c r="I205" s="214">
        <v>2.2082250198961066</v>
      </c>
      <c r="J205" s="252" t="s">
        <v>28</v>
      </c>
      <c r="K205" s="215">
        <v>17.646405652886124</v>
      </c>
      <c r="L205" s="255" t="s">
        <v>41</v>
      </c>
      <c r="M205" s="215">
        <v>349.45400776995405</v>
      </c>
      <c r="N205" s="255" t="s">
        <v>30</v>
      </c>
      <c r="O205" s="216">
        <v>3514.1865649838996</v>
      </c>
      <c r="P205" s="216">
        <v>347.73967425482283</v>
      </c>
      <c r="Q205" s="216">
        <v>23.297704727284803</v>
      </c>
      <c r="R205" s="233" t="s">
        <v>43</v>
      </c>
      <c r="S205" s="234" t="s">
        <v>42</v>
      </c>
      <c r="T205" s="234" t="s">
        <v>33</v>
      </c>
      <c r="U205" s="235">
        <v>16</v>
      </c>
      <c r="V205" s="235">
        <v>16</v>
      </c>
      <c r="W205" s="235">
        <v>8</v>
      </c>
      <c r="X205" s="236" t="s">
        <v>39</v>
      </c>
      <c r="Y205" s="236">
        <v>50</v>
      </c>
      <c r="Z205" s="237">
        <v>15</v>
      </c>
      <c r="AA205" s="237">
        <v>7</v>
      </c>
      <c r="AB205" s="237">
        <v>18</v>
      </c>
      <c r="AC205" s="236" t="s">
        <v>51</v>
      </c>
      <c r="AD205" s="236">
        <v>50</v>
      </c>
      <c r="AE205" s="238">
        <v>15.5</v>
      </c>
      <c r="AF205" s="238">
        <v>11.5</v>
      </c>
      <c r="AG205" s="238">
        <v>13</v>
      </c>
    </row>
    <row r="206" spans="1:33" s="239" customFormat="1" ht="23.5" customHeight="1">
      <c r="A206" s="186">
        <v>469</v>
      </c>
      <c r="B206" s="213">
        <v>61</v>
      </c>
      <c r="C206" s="223" t="s">
        <v>55</v>
      </c>
      <c r="D206" s="213">
        <v>1310</v>
      </c>
      <c r="E206" s="188">
        <f>VLOOKUP(D206,รายแปลง!E:G,3,FALSE)</f>
        <v>917110</v>
      </c>
      <c r="F206" s="214">
        <v>7.6549999999999994</v>
      </c>
      <c r="G206" s="252" t="s">
        <v>40</v>
      </c>
      <c r="H206" s="214">
        <v>3.0739599999999996</v>
      </c>
      <c r="I206" s="214">
        <v>3.1480893878684175</v>
      </c>
      <c r="J206" s="252" t="s">
        <v>29</v>
      </c>
      <c r="K206" s="215">
        <v>40.26363147837769</v>
      </c>
      <c r="L206" s="255" t="s">
        <v>29</v>
      </c>
      <c r="M206" s="215">
        <v>139.23771419593729</v>
      </c>
      <c r="N206" s="255" t="s">
        <v>30</v>
      </c>
      <c r="O206" s="216">
        <v>2944.5979328471767</v>
      </c>
      <c r="P206" s="216">
        <v>223.08322500445809</v>
      </c>
      <c r="Q206" s="216">
        <v>29.205866752631145</v>
      </c>
      <c r="R206" s="233" t="s">
        <v>43</v>
      </c>
      <c r="S206" s="234" t="s">
        <v>32</v>
      </c>
      <c r="T206" s="234" t="s">
        <v>33</v>
      </c>
      <c r="U206" s="235">
        <v>16</v>
      </c>
      <c r="V206" s="235">
        <v>8</v>
      </c>
      <c r="W206" s="235">
        <v>8</v>
      </c>
      <c r="X206" s="236" t="s">
        <v>34</v>
      </c>
      <c r="Y206" s="236">
        <v>50</v>
      </c>
      <c r="Z206" s="237">
        <v>21</v>
      </c>
      <c r="AA206" s="237">
        <v>7</v>
      </c>
      <c r="AB206" s="237">
        <v>18</v>
      </c>
      <c r="AC206" s="236" t="s">
        <v>35</v>
      </c>
      <c r="AD206" s="236">
        <v>50</v>
      </c>
      <c r="AE206" s="238">
        <v>18.5</v>
      </c>
      <c r="AF206" s="238">
        <v>7.5</v>
      </c>
      <c r="AG206" s="238">
        <v>13</v>
      </c>
    </row>
    <row r="207" spans="1:33" s="239" customFormat="1" ht="23.5" customHeight="1">
      <c r="A207" s="186">
        <v>477</v>
      </c>
      <c r="B207" s="213">
        <v>61</v>
      </c>
      <c r="C207" s="223" t="s">
        <v>55</v>
      </c>
      <c r="D207" s="213">
        <v>1319</v>
      </c>
      <c r="E207" s="188">
        <f>VLOOKUP(D207,รายแปลง!E:G,3,FALSE)</f>
        <v>917113</v>
      </c>
      <c r="F207" s="214">
        <v>6.8900000000000006</v>
      </c>
      <c r="G207" s="252" t="s">
        <v>28</v>
      </c>
      <c r="H207" s="214">
        <v>3.4561599999999997</v>
      </c>
      <c r="I207" s="214">
        <v>0.87511584892997618</v>
      </c>
      <c r="J207" s="252" t="s">
        <v>37</v>
      </c>
      <c r="K207" s="215">
        <v>19.612732407798156</v>
      </c>
      <c r="L207" s="255" t="s">
        <v>41</v>
      </c>
      <c r="M207" s="215">
        <v>231.76657095460899</v>
      </c>
      <c r="N207" s="255" t="s">
        <v>30</v>
      </c>
      <c r="O207" s="216">
        <v>918.92117196508343</v>
      </c>
      <c r="P207" s="216">
        <v>72.601429878503495</v>
      </c>
      <c r="Q207" s="216">
        <v>31.824972358044157</v>
      </c>
      <c r="R207" s="233" t="s">
        <v>38</v>
      </c>
      <c r="S207" s="234" t="s">
        <v>42</v>
      </c>
      <c r="T207" s="234" t="s">
        <v>33</v>
      </c>
      <c r="U207" s="235">
        <v>16</v>
      </c>
      <c r="V207" s="235">
        <v>16</v>
      </c>
      <c r="W207" s="235">
        <v>8</v>
      </c>
      <c r="X207" s="236" t="s">
        <v>39</v>
      </c>
      <c r="Y207" s="236">
        <v>50</v>
      </c>
      <c r="Z207" s="237">
        <v>21</v>
      </c>
      <c r="AA207" s="237">
        <v>7</v>
      </c>
      <c r="AB207" s="237">
        <v>18</v>
      </c>
      <c r="AC207" s="236" t="s">
        <v>35</v>
      </c>
      <c r="AD207" s="236">
        <v>50</v>
      </c>
      <c r="AE207" s="238">
        <v>18.5</v>
      </c>
      <c r="AF207" s="238">
        <v>11.5</v>
      </c>
      <c r="AG207" s="238">
        <v>13</v>
      </c>
    </row>
    <row r="208" spans="1:33" s="239" customFormat="1" ht="23.5" customHeight="1">
      <c r="A208" s="186">
        <v>478</v>
      </c>
      <c r="B208" s="213">
        <v>61</v>
      </c>
      <c r="C208" s="223" t="s">
        <v>55</v>
      </c>
      <c r="D208" s="213">
        <v>1321</v>
      </c>
      <c r="E208" s="188">
        <f>VLOOKUP(D208,รายแปลง!E:G,3,FALSE)</f>
        <v>917114</v>
      </c>
      <c r="F208" s="214">
        <v>6.8100000000000005</v>
      </c>
      <c r="G208" s="252" t="s">
        <v>28</v>
      </c>
      <c r="H208" s="214">
        <v>3.0327999999999999</v>
      </c>
      <c r="I208" s="214">
        <v>1.5436464763000295</v>
      </c>
      <c r="J208" s="252" t="s">
        <v>28</v>
      </c>
      <c r="K208" s="215">
        <v>20.415230583136715</v>
      </c>
      <c r="L208" s="255" t="s">
        <v>28</v>
      </c>
      <c r="M208" s="215">
        <v>171.55360824723203</v>
      </c>
      <c r="N208" s="255" t="s">
        <v>30</v>
      </c>
      <c r="O208" s="216">
        <v>1153.5162092681821</v>
      </c>
      <c r="P208" s="216">
        <v>117.47032804038928</v>
      </c>
      <c r="Q208" s="216">
        <v>50.506272944813013</v>
      </c>
      <c r="R208" s="233" t="s">
        <v>31</v>
      </c>
      <c r="S208" s="234" t="s">
        <v>42</v>
      </c>
      <c r="T208" s="234" t="s">
        <v>33</v>
      </c>
      <c r="U208" s="235">
        <v>16</v>
      </c>
      <c r="V208" s="235">
        <v>16</v>
      </c>
      <c r="W208" s="235">
        <v>8</v>
      </c>
      <c r="X208" s="236" t="s">
        <v>39</v>
      </c>
      <c r="Y208" s="236">
        <v>50</v>
      </c>
      <c r="Z208" s="237">
        <v>21</v>
      </c>
      <c r="AA208" s="237">
        <v>7</v>
      </c>
      <c r="AB208" s="237">
        <v>18</v>
      </c>
      <c r="AC208" s="236" t="s">
        <v>35</v>
      </c>
      <c r="AD208" s="236">
        <v>50</v>
      </c>
      <c r="AE208" s="238">
        <v>18.5</v>
      </c>
      <c r="AF208" s="238">
        <v>11.5</v>
      </c>
      <c r="AG208" s="238">
        <v>13</v>
      </c>
    </row>
    <row r="209" spans="1:33" s="239" customFormat="1" ht="23.5" customHeight="1">
      <c r="A209" s="186">
        <v>484</v>
      </c>
      <c r="B209" s="213">
        <v>61</v>
      </c>
      <c r="C209" s="223" t="s">
        <v>55</v>
      </c>
      <c r="D209" s="213">
        <v>1332</v>
      </c>
      <c r="E209" s="188">
        <f>VLOOKUP(D209,รายแปลง!E:G,3,FALSE)</f>
        <v>917125</v>
      </c>
      <c r="F209" s="214">
        <v>6.1550000000000002</v>
      </c>
      <c r="G209" s="252" t="s">
        <v>28</v>
      </c>
      <c r="H209" s="214">
        <v>2.5841560000000001</v>
      </c>
      <c r="I209" s="214">
        <v>0.70613281872831224</v>
      </c>
      <c r="J209" s="252" t="s">
        <v>37</v>
      </c>
      <c r="K209" s="215">
        <v>5.1038025973261885</v>
      </c>
      <c r="L209" s="255" t="s">
        <v>47</v>
      </c>
      <c r="M209" s="215">
        <v>239.01515303907186</v>
      </c>
      <c r="N209" s="255" t="s">
        <v>30</v>
      </c>
      <c r="O209" s="216">
        <v>470.81292431624445</v>
      </c>
      <c r="P209" s="216">
        <v>125.33745376730207</v>
      </c>
      <c r="Q209" s="216">
        <v>38.312453992404883</v>
      </c>
      <c r="R209" s="233" t="s">
        <v>38</v>
      </c>
      <c r="S209" s="234" t="s">
        <v>43</v>
      </c>
      <c r="T209" s="234" t="s">
        <v>33</v>
      </c>
      <c r="U209" s="235">
        <v>16</v>
      </c>
      <c r="V209" s="235">
        <v>16</v>
      </c>
      <c r="W209" s="235">
        <v>8</v>
      </c>
      <c r="X209" s="236" t="s">
        <v>39</v>
      </c>
      <c r="Y209" s="236">
        <v>50</v>
      </c>
      <c r="Z209" s="237">
        <v>21</v>
      </c>
      <c r="AA209" s="237">
        <v>7</v>
      </c>
      <c r="AB209" s="237">
        <v>18</v>
      </c>
      <c r="AC209" s="236" t="s">
        <v>35</v>
      </c>
      <c r="AD209" s="236">
        <v>50</v>
      </c>
      <c r="AE209" s="238">
        <v>18.5</v>
      </c>
      <c r="AF209" s="238">
        <v>11.5</v>
      </c>
      <c r="AG209" s="238">
        <v>13</v>
      </c>
    </row>
    <row r="210" spans="1:33" s="239" customFormat="1" ht="23.5" customHeight="1">
      <c r="A210" s="186">
        <v>485</v>
      </c>
      <c r="B210" s="213">
        <v>61</v>
      </c>
      <c r="C210" s="224" t="s">
        <v>65</v>
      </c>
      <c r="D210" s="213">
        <v>102</v>
      </c>
      <c r="E210" s="188">
        <f>VLOOKUP(D210,รายแปลง!E:G,3,FALSE)</f>
        <v>900121</v>
      </c>
      <c r="F210" s="214">
        <v>5.74</v>
      </c>
      <c r="G210" s="252" t="s">
        <v>28</v>
      </c>
      <c r="H210" s="214">
        <v>4.6791999999999998</v>
      </c>
      <c r="I210" s="214">
        <v>1.1195700850873265</v>
      </c>
      <c r="J210" s="252" t="s">
        <v>41</v>
      </c>
      <c r="K210" s="215">
        <v>92.219406101449493</v>
      </c>
      <c r="L210" s="255" t="s">
        <v>29</v>
      </c>
      <c r="M210" s="215">
        <v>252.24081486967845</v>
      </c>
      <c r="N210" s="255" t="s">
        <v>30</v>
      </c>
      <c r="O210" s="216">
        <v>319.63102565511304</v>
      </c>
      <c r="P210" s="216">
        <v>79.689211527308572</v>
      </c>
      <c r="Q210" s="216">
        <v>61.641195849470947</v>
      </c>
      <c r="R210" s="233" t="s">
        <v>31</v>
      </c>
      <c r="S210" s="234" t="s">
        <v>32</v>
      </c>
      <c r="T210" s="234" t="s">
        <v>33</v>
      </c>
      <c r="U210" s="235">
        <v>16</v>
      </c>
      <c r="V210" s="235">
        <v>8</v>
      </c>
      <c r="W210" s="235">
        <v>8</v>
      </c>
      <c r="X210" s="236" t="s">
        <v>34</v>
      </c>
      <c r="Y210" s="236">
        <v>50</v>
      </c>
      <c r="Z210" s="237">
        <v>21</v>
      </c>
      <c r="AA210" s="237">
        <v>7</v>
      </c>
      <c r="AB210" s="237">
        <v>18</v>
      </c>
      <c r="AC210" s="236" t="s">
        <v>35</v>
      </c>
      <c r="AD210" s="236">
        <v>50</v>
      </c>
      <c r="AE210" s="238">
        <v>18.5</v>
      </c>
      <c r="AF210" s="238">
        <v>7.5</v>
      </c>
      <c r="AG210" s="238">
        <v>13</v>
      </c>
    </row>
    <row r="211" spans="1:33" s="239" customFormat="1" ht="23.5" customHeight="1">
      <c r="A211" s="186">
        <v>487</v>
      </c>
      <c r="B211" s="213">
        <v>61</v>
      </c>
      <c r="C211" s="224" t="s">
        <v>65</v>
      </c>
      <c r="D211" s="213">
        <v>118</v>
      </c>
      <c r="E211" s="188">
        <f>VLOOKUP(D211,รายแปลง!E:G,3,FALSE)</f>
        <v>900108</v>
      </c>
      <c r="F211" s="214">
        <v>5.8149999999999995</v>
      </c>
      <c r="G211" s="252" t="s">
        <v>28</v>
      </c>
      <c r="H211" s="214">
        <v>4.8438399999999993</v>
      </c>
      <c r="I211" s="214">
        <v>0.87163962692452668</v>
      </c>
      <c r="J211" s="252" t="s">
        <v>37</v>
      </c>
      <c r="K211" s="215">
        <v>95.128847170026631</v>
      </c>
      <c r="L211" s="255" t="s">
        <v>29</v>
      </c>
      <c r="M211" s="215">
        <v>273.66415182390915</v>
      </c>
      <c r="N211" s="255" t="s">
        <v>30</v>
      </c>
      <c r="O211" s="216">
        <v>345.65924322787282</v>
      </c>
      <c r="P211" s="216">
        <v>80.317011375485691</v>
      </c>
      <c r="Q211" s="216">
        <v>69.969081512061706</v>
      </c>
      <c r="R211" s="233" t="s">
        <v>38</v>
      </c>
      <c r="S211" s="234" t="s">
        <v>32</v>
      </c>
      <c r="T211" s="234" t="s">
        <v>33</v>
      </c>
      <c r="U211" s="235">
        <v>16</v>
      </c>
      <c r="V211" s="235">
        <v>16</v>
      </c>
      <c r="W211" s="235">
        <v>8</v>
      </c>
      <c r="X211" s="236" t="s">
        <v>39</v>
      </c>
      <c r="Y211" s="236">
        <v>50</v>
      </c>
      <c r="Z211" s="237">
        <v>21</v>
      </c>
      <c r="AA211" s="237">
        <v>7</v>
      </c>
      <c r="AB211" s="237">
        <v>18</v>
      </c>
      <c r="AC211" s="236" t="s">
        <v>35</v>
      </c>
      <c r="AD211" s="236">
        <v>50</v>
      </c>
      <c r="AE211" s="238">
        <v>18.5</v>
      </c>
      <c r="AF211" s="238">
        <v>11.5</v>
      </c>
      <c r="AG211" s="238">
        <v>13</v>
      </c>
    </row>
    <row r="212" spans="1:33" s="239" customFormat="1" ht="23.5" customHeight="1">
      <c r="A212" s="186">
        <v>488</v>
      </c>
      <c r="B212" s="213">
        <v>61</v>
      </c>
      <c r="C212" s="224" t="s">
        <v>65</v>
      </c>
      <c r="D212" s="213">
        <v>121</v>
      </c>
      <c r="E212" s="188">
        <f>VLOOKUP(D212,รายแปลง!E:G,3,FALSE)</f>
        <v>900110</v>
      </c>
      <c r="F212" s="214">
        <v>5.79</v>
      </c>
      <c r="G212" s="252" t="s">
        <v>28</v>
      </c>
      <c r="H212" s="214">
        <v>4.5851199999999999</v>
      </c>
      <c r="I212" s="214">
        <v>0.91506384562904786</v>
      </c>
      <c r="J212" s="252" t="s">
        <v>37</v>
      </c>
      <c r="K212" s="215">
        <v>89.996602499197436</v>
      </c>
      <c r="L212" s="255" t="s">
        <v>29</v>
      </c>
      <c r="M212" s="215">
        <v>238.82899613328402</v>
      </c>
      <c r="N212" s="255" t="s">
        <v>30</v>
      </c>
      <c r="O212" s="216">
        <v>303.8397440818967</v>
      </c>
      <c r="P212" s="216">
        <v>78.553104854861445</v>
      </c>
      <c r="Q212" s="216">
        <v>27.321967892970751</v>
      </c>
      <c r="R212" s="233" t="s">
        <v>38</v>
      </c>
      <c r="S212" s="234" t="s">
        <v>32</v>
      </c>
      <c r="T212" s="234" t="s">
        <v>33</v>
      </c>
      <c r="U212" s="235">
        <v>16</v>
      </c>
      <c r="V212" s="235">
        <v>16</v>
      </c>
      <c r="W212" s="235">
        <v>8</v>
      </c>
      <c r="X212" s="236" t="s">
        <v>39</v>
      </c>
      <c r="Y212" s="236">
        <v>50</v>
      </c>
      <c r="Z212" s="237">
        <v>21</v>
      </c>
      <c r="AA212" s="237">
        <v>7</v>
      </c>
      <c r="AB212" s="237">
        <v>18</v>
      </c>
      <c r="AC212" s="236" t="s">
        <v>35</v>
      </c>
      <c r="AD212" s="236">
        <v>50</v>
      </c>
      <c r="AE212" s="238">
        <v>18.5</v>
      </c>
      <c r="AF212" s="238">
        <v>11.5</v>
      </c>
      <c r="AG212" s="238">
        <v>13</v>
      </c>
    </row>
    <row r="213" spans="1:33" s="239" customFormat="1" ht="23.5" customHeight="1">
      <c r="A213" s="186">
        <v>489</v>
      </c>
      <c r="B213" s="213">
        <v>61</v>
      </c>
      <c r="C213" s="224" t="s">
        <v>65</v>
      </c>
      <c r="D213" s="213">
        <v>129</v>
      </c>
      <c r="E213" s="188">
        <f>VLOOKUP(D213,รายแปลง!E:G,3,FALSE)</f>
        <v>900106</v>
      </c>
      <c r="F213" s="214">
        <v>5.7549999999999999</v>
      </c>
      <c r="G213" s="252" t="s">
        <v>28</v>
      </c>
      <c r="H213" s="214">
        <v>5.2613199999999996</v>
      </c>
      <c r="I213" s="214">
        <v>0.92105253367597317</v>
      </c>
      <c r="J213" s="252" t="s">
        <v>37</v>
      </c>
      <c r="K213" s="215">
        <v>88.903154556470923</v>
      </c>
      <c r="L213" s="255" t="s">
        <v>29</v>
      </c>
      <c r="M213" s="215">
        <v>259.58053690078867</v>
      </c>
      <c r="N213" s="255" t="s">
        <v>30</v>
      </c>
      <c r="O213" s="216">
        <v>427.95212482587431</v>
      </c>
      <c r="P213" s="216">
        <v>87.162615103538343</v>
      </c>
      <c r="Q213" s="216">
        <v>17.980386980075536</v>
      </c>
      <c r="R213" s="233" t="s">
        <v>38</v>
      </c>
      <c r="S213" s="234" t="s">
        <v>32</v>
      </c>
      <c r="T213" s="234" t="s">
        <v>33</v>
      </c>
      <c r="U213" s="235">
        <v>16</v>
      </c>
      <c r="V213" s="235">
        <v>16</v>
      </c>
      <c r="W213" s="235">
        <v>8</v>
      </c>
      <c r="X213" s="236" t="s">
        <v>39</v>
      </c>
      <c r="Y213" s="236">
        <v>50</v>
      </c>
      <c r="Z213" s="237">
        <v>21</v>
      </c>
      <c r="AA213" s="237">
        <v>7</v>
      </c>
      <c r="AB213" s="237">
        <v>18</v>
      </c>
      <c r="AC213" s="236" t="s">
        <v>35</v>
      </c>
      <c r="AD213" s="236">
        <v>50</v>
      </c>
      <c r="AE213" s="238">
        <v>18.5</v>
      </c>
      <c r="AF213" s="238">
        <v>11.5</v>
      </c>
      <c r="AG213" s="238">
        <v>13</v>
      </c>
    </row>
    <row r="214" spans="1:33" s="239" customFormat="1" ht="23.5" customHeight="1">
      <c r="A214" s="186">
        <v>490</v>
      </c>
      <c r="B214" s="213">
        <v>61</v>
      </c>
      <c r="C214" s="224" t="s">
        <v>65</v>
      </c>
      <c r="D214" s="213">
        <v>133</v>
      </c>
      <c r="E214" s="188">
        <f>VLOOKUP(D214,รายแปลง!E:G,3,FALSE)</f>
        <v>900105</v>
      </c>
      <c r="F214" s="214">
        <v>5.8149999999999995</v>
      </c>
      <c r="G214" s="252" t="s">
        <v>28</v>
      </c>
      <c r="H214" s="214">
        <v>5.5376799999999999</v>
      </c>
      <c r="I214" s="214">
        <v>0.9054716832493791</v>
      </c>
      <c r="J214" s="252" t="s">
        <v>37</v>
      </c>
      <c r="K214" s="215">
        <v>98.80401845935458</v>
      </c>
      <c r="L214" s="255" t="s">
        <v>29</v>
      </c>
      <c r="M214" s="215">
        <v>94.088953724307586</v>
      </c>
      <c r="N214" s="255" t="s">
        <v>29</v>
      </c>
      <c r="O214" s="216">
        <v>565.40575039479472</v>
      </c>
      <c r="P214" s="216">
        <v>136.45639535480984</v>
      </c>
      <c r="Q214" s="216">
        <v>33.408282702009728</v>
      </c>
      <c r="R214" s="233" t="s">
        <v>38</v>
      </c>
      <c r="S214" s="234" t="s">
        <v>32</v>
      </c>
      <c r="T214" s="234" t="s">
        <v>33</v>
      </c>
      <c r="U214" s="235">
        <v>16</v>
      </c>
      <c r="V214" s="235">
        <v>16</v>
      </c>
      <c r="W214" s="235">
        <v>8</v>
      </c>
      <c r="X214" s="236" t="s">
        <v>39</v>
      </c>
      <c r="Y214" s="236">
        <v>50</v>
      </c>
      <c r="Z214" s="237">
        <v>21</v>
      </c>
      <c r="AA214" s="237">
        <v>7</v>
      </c>
      <c r="AB214" s="237">
        <v>18</v>
      </c>
      <c r="AC214" s="236" t="s">
        <v>35</v>
      </c>
      <c r="AD214" s="236">
        <v>50</v>
      </c>
      <c r="AE214" s="238">
        <v>18.5</v>
      </c>
      <c r="AF214" s="238">
        <v>11.5</v>
      </c>
      <c r="AG214" s="238">
        <v>13</v>
      </c>
    </row>
    <row r="215" spans="1:33" s="239" customFormat="1" ht="23.5" customHeight="1">
      <c r="A215" s="186">
        <v>492</v>
      </c>
      <c r="B215" s="213">
        <v>61</v>
      </c>
      <c r="C215" s="224" t="s">
        <v>65</v>
      </c>
      <c r="D215" s="213" t="s">
        <v>76</v>
      </c>
      <c r="E215" s="188">
        <f>VLOOKUP(D215,รายแปลง!E:G,3,FALSE)</f>
        <v>900115</v>
      </c>
      <c r="F215" s="214">
        <v>5.75</v>
      </c>
      <c r="G215" s="252" t="s">
        <v>28</v>
      </c>
      <c r="H215" s="214">
        <v>5.7023200000000003</v>
      </c>
      <c r="I215" s="214">
        <v>0.86905061851375387</v>
      </c>
      <c r="J215" s="252" t="s">
        <v>37</v>
      </c>
      <c r="K215" s="215">
        <v>88.399606701399534</v>
      </c>
      <c r="L215" s="255" t="s">
        <v>29</v>
      </c>
      <c r="M215" s="215">
        <v>101.43944370689044</v>
      </c>
      <c r="N215" s="255" t="s">
        <v>29</v>
      </c>
      <c r="O215" s="216">
        <v>262.38106564209625</v>
      </c>
      <c r="P215" s="216">
        <v>75.001901811623895</v>
      </c>
      <c r="Q215" s="216">
        <v>29.309438336848764</v>
      </c>
      <c r="R215" s="233" t="s">
        <v>38</v>
      </c>
      <c r="S215" s="234" t="s">
        <v>32</v>
      </c>
      <c r="T215" s="234" t="s">
        <v>33</v>
      </c>
      <c r="U215" s="235">
        <v>16</v>
      </c>
      <c r="V215" s="235">
        <v>16</v>
      </c>
      <c r="W215" s="235">
        <v>8</v>
      </c>
      <c r="X215" s="236" t="s">
        <v>39</v>
      </c>
      <c r="Y215" s="236">
        <v>50</v>
      </c>
      <c r="Z215" s="237">
        <v>21</v>
      </c>
      <c r="AA215" s="237">
        <v>7</v>
      </c>
      <c r="AB215" s="237">
        <v>18</v>
      </c>
      <c r="AC215" s="236" t="s">
        <v>35</v>
      </c>
      <c r="AD215" s="236">
        <v>50</v>
      </c>
      <c r="AE215" s="238">
        <v>18.5</v>
      </c>
      <c r="AF215" s="238">
        <v>11.5</v>
      </c>
      <c r="AG215" s="238">
        <v>13</v>
      </c>
    </row>
    <row r="216" spans="1:33" s="239" customFormat="1" ht="23.5" customHeight="1">
      <c r="A216" s="186">
        <v>496</v>
      </c>
      <c r="B216" s="213">
        <v>61</v>
      </c>
      <c r="C216" s="224" t="s">
        <v>65</v>
      </c>
      <c r="D216" s="213">
        <v>408</v>
      </c>
      <c r="E216" s="188">
        <f>VLOOKUP(D216,รายแปลง!E:G,3,FALSE)</f>
        <v>900112</v>
      </c>
      <c r="F216" s="214">
        <v>5.2799999999999994</v>
      </c>
      <c r="G216" s="252" t="s">
        <v>56</v>
      </c>
      <c r="H216" s="214">
        <v>4.3087599999999995</v>
      </c>
      <c r="I216" s="214">
        <v>0.8759547084901731</v>
      </c>
      <c r="J216" s="252" t="s">
        <v>37</v>
      </c>
      <c r="K216" s="215">
        <v>85.997237133078386</v>
      </c>
      <c r="L216" s="255" t="s">
        <v>29</v>
      </c>
      <c r="M216" s="215">
        <v>103.61627524782836</v>
      </c>
      <c r="N216" s="255" t="s">
        <v>29</v>
      </c>
      <c r="O216" s="216">
        <v>222.96561641712549</v>
      </c>
      <c r="P216" s="216">
        <v>63.674057607781208</v>
      </c>
      <c r="Q216" s="216">
        <v>214.09556449333451</v>
      </c>
      <c r="R216" s="233" t="s">
        <v>38</v>
      </c>
      <c r="S216" s="234" t="s">
        <v>32</v>
      </c>
      <c r="T216" s="234" t="s">
        <v>33</v>
      </c>
      <c r="U216" s="235">
        <v>16</v>
      </c>
      <c r="V216" s="235">
        <v>16</v>
      </c>
      <c r="W216" s="235">
        <v>8</v>
      </c>
      <c r="X216" s="236" t="s">
        <v>39</v>
      </c>
      <c r="Y216" s="236">
        <v>50</v>
      </c>
      <c r="Z216" s="237">
        <v>21</v>
      </c>
      <c r="AA216" s="237">
        <v>7</v>
      </c>
      <c r="AB216" s="237">
        <v>18</v>
      </c>
      <c r="AC216" s="236" t="s">
        <v>35</v>
      </c>
      <c r="AD216" s="236">
        <v>50</v>
      </c>
      <c r="AE216" s="238">
        <v>18.5</v>
      </c>
      <c r="AF216" s="238">
        <v>11.5</v>
      </c>
      <c r="AG216" s="238">
        <v>13</v>
      </c>
    </row>
    <row r="217" spans="1:33" s="239" customFormat="1" ht="23.5" customHeight="1">
      <c r="A217" s="186">
        <v>507</v>
      </c>
      <c r="B217" s="213">
        <v>61</v>
      </c>
      <c r="C217" s="227" t="s">
        <v>52</v>
      </c>
      <c r="D217" s="217">
        <v>922</v>
      </c>
      <c r="E217" s="188">
        <f>VLOOKUP(D217,รายแปลง!E:G,3,FALSE)</f>
        <v>906114</v>
      </c>
      <c r="F217" s="201">
        <v>7.3049999999999997</v>
      </c>
      <c r="G217" s="249" t="s">
        <v>40</v>
      </c>
      <c r="H217" s="201">
        <v>5.8728400000000001</v>
      </c>
      <c r="I217" s="201">
        <v>1.6087950842925172</v>
      </c>
      <c r="J217" s="249" t="s">
        <v>28</v>
      </c>
      <c r="K217" s="202">
        <v>87.13176000028605</v>
      </c>
      <c r="L217" s="254" t="s">
        <v>29</v>
      </c>
      <c r="M217" s="202">
        <v>221.45303700428406</v>
      </c>
      <c r="N217" s="254" t="s">
        <v>30</v>
      </c>
      <c r="O217" s="203">
        <v>2662.3373446313562</v>
      </c>
      <c r="P217" s="203">
        <v>81.856508504142397</v>
      </c>
      <c r="Q217" s="203">
        <v>137.35043247684831</v>
      </c>
      <c r="R217" s="233" t="s">
        <v>31</v>
      </c>
      <c r="S217" s="234" t="s">
        <v>32</v>
      </c>
      <c r="T217" s="234" t="s">
        <v>33</v>
      </c>
      <c r="U217" s="235">
        <v>16</v>
      </c>
      <c r="V217" s="235">
        <v>8</v>
      </c>
      <c r="W217" s="235">
        <v>8</v>
      </c>
      <c r="X217" s="236" t="s">
        <v>34</v>
      </c>
      <c r="Y217" s="236">
        <v>50</v>
      </c>
      <c r="Z217" s="237">
        <v>21</v>
      </c>
      <c r="AA217" s="237">
        <v>7</v>
      </c>
      <c r="AB217" s="237">
        <v>18</v>
      </c>
      <c r="AC217" s="236" t="s">
        <v>35</v>
      </c>
      <c r="AD217" s="236">
        <v>50</v>
      </c>
      <c r="AE217" s="238">
        <v>18.5</v>
      </c>
      <c r="AF217" s="238">
        <v>7.5</v>
      </c>
      <c r="AG217" s="238">
        <v>13</v>
      </c>
    </row>
    <row r="218" spans="1:33" s="239" customFormat="1" ht="23.5" customHeight="1">
      <c r="A218" s="186">
        <v>508</v>
      </c>
      <c r="B218" s="213">
        <v>61</v>
      </c>
      <c r="C218" s="227" t="s">
        <v>52</v>
      </c>
      <c r="D218" s="217">
        <v>923</v>
      </c>
      <c r="E218" s="188">
        <f>VLOOKUP(D218,รายแปลง!E:G,3,FALSE)</f>
        <v>906113</v>
      </c>
      <c r="F218" s="201">
        <v>7.0649999999999995</v>
      </c>
      <c r="G218" s="249" t="s">
        <v>28</v>
      </c>
      <c r="H218" s="201">
        <v>4.0911999999999997</v>
      </c>
      <c r="I218" s="201">
        <v>1.58015831570484</v>
      </c>
      <c r="J218" s="249" t="s">
        <v>28</v>
      </c>
      <c r="K218" s="202">
        <v>70.175331731685304</v>
      </c>
      <c r="L218" s="254" t="s">
        <v>29</v>
      </c>
      <c r="M218" s="202">
        <v>212.84402610560639</v>
      </c>
      <c r="N218" s="254" t="s">
        <v>30</v>
      </c>
      <c r="O218" s="203">
        <v>1804.2798224303538</v>
      </c>
      <c r="P218" s="203">
        <v>80.796808885310426</v>
      </c>
      <c r="Q218" s="203">
        <v>185.1501804555545</v>
      </c>
      <c r="R218" s="233" t="s">
        <v>31</v>
      </c>
      <c r="S218" s="234" t="s">
        <v>32</v>
      </c>
      <c r="T218" s="234" t="s">
        <v>33</v>
      </c>
      <c r="U218" s="235">
        <v>16</v>
      </c>
      <c r="V218" s="235">
        <v>8</v>
      </c>
      <c r="W218" s="235">
        <v>8</v>
      </c>
      <c r="X218" s="236" t="s">
        <v>34</v>
      </c>
      <c r="Y218" s="236">
        <v>50</v>
      </c>
      <c r="Z218" s="237">
        <v>21</v>
      </c>
      <c r="AA218" s="237">
        <v>7</v>
      </c>
      <c r="AB218" s="237">
        <v>18</v>
      </c>
      <c r="AC218" s="236" t="s">
        <v>35</v>
      </c>
      <c r="AD218" s="236">
        <v>50</v>
      </c>
      <c r="AE218" s="238">
        <v>18.5</v>
      </c>
      <c r="AF218" s="238">
        <v>7.5</v>
      </c>
      <c r="AG218" s="238">
        <v>13</v>
      </c>
    </row>
    <row r="219" spans="1:33" s="239" customFormat="1" ht="23.5" customHeight="1">
      <c r="A219" s="186">
        <v>509</v>
      </c>
      <c r="B219" s="213">
        <v>61</v>
      </c>
      <c r="C219" s="227" t="s">
        <v>52</v>
      </c>
      <c r="D219" s="217">
        <v>924</v>
      </c>
      <c r="E219" s="188">
        <f>VLOOKUP(D219,รายแปลง!E:G,3,FALSE)</f>
        <v>906120</v>
      </c>
      <c r="F219" s="201">
        <v>6.7</v>
      </c>
      <c r="G219" s="249" t="s">
        <v>28</v>
      </c>
      <c r="H219" s="201">
        <v>4.5968799999999996</v>
      </c>
      <c r="I219" s="201">
        <v>1.5888952273117278</v>
      </c>
      <c r="J219" s="249" t="s">
        <v>28</v>
      </c>
      <c r="K219" s="202">
        <v>291.29463289839214</v>
      </c>
      <c r="L219" s="254" t="s">
        <v>29</v>
      </c>
      <c r="M219" s="202">
        <v>243.78348896707047</v>
      </c>
      <c r="N219" s="254" t="s">
        <v>30</v>
      </c>
      <c r="O219" s="203">
        <v>1487.7375965392903</v>
      </c>
      <c r="P219" s="203">
        <v>87.081261596072579</v>
      </c>
      <c r="Q219" s="203">
        <v>114.55664772198712</v>
      </c>
      <c r="R219" s="233" t="s">
        <v>31</v>
      </c>
      <c r="S219" s="234" t="s">
        <v>32</v>
      </c>
      <c r="T219" s="234" t="s">
        <v>33</v>
      </c>
      <c r="U219" s="235">
        <v>16</v>
      </c>
      <c r="V219" s="235">
        <v>8</v>
      </c>
      <c r="W219" s="235">
        <v>8</v>
      </c>
      <c r="X219" s="236" t="s">
        <v>34</v>
      </c>
      <c r="Y219" s="236">
        <v>50</v>
      </c>
      <c r="Z219" s="237">
        <v>21</v>
      </c>
      <c r="AA219" s="237">
        <v>7</v>
      </c>
      <c r="AB219" s="237">
        <v>18</v>
      </c>
      <c r="AC219" s="236" t="s">
        <v>35</v>
      </c>
      <c r="AD219" s="236">
        <v>50</v>
      </c>
      <c r="AE219" s="238">
        <v>18.5</v>
      </c>
      <c r="AF219" s="238">
        <v>7.5</v>
      </c>
      <c r="AG219" s="238">
        <v>13</v>
      </c>
    </row>
    <row r="220" spans="1:33" s="239" customFormat="1" ht="23.5" customHeight="1">
      <c r="A220" s="186">
        <v>511</v>
      </c>
      <c r="B220" s="213">
        <v>61</v>
      </c>
      <c r="C220" s="227" t="s">
        <v>52</v>
      </c>
      <c r="D220" s="217">
        <v>937</v>
      </c>
      <c r="E220" s="188">
        <f>VLOOKUP(D220,รายแปลง!E:G,3,FALSE)</f>
        <v>906126</v>
      </c>
      <c r="F220" s="201">
        <v>7.32</v>
      </c>
      <c r="G220" s="249" t="s">
        <v>40</v>
      </c>
      <c r="H220" s="201">
        <v>3.9677199999999999</v>
      </c>
      <c r="I220" s="201">
        <v>1.4390205985402311</v>
      </c>
      <c r="J220" s="249" t="s">
        <v>41</v>
      </c>
      <c r="K220" s="202">
        <v>62.500516187358201</v>
      </c>
      <c r="L220" s="254" t="s">
        <v>29</v>
      </c>
      <c r="M220" s="202">
        <v>166.7297522227866</v>
      </c>
      <c r="N220" s="254" t="s">
        <v>30</v>
      </c>
      <c r="O220" s="203">
        <v>2546.6419600589152</v>
      </c>
      <c r="P220" s="203">
        <v>80.321477574330828</v>
      </c>
      <c r="Q220" s="203">
        <v>112.47189522923642</v>
      </c>
      <c r="R220" s="233" t="s">
        <v>31</v>
      </c>
      <c r="S220" s="234" t="s">
        <v>32</v>
      </c>
      <c r="T220" s="234" t="s">
        <v>33</v>
      </c>
      <c r="U220" s="235">
        <v>16</v>
      </c>
      <c r="V220" s="235">
        <v>8</v>
      </c>
      <c r="W220" s="235">
        <v>8</v>
      </c>
      <c r="X220" s="236" t="s">
        <v>34</v>
      </c>
      <c r="Y220" s="236">
        <v>50</v>
      </c>
      <c r="Z220" s="237">
        <v>21</v>
      </c>
      <c r="AA220" s="237">
        <v>7</v>
      </c>
      <c r="AB220" s="237">
        <v>18</v>
      </c>
      <c r="AC220" s="236" t="s">
        <v>35</v>
      </c>
      <c r="AD220" s="236">
        <v>50</v>
      </c>
      <c r="AE220" s="238">
        <v>18.5</v>
      </c>
      <c r="AF220" s="238">
        <v>7.5</v>
      </c>
      <c r="AG220" s="238">
        <v>13</v>
      </c>
    </row>
    <row r="221" spans="1:33" s="239" customFormat="1" ht="23.5" customHeight="1">
      <c r="A221" s="186">
        <v>512</v>
      </c>
      <c r="B221" s="213">
        <v>61</v>
      </c>
      <c r="C221" s="227" t="s">
        <v>52</v>
      </c>
      <c r="D221" s="217">
        <v>1034</v>
      </c>
      <c r="E221" s="188">
        <f>VLOOKUP(D221,รายแปลง!E:G,3,FALSE)</f>
        <v>906153</v>
      </c>
      <c r="F221" s="201">
        <v>7.7949999999999999</v>
      </c>
      <c r="G221" s="249" t="s">
        <v>40</v>
      </c>
      <c r="H221" s="201">
        <v>3.0034000000000001</v>
      </c>
      <c r="I221" s="201">
        <v>1.369474518915303</v>
      </c>
      <c r="J221" s="249" t="s">
        <v>41</v>
      </c>
      <c r="K221" s="202">
        <v>33.095129976515359</v>
      </c>
      <c r="L221" s="254" t="s">
        <v>28</v>
      </c>
      <c r="M221" s="202">
        <v>105.46328501566992</v>
      </c>
      <c r="N221" s="254" t="s">
        <v>29</v>
      </c>
      <c r="O221" s="203">
        <v>2707.6108701608773</v>
      </c>
      <c r="P221" s="203">
        <v>54.715584524961969</v>
      </c>
      <c r="Q221" s="203">
        <v>111.15718286320448</v>
      </c>
      <c r="R221" s="233" t="s">
        <v>31</v>
      </c>
      <c r="S221" s="234" t="s">
        <v>32</v>
      </c>
      <c r="T221" s="234" t="s">
        <v>33</v>
      </c>
      <c r="U221" s="235">
        <v>16</v>
      </c>
      <c r="V221" s="235">
        <v>8</v>
      </c>
      <c r="W221" s="235">
        <v>8</v>
      </c>
      <c r="X221" s="236" t="s">
        <v>34</v>
      </c>
      <c r="Y221" s="236">
        <v>50</v>
      </c>
      <c r="Z221" s="237">
        <v>21</v>
      </c>
      <c r="AA221" s="237">
        <v>7</v>
      </c>
      <c r="AB221" s="237">
        <v>18</v>
      </c>
      <c r="AC221" s="236" t="s">
        <v>35</v>
      </c>
      <c r="AD221" s="236">
        <v>50</v>
      </c>
      <c r="AE221" s="238">
        <v>18.5</v>
      </c>
      <c r="AF221" s="238">
        <v>7.5</v>
      </c>
      <c r="AG221" s="238">
        <v>13</v>
      </c>
    </row>
    <row r="222" spans="1:33" s="239" customFormat="1" ht="23.5" customHeight="1">
      <c r="A222" s="186">
        <v>513</v>
      </c>
      <c r="B222" s="213">
        <v>61</v>
      </c>
      <c r="C222" s="227" t="s">
        <v>52</v>
      </c>
      <c r="D222" s="217">
        <v>1036</v>
      </c>
      <c r="E222" s="188">
        <f>VLOOKUP(D222,รายแปลง!E:G,3,FALSE)</f>
        <v>906127</v>
      </c>
      <c r="F222" s="201">
        <v>7.93</v>
      </c>
      <c r="G222" s="249" t="s">
        <v>40</v>
      </c>
      <c r="H222" s="201">
        <v>3.1621600000000001</v>
      </c>
      <c r="I222" s="201">
        <v>1.2864645442159488</v>
      </c>
      <c r="J222" s="249" t="s">
        <v>41</v>
      </c>
      <c r="K222" s="202">
        <v>19.051466607575286</v>
      </c>
      <c r="L222" s="254" t="s">
        <v>41</v>
      </c>
      <c r="M222" s="202">
        <v>108.70021068179312</v>
      </c>
      <c r="N222" s="254" t="s">
        <v>29</v>
      </c>
      <c r="O222" s="203">
        <v>2963.6993045841482</v>
      </c>
      <c r="P222" s="203">
        <v>72.066137211159514</v>
      </c>
      <c r="Q222" s="203">
        <v>115.4201318795368</v>
      </c>
      <c r="R222" s="233" t="s">
        <v>31</v>
      </c>
      <c r="S222" s="234" t="s">
        <v>42</v>
      </c>
      <c r="T222" s="234" t="s">
        <v>33</v>
      </c>
      <c r="U222" s="235">
        <v>16</v>
      </c>
      <c r="V222" s="235">
        <v>16</v>
      </c>
      <c r="W222" s="235">
        <v>8</v>
      </c>
      <c r="X222" s="236" t="s">
        <v>39</v>
      </c>
      <c r="Y222" s="236">
        <v>50</v>
      </c>
      <c r="Z222" s="237">
        <v>21</v>
      </c>
      <c r="AA222" s="237">
        <v>7</v>
      </c>
      <c r="AB222" s="237">
        <v>18</v>
      </c>
      <c r="AC222" s="236" t="s">
        <v>35</v>
      </c>
      <c r="AD222" s="236">
        <v>50</v>
      </c>
      <c r="AE222" s="238">
        <v>18.5</v>
      </c>
      <c r="AF222" s="238">
        <v>11.5</v>
      </c>
      <c r="AG222" s="238">
        <v>13</v>
      </c>
    </row>
    <row r="223" spans="1:33" s="239" customFormat="1" ht="23.5" customHeight="1">
      <c r="A223" s="186">
        <v>514</v>
      </c>
      <c r="B223" s="213">
        <v>61</v>
      </c>
      <c r="C223" s="227" t="s">
        <v>52</v>
      </c>
      <c r="D223" s="217">
        <v>1038</v>
      </c>
      <c r="E223" s="188">
        <f>VLOOKUP(D223,รายแปลง!E:G,3,FALSE)</f>
        <v>906122</v>
      </c>
      <c r="F223" s="201">
        <v>7.96</v>
      </c>
      <c r="G223" s="249" t="s">
        <v>40</v>
      </c>
      <c r="H223" s="201">
        <v>7.0017999999999994</v>
      </c>
      <c r="I223" s="201">
        <v>1.1539193431692336</v>
      </c>
      <c r="J223" s="249" t="s">
        <v>41</v>
      </c>
      <c r="K223" s="202">
        <v>48.319978872990731</v>
      </c>
      <c r="L223" s="254" t="s">
        <v>29</v>
      </c>
      <c r="M223" s="202">
        <v>73.320661351453552</v>
      </c>
      <c r="N223" s="254" t="s">
        <v>28</v>
      </c>
      <c r="O223" s="203">
        <v>2140.3896240172085</v>
      </c>
      <c r="P223" s="203">
        <v>57.953570269869971</v>
      </c>
      <c r="Q223" s="203">
        <v>222.72942854549564</v>
      </c>
      <c r="R223" s="233" t="s">
        <v>31</v>
      </c>
      <c r="S223" s="234" t="s">
        <v>32</v>
      </c>
      <c r="T223" s="234" t="s">
        <v>43</v>
      </c>
      <c r="U223" s="235">
        <v>16</v>
      </c>
      <c r="V223" s="235">
        <v>16</v>
      </c>
      <c r="W223" s="235">
        <v>8</v>
      </c>
      <c r="X223" s="236" t="s">
        <v>39</v>
      </c>
      <c r="Y223" s="236">
        <v>50</v>
      </c>
      <c r="Z223" s="237">
        <v>15</v>
      </c>
      <c r="AA223" s="237">
        <v>7</v>
      </c>
      <c r="AB223" s="237">
        <v>18</v>
      </c>
      <c r="AC223" s="236" t="s">
        <v>51</v>
      </c>
      <c r="AD223" s="236">
        <v>50</v>
      </c>
      <c r="AE223" s="238">
        <v>15.5</v>
      </c>
      <c r="AF223" s="238">
        <v>11.5</v>
      </c>
      <c r="AG223" s="238">
        <v>13</v>
      </c>
    </row>
    <row r="224" spans="1:33" s="239" customFormat="1" ht="23.5" customHeight="1">
      <c r="A224" s="186">
        <v>515</v>
      </c>
      <c r="B224" s="213">
        <v>61</v>
      </c>
      <c r="C224" s="227" t="s">
        <v>52</v>
      </c>
      <c r="D224" s="217">
        <v>1040</v>
      </c>
      <c r="E224" s="188">
        <f>VLOOKUP(D224,รายแปลง!E:G,3,FALSE)</f>
        <v>906116</v>
      </c>
      <c r="F224" s="201">
        <v>7.4649999999999999</v>
      </c>
      <c r="G224" s="249" t="s">
        <v>40</v>
      </c>
      <c r="H224" s="201">
        <v>2.5800399999999999</v>
      </c>
      <c r="I224" s="201">
        <v>1.2007868305878449</v>
      </c>
      <c r="J224" s="249" t="s">
        <v>41</v>
      </c>
      <c r="K224" s="202">
        <v>2.9529644092081471</v>
      </c>
      <c r="L224" s="254" t="s">
        <v>47</v>
      </c>
      <c r="M224" s="202">
        <v>95.637946508433402</v>
      </c>
      <c r="N224" s="254" t="s">
        <v>29</v>
      </c>
      <c r="O224" s="203">
        <v>2609.1963198243634</v>
      </c>
      <c r="P224" s="203">
        <v>61.481734266830557</v>
      </c>
      <c r="Q224" s="203">
        <v>330.47012398399374</v>
      </c>
      <c r="R224" s="233" t="s">
        <v>31</v>
      </c>
      <c r="S224" s="234" t="s">
        <v>43</v>
      </c>
      <c r="T224" s="234" t="s">
        <v>33</v>
      </c>
      <c r="U224" s="235">
        <v>16</v>
      </c>
      <c r="V224" s="235">
        <v>16</v>
      </c>
      <c r="W224" s="235">
        <v>8</v>
      </c>
      <c r="X224" s="236" t="s">
        <v>39</v>
      </c>
      <c r="Y224" s="236">
        <v>50</v>
      </c>
      <c r="Z224" s="237">
        <v>21</v>
      </c>
      <c r="AA224" s="237">
        <v>7</v>
      </c>
      <c r="AB224" s="237">
        <v>18</v>
      </c>
      <c r="AC224" s="236" t="s">
        <v>35</v>
      </c>
      <c r="AD224" s="236">
        <v>50</v>
      </c>
      <c r="AE224" s="238">
        <v>18.5</v>
      </c>
      <c r="AF224" s="238">
        <v>11.5</v>
      </c>
      <c r="AG224" s="238">
        <v>13</v>
      </c>
    </row>
    <row r="225" spans="1:33" s="239" customFormat="1" ht="23.5" customHeight="1">
      <c r="A225" s="186">
        <v>516</v>
      </c>
      <c r="B225" s="213">
        <v>61</v>
      </c>
      <c r="C225" s="230" t="s">
        <v>58</v>
      </c>
      <c r="D225" s="217">
        <v>804601</v>
      </c>
      <c r="E225" s="188">
        <f>VLOOKUP(D225,รายแปลง!E:G,3,FALSE)</f>
        <v>924101</v>
      </c>
      <c r="F225" s="201">
        <v>7.6750000000000007</v>
      </c>
      <c r="G225" s="249" t="s">
        <v>40</v>
      </c>
      <c r="H225" s="201">
        <v>3.7442799999999998</v>
      </c>
      <c r="I225" s="201">
        <v>1.9224348419395141</v>
      </c>
      <c r="J225" s="249" t="s">
        <v>28</v>
      </c>
      <c r="K225" s="202">
        <v>85.201379067043177</v>
      </c>
      <c r="L225" s="254" t="s">
        <v>29</v>
      </c>
      <c r="M225" s="202">
        <v>191.60348331580812</v>
      </c>
      <c r="N225" s="254" t="s">
        <v>30</v>
      </c>
      <c r="O225" s="203">
        <v>2598.6641005758297</v>
      </c>
      <c r="P225" s="203">
        <v>84.983185983869049</v>
      </c>
      <c r="Q225" s="203">
        <v>324.25199054388685</v>
      </c>
      <c r="R225" s="233" t="s">
        <v>31</v>
      </c>
      <c r="S225" s="234" t="s">
        <v>32</v>
      </c>
      <c r="T225" s="234" t="s">
        <v>33</v>
      </c>
      <c r="U225" s="235">
        <v>16</v>
      </c>
      <c r="V225" s="235">
        <v>8</v>
      </c>
      <c r="W225" s="235">
        <v>8</v>
      </c>
      <c r="X225" s="236" t="s">
        <v>34</v>
      </c>
      <c r="Y225" s="236">
        <v>50</v>
      </c>
      <c r="Z225" s="237">
        <v>21</v>
      </c>
      <c r="AA225" s="237">
        <v>7</v>
      </c>
      <c r="AB225" s="237">
        <v>18</v>
      </c>
      <c r="AC225" s="236" t="s">
        <v>35</v>
      </c>
      <c r="AD225" s="236">
        <v>50</v>
      </c>
      <c r="AE225" s="238">
        <v>18.5</v>
      </c>
      <c r="AF225" s="238">
        <v>7.5</v>
      </c>
      <c r="AG225" s="238">
        <v>13</v>
      </c>
    </row>
    <row r="226" spans="1:33" s="239" customFormat="1" ht="23.5" customHeight="1">
      <c r="A226" s="186">
        <v>517</v>
      </c>
      <c r="B226" s="213">
        <v>61</v>
      </c>
      <c r="C226" s="230" t="s">
        <v>58</v>
      </c>
      <c r="D226" s="217">
        <v>804602</v>
      </c>
      <c r="E226" s="188">
        <f>VLOOKUP(D226,รายแปลง!E:G,3,FALSE)</f>
        <v>924102</v>
      </c>
      <c r="F226" s="201">
        <v>7.8250000000000002</v>
      </c>
      <c r="G226" s="249" t="s">
        <v>40</v>
      </c>
      <c r="H226" s="201">
        <v>3.9089200000000002</v>
      </c>
      <c r="I226" s="201">
        <v>1.8117055691399528</v>
      </c>
      <c r="J226" s="249" t="s">
        <v>28</v>
      </c>
      <c r="K226" s="202">
        <v>82.220085098749493</v>
      </c>
      <c r="L226" s="254" t="s">
        <v>29</v>
      </c>
      <c r="M226" s="202">
        <v>195.70664014001852</v>
      </c>
      <c r="N226" s="254" t="s">
        <v>30</v>
      </c>
      <c r="O226" s="203">
        <v>2616.3140514265169</v>
      </c>
      <c r="P226" s="203">
        <v>86.192030443490282</v>
      </c>
      <c r="Q226" s="203">
        <v>326.42314479958151</v>
      </c>
      <c r="R226" s="233" t="s">
        <v>31</v>
      </c>
      <c r="S226" s="234" t="s">
        <v>32</v>
      </c>
      <c r="T226" s="234" t="s">
        <v>33</v>
      </c>
      <c r="U226" s="235">
        <v>16</v>
      </c>
      <c r="V226" s="235">
        <v>8</v>
      </c>
      <c r="W226" s="235">
        <v>8</v>
      </c>
      <c r="X226" s="236" t="s">
        <v>34</v>
      </c>
      <c r="Y226" s="236">
        <v>50</v>
      </c>
      <c r="Z226" s="237">
        <v>21</v>
      </c>
      <c r="AA226" s="237">
        <v>7</v>
      </c>
      <c r="AB226" s="237">
        <v>18</v>
      </c>
      <c r="AC226" s="236" t="s">
        <v>35</v>
      </c>
      <c r="AD226" s="236">
        <v>50</v>
      </c>
      <c r="AE226" s="238">
        <v>18.5</v>
      </c>
      <c r="AF226" s="238">
        <v>7.5</v>
      </c>
      <c r="AG226" s="238">
        <v>13</v>
      </c>
    </row>
    <row r="227" spans="1:33" s="239" customFormat="1" ht="23.5" customHeight="1">
      <c r="A227" s="186">
        <v>518</v>
      </c>
      <c r="B227" s="213">
        <v>61</v>
      </c>
      <c r="C227" s="230" t="s">
        <v>58</v>
      </c>
      <c r="D227" s="217">
        <v>804607</v>
      </c>
      <c r="E227" s="188">
        <f>VLOOKUP(D227,รายแปลง!E:G,3,FALSE)</f>
        <v>924104</v>
      </c>
      <c r="F227" s="201">
        <v>7.74</v>
      </c>
      <c r="G227" s="249" t="s">
        <v>40</v>
      </c>
      <c r="H227" s="201">
        <v>3.4267599999999998</v>
      </c>
      <c r="I227" s="201">
        <v>1.7726286415347436</v>
      </c>
      <c r="J227" s="249" t="s">
        <v>28</v>
      </c>
      <c r="K227" s="202">
        <v>89.510146924348604</v>
      </c>
      <c r="L227" s="254" t="s">
        <v>29</v>
      </c>
      <c r="M227" s="202">
        <v>194.12748201956438</v>
      </c>
      <c r="N227" s="254" t="s">
        <v>30</v>
      </c>
      <c r="O227" s="203">
        <v>2614.5482018678235</v>
      </c>
      <c r="P227" s="203">
        <v>85.37913618602451</v>
      </c>
      <c r="Q227" s="203">
        <v>326.74578312526222</v>
      </c>
      <c r="R227" s="233" t="s">
        <v>31</v>
      </c>
      <c r="S227" s="234" t="s">
        <v>32</v>
      </c>
      <c r="T227" s="234" t="s">
        <v>33</v>
      </c>
      <c r="U227" s="235">
        <v>16</v>
      </c>
      <c r="V227" s="235">
        <v>8</v>
      </c>
      <c r="W227" s="235">
        <v>8</v>
      </c>
      <c r="X227" s="236" t="s">
        <v>34</v>
      </c>
      <c r="Y227" s="236">
        <v>50</v>
      </c>
      <c r="Z227" s="237">
        <v>21</v>
      </c>
      <c r="AA227" s="237">
        <v>7</v>
      </c>
      <c r="AB227" s="237">
        <v>18</v>
      </c>
      <c r="AC227" s="236" t="s">
        <v>35</v>
      </c>
      <c r="AD227" s="236">
        <v>50</v>
      </c>
      <c r="AE227" s="238">
        <v>18.5</v>
      </c>
      <c r="AF227" s="238">
        <v>7.5</v>
      </c>
      <c r="AG227" s="238">
        <v>13</v>
      </c>
    </row>
    <row r="228" spans="1:33" s="239" customFormat="1" ht="23.5" customHeight="1">
      <c r="A228" s="186">
        <v>519</v>
      </c>
      <c r="B228" s="213">
        <v>61</v>
      </c>
      <c r="C228" s="230" t="s">
        <v>58</v>
      </c>
      <c r="D228" s="217">
        <v>804608</v>
      </c>
      <c r="E228" s="188">
        <f>VLOOKUP(D228,รายแปลง!E:G,3,FALSE)</f>
        <v>924106</v>
      </c>
      <c r="F228" s="201">
        <v>7.95</v>
      </c>
      <c r="G228" s="249" t="s">
        <v>40</v>
      </c>
      <c r="H228" s="201">
        <v>3.2327199999999996</v>
      </c>
      <c r="I228" s="201">
        <v>1.6816967276552941</v>
      </c>
      <c r="J228" s="249" t="s">
        <v>28</v>
      </c>
      <c r="K228" s="202">
        <v>90.470401862012025</v>
      </c>
      <c r="L228" s="254" t="s">
        <v>29</v>
      </c>
      <c r="M228" s="202">
        <v>201.22943891194268</v>
      </c>
      <c r="N228" s="254" t="s">
        <v>30</v>
      </c>
      <c r="O228" s="203">
        <v>2625.1030846578014</v>
      </c>
      <c r="P228" s="203">
        <v>84.000211246616004</v>
      </c>
      <c r="Q228" s="203">
        <v>326.44371221331738</v>
      </c>
      <c r="R228" s="233" t="s">
        <v>31</v>
      </c>
      <c r="S228" s="234" t="s">
        <v>32</v>
      </c>
      <c r="T228" s="234" t="s">
        <v>33</v>
      </c>
      <c r="U228" s="235">
        <v>16</v>
      </c>
      <c r="V228" s="235">
        <v>8</v>
      </c>
      <c r="W228" s="235">
        <v>8</v>
      </c>
      <c r="X228" s="236" t="s">
        <v>34</v>
      </c>
      <c r="Y228" s="236">
        <v>50</v>
      </c>
      <c r="Z228" s="237">
        <v>21</v>
      </c>
      <c r="AA228" s="237">
        <v>7</v>
      </c>
      <c r="AB228" s="237">
        <v>18</v>
      </c>
      <c r="AC228" s="236" t="s">
        <v>35</v>
      </c>
      <c r="AD228" s="236">
        <v>50</v>
      </c>
      <c r="AE228" s="238">
        <v>18.5</v>
      </c>
      <c r="AF228" s="238">
        <v>7.5</v>
      </c>
      <c r="AG228" s="238">
        <v>13</v>
      </c>
    </row>
    <row r="229" spans="1:33" s="239" customFormat="1" ht="23.5" customHeight="1">
      <c r="A229" s="186">
        <v>520</v>
      </c>
      <c r="B229" s="213">
        <v>61</v>
      </c>
      <c r="C229" s="230" t="s">
        <v>58</v>
      </c>
      <c r="D229" s="217">
        <v>804611</v>
      </c>
      <c r="E229" s="188">
        <f>VLOOKUP(D229,รายแปลง!E:G,3,FALSE)</f>
        <v>924110</v>
      </c>
      <c r="F229" s="201">
        <v>8.0150000000000006</v>
      </c>
      <c r="G229" s="249" t="s">
        <v>40</v>
      </c>
      <c r="H229" s="201">
        <v>3.1739199999999999</v>
      </c>
      <c r="I229" s="201">
        <v>1.8361227468358785</v>
      </c>
      <c r="J229" s="249" t="s">
        <v>28</v>
      </c>
      <c r="K229" s="202">
        <v>88.444927812627583</v>
      </c>
      <c r="L229" s="254" t="s">
        <v>29</v>
      </c>
      <c r="M229" s="202">
        <v>188.20181327129342</v>
      </c>
      <c r="N229" s="254" t="s">
        <v>30</v>
      </c>
      <c r="O229" s="203">
        <v>2550.7675106524771</v>
      </c>
      <c r="P229" s="203">
        <v>81.012750273395454</v>
      </c>
      <c r="Q229" s="203">
        <v>329.69708115709005</v>
      </c>
      <c r="R229" s="233" t="s">
        <v>31</v>
      </c>
      <c r="S229" s="234" t="s">
        <v>32</v>
      </c>
      <c r="T229" s="234" t="s">
        <v>33</v>
      </c>
      <c r="U229" s="235">
        <v>16</v>
      </c>
      <c r="V229" s="235">
        <v>8</v>
      </c>
      <c r="W229" s="235">
        <v>8</v>
      </c>
      <c r="X229" s="236" t="s">
        <v>34</v>
      </c>
      <c r="Y229" s="236">
        <v>50</v>
      </c>
      <c r="Z229" s="237">
        <v>21</v>
      </c>
      <c r="AA229" s="237">
        <v>7</v>
      </c>
      <c r="AB229" s="237">
        <v>18</v>
      </c>
      <c r="AC229" s="236" t="s">
        <v>35</v>
      </c>
      <c r="AD229" s="236">
        <v>50</v>
      </c>
      <c r="AE229" s="238">
        <v>18.5</v>
      </c>
      <c r="AF229" s="238">
        <v>7.5</v>
      </c>
      <c r="AG229" s="238">
        <v>13</v>
      </c>
    </row>
    <row r="230" spans="1:33" s="239" customFormat="1" ht="23.5" customHeight="1">
      <c r="A230" s="186">
        <v>522</v>
      </c>
      <c r="B230" s="213">
        <v>61</v>
      </c>
      <c r="C230" s="230" t="s">
        <v>58</v>
      </c>
      <c r="D230" s="217">
        <v>804628</v>
      </c>
      <c r="E230" s="188">
        <f>VLOOKUP(D230,รายแปลง!E:G,3,FALSE)</f>
        <v>924135</v>
      </c>
      <c r="F230" s="201">
        <v>8.0850000000000009</v>
      </c>
      <c r="G230" s="249" t="s">
        <v>40</v>
      </c>
      <c r="H230" s="201">
        <v>3.2444800000000003</v>
      </c>
      <c r="I230" s="201">
        <v>1.67413295559018</v>
      </c>
      <c r="J230" s="249" t="s">
        <v>28</v>
      </c>
      <c r="K230" s="202">
        <v>88.236293186866732</v>
      </c>
      <c r="L230" s="254" t="s">
        <v>29</v>
      </c>
      <c r="M230" s="202">
        <v>185.96411878719977</v>
      </c>
      <c r="N230" s="254" t="s">
        <v>30</v>
      </c>
      <c r="O230" s="203">
        <v>2593.8868305088263</v>
      </c>
      <c r="P230" s="203">
        <v>85.368184106372382</v>
      </c>
      <c r="Q230" s="203">
        <v>318.715980191521</v>
      </c>
      <c r="R230" s="233" t="s">
        <v>31</v>
      </c>
      <c r="S230" s="234" t="s">
        <v>32</v>
      </c>
      <c r="T230" s="234" t="s">
        <v>33</v>
      </c>
      <c r="U230" s="235">
        <v>16</v>
      </c>
      <c r="V230" s="235">
        <v>8</v>
      </c>
      <c r="W230" s="235">
        <v>8</v>
      </c>
      <c r="X230" s="236" t="s">
        <v>34</v>
      </c>
      <c r="Y230" s="236">
        <v>50</v>
      </c>
      <c r="Z230" s="237">
        <v>21</v>
      </c>
      <c r="AA230" s="237">
        <v>7</v>
      </c>
      <c r="AB230" s="237">
        <v>18</v>
      </c>
      <c r="AC230" s="236" t="s">
        <v>35</v>
      </c>
      <c r="AD230" s="236">
        <v>50</v>
      </c>
      <c r="AE230" s="238">
        <v>18.5</v>
      </c>
      <c r="AF230" s="238">
        <v>7.5</v>
      </c>
      <c r="AG230" s="238">
        <v>13</v>
      </c>
    </row>
    <row r="231" spans="1:33" s="239" customFormat="1" ht="23.5" customHeight="1">
      <c r="A231" s="186">
        <v>523</v>
      </c>
      <c r="B231" s="213">
        <v>61</v>
      </c>
      <c r="C231" s="230" t="s">
        <v>58</v>
      </c>
      <c r="D231" s="217">
        <v>804662</v>
      </c>
      <c r="E231" s="188">
        <f>VLOOKUP(D231,รายแปลง!E:G,3,FALSE)</f>
        <v>924103</v>
      </c>
      <c r="F231" s="201">
        <v>8.09</v>
      </c>
      <c r="G231" s="249" t="s">
        <v>40</v>
      </c>
      <c r="H231" s="201">
        <v>3.1092399999999998</v>
      </c>
      <c r="I231" s="201">
        <v>1.7490115580246346</v>
      </c>
      <c r="J231" s="249" t="s">
        <v>28</v>
      </c>
      <c r="K231" s="202">
        <v>89.849658787061514</v>
      </c>
      <c r="L231" s="254" t="s">
        <v>29</v>
      </c>
      <c r="M231" s="202">
        <v>188.75736765244096</v>
      </c>
      <c r="N231" s="254" t="s">
        <v>30</v>
      </c>
      <c r="O231" s="203">
        <v>2600.8791553374995</v>
      </c>
      <c r="P231" s="203">
        <v>87.656875640489091</v>
      </c>
      <c r="Q231" s="203">
        <v>319.18754239733937</v>
      </c>
      <c r="R231" s="233" t="s">
        <v>31</v>
      </c>
      <c r="S231" s="234" t="s">
        <v>32</v>
      </c>
      <c r="T231" s="234" t="s">
        <v>33</v>
      </c>
      <c r="U231" s="235">
        <v>16</v>
      </c>
      <c r="V231" s="235">
        <v>8</v>
      </c>
      <c r="W231" s="235">
        <v>8</v>
      </c>
      <c r="X231" s="236" t="s">
        <v>34</v>
      </c>
      <c r="Y231" s="236">
        <v>50</v>
      </c>
      <c r="Z231" s="237">
        <v>21</v>
      </c>
      <c r="AA231" s="237">
        <v>7</v>
      </c>
      <c r="AB231" s="237">
        <v>18</v>
      </c>
      <c r="AC231" s="236" t="s">
        <v>35</v>
      </c>
      <c r="AD231" s="236">
        <v>50</v>
      </c>
      <c r="AE231" s="238">
        <v>18.5</v>
      </c>
      <c r="AF231" s="238">
        <v>7.5</v>
      </c>
      <c r="AG231" s="238">
        <v>13</v>
      </c>
    </row>
    <row r="232" spans="1:33" s="239" customFormat="1" ht="23.5" customHeight="1">
      <c r="A232" s="186">
        <v>524</v>
      </c>
      <c r="B232" s="213">
        <v>61</v>
      </c>
      <c r="C232" s="230" t="s">
        <v>58</v>
      </c>
      <c r="D232" s="217">
        <v>804664</v>
      </c>
      <c r="E232" s="188">
        <f>VLOOKUP(D232,รายแปลง!E:G,3,FALSE)</f>
        <v>924107</v>
      </c>
      <c r="F232" s="201">
        <v>8.08</v>
      </c>
      <c r="G232" s="249" t="s">
        <v>40</v>
      </c>
      <c r="H232" s="201">
        <v>3.3738399999999995</v>
      </c>
      <c r="I232" s="201">
        <v>1.7702393869922659</v>
      </c>
      <c r="J232" s="249" t="s">
        <v>28</v>
      </c>
      <c r="K232" s="202">
        <v>90.029473614120604</v>
      </c>
      <c r="L232" s="254" t="s">
        <v>29</v>
      </c>
      <c r="M232" s="202">
        <v>187.57614840208183</v>
      </c>
      <c r="N232" s="254" t="s">
        <v>30</v>
      </c>
      <c r="O232" s="203">
        <v>2617.0860209418215</v>
      </c>
      <c r="P232" s="203">
        <v>87.333946635795925</v>
      </c>
      <c r="Q232" s="203">
        <v>328.33104839987755</v>
      </c>
      <c r="R232" s="233" t="s">
        <v>31</v>
      </c>
      <c r="S232" s="234" t="s">
        <v>32</v>
      </c>
      <c r="T232" s="234" t="s">
        <v>33</v>
      </c>
      <c r="U232" s="235">
        <v>16</v>
      </c>
      <c r="V232" s="235">
        <v>8</v>
      </c>
      <c r="W232" s="235">
        <v>8</v>
      </c>
      <c r="X232" s="236" t="s">
        <v>34</v>
      </c>
      <c r="Y232" s="236">
        <v>50</v>
      </c>
      <c r="Z232" s="237">
        <v>21</v>
      </c>
      <c r="AA232" s="237">
        <v>7</v>
      </c>
      <c r="AB232" s="237">
        <v>18</v>
      </c>
      <c r="AC232" s="236" t="s">
        <v>35</v>
      </c>
      <c r="AD232" s="236">
        <v>50</v>
      </c>
      <c r="AE232" s="238">
        <v>18.5</v>
      </c>
      <c r="AF232" s="238">
        <v>7.5</v>
      </c>
      <c r="AG232" s="238">
        <v>13</v>
      </c>
    </row>
    <row r="233" spans="1:33" s="239" customFormat="1" ht="23.5" customHeight="1">
      <c r="A233" s="186">
        <v>525</v>
      </c>
      <c r="B233" s="213">
        <v>61</v>
      </c>
      <c r="C233" s="230" t="s">
        <v>58</v>
      </c>
      <c r="D233" s="217">
        <v>804630</v>
      </c>
      <c r="E233" s="188">
        <f>VLOOKUP(D233,รายแปลง!E:G,3,FALSE)</f>
        <v>924134</v>
      </c>
      <c r="F233" s="201">
        <v>8.1</v>
      </c>
      <c r="G233" s="249" t="s">
        <v>40</v>
      </c>
      <c r="H233" s="201">
        <v>3.27976</v>
      </c>
      <c r="I233" s="201">
        <v>1.7201043696806537</v>
      </c>
      <c r="J233" s="249" t="s">
        <v>28</v>
      </c>
      <c r="K233" s="202">
        <v>85.426475688400629</v>
      </c>
      <c r="L233" s="254" t="s">
        <v>29</v>
      </c>
      <c r="M233" s="202">
        <v>191.80987121733233</v>
      </c>
      <c r="N233" s="254" t="s">
        <v>30</v>
      </c>
      <c r="O233" s="203">
        <v>2629.8547789077265</v>
      </c>
      <c r="P233" s="203">
        <v>86.39947364274343</v>
      </c>
      <c r="Q233" s="203">
        <v>322.55540258238705</v>
      </c>
      <c r="R233" s="233" t="s">
        <v>31</v>
      </c>
      <c r="S233" s="234" t="s">
        <v>32</v>
      </c>
      <c r="T233" s="234" t="s">
        <v>33</v>
      </c>
      <c r="U233" s="235">
        <v>16</v>
      </c>
      <c r="V233" s="235">
        <v>8</v>
      </c>
      <c r="W233" s="235">
        <v>8</v>
      </c>
      <c r="X233" s="236" t="s">
        <v>34</v>
      </c>
      <c r="Y233" s="236">
        <v>50</v>
      </c>
      <c r="Z233" s="237">
        <v>21</v>
      </c>
      <c r="AA233" s="237">
        <v>7</v>
      </c>
      <c r="AB233" s="237">
        <v>18</v>
      </c>
      <c r="AC233" s="236" t="s">
        <v>35</v>
      </c>
      <c r="AD233" s="236">
        <v>50</v>
      </c>
      <c r="AE233" s="238">
        <v>18.5</v>
      </c>
      <c r="AF233" s="238">
        <v>7.5</v>
      </c>
      <c r="AG233" s="238">
        <v>13</v>
      </c>
    </row>
    <row r="234" spans="1:33" s="239" customFormat="1" ht="23.5" customHeight="1">
      <c r="A234" s="186">
        <v>526</v>
      </c>
      <c r="B234" s="213">
        <v>61</v>
      </c>
      <c r="C234" s="230" t="s">
        <v>58</v>
      </c>
      <c r="D234" s="217">
        <v>804642</v>
      </c>
      <c r="E234" s="188">
        <f>VLOOKUP(D234,รายแปลง!E:G,3,FALSE)</f>
        <v>924118</v>
      </c>
      <c r="F234" s="201">
        <v>8.1199999999999992</v>
      </c>
      <c r="G234" s="249" t="s">
        <v>40</v>
      </c>
      <c r="H234" s="201">
        <v>3.1386399999999997</v>
      </c>
      <c r="I234" s="201">
        <v>1.8025495101206106</v>
      </c>
      <c r="J234" s="249" t="s">
        <v>28</v>
      </c>
      <c r="K234" s="202">
        <v>86.920293036967905</v>
      </c>
      <c r="L234" s="254" t="s">
        <v>29</v>
      </c>
      <c r="M234" s="202">
        <v>186.89809849541919</v>
      </c>
      <c r="N234" s="254" t="s">
        <v>30</v>
      </c>
      <c r="O234" s="203">
        <v>2612.6727311632712</v>
      </c>
      <c r="P234" s="203">
        <v>86.626045602914502</v>
      </c>
      <c r="Q234" s="203">
        <v>328.68725555284755</v>
      </c>
      <c r="R234" s="233" t="s">
        <v>31</v>
      </c>
      <c r="S234" s="234" t="s">
        <v>32</v>
      </c>
      <c r="T234" s="234" t="s">
        <v>33</v>
      </c>
      <c r="U234" s="235">
        <v>16</v>
      </c>
      <c r="V234" s="235">
        <v>8</v>
      </c>
      <c r="W234" s="235">
        <v>8</v>
      </c>
      <c r="X234" s="236" t="s">
        <v>34</v>
      </c>
      <c r="Y234" s="236">
        <v>50</v>
      </c>
      <c r="Z234" s="237">
        <v>21</v>
      </c>
      <c r="AA234" s="237">
        <v>7</v>
      </c>
      <c r="AB234" s="237">
        <v>18</v>
      </c>
      <c r="AC234" s="236" t="s">
        <v>35</v>
      </c>
      <c r="AD234" s="236">
        <v>50</v>
      </c>
      <c r="AE234" s="238">
        <v>18.5</v>
      </c>
      <c r="AF234" s="238">
        <v>7.5</v>
      </c>
      <c r="AG234" s="238">
        <v>13</v>
      </c>
    </row>
    <row r="235" spans="1:33" s="239" customFormat="1" ht="23.5" customHeight="1">
      <c r="A235" s="186">
        <v>527</v>
      </c>
      <c r="B235" s="213">
        <v>61</v>
      </c>
      <c r="C235" s="230" t="s">
        <v>58</v>
      </c>
      <c r="D235" s="217">
        <v>804648</v>
      </c>
      <c r="E235" s="188">
        <f>VLOOKUP(D235,รายแปลง!E:G,3,FALSE)</f>
        <v>924124</v>
      </c>
      <c r="F235" s="201">
        <v>8.0399999999999991</v>
      </c>
      <c r="G235" s="249" t="s">
        <v>40</v>
      </c>
      <c r="H235" s="201">
        <v>3.3679600000000001</v>
      </c>
      <c r="I235" s="201">
        <v>1.7904791914808755</v>
      </c>
      <c r="J235" s="249" t="s">
        <v>28</v>
      </c>
      <c r="K235" s="202">
        <v>84.721637748135635</v>
      </c>
      <c r="L235" s="254" t="s">
        <v>29</v>
      </c>
      <c r="M235" s="202">
        <v>200.17958786300653</v>
      </c>
      <c r="N235" s="254" t="s">
        <v>30</v>
      </c>
      <c r="O235" s="203">
        <v>2677.4763487914179</v>
      </c>
      <c r="P235" s="203">
        <v>88.221262212099873</v>
      </c>
      <c r="Q235" s="203">
        <v>326.80659877100123</v>
      </c>
      <c r="R235" s="233" t="s">
        <v>31</v>
      </c>
      <c r="S235" s="234" t="s">
        <v>32</v>
      </c>
      <c r="T235" s="234" t="s">
        <v>33</v>
      </c>
      <c r="U235" s="235">
        <v>16</v>
      </c>
      <c r="V235" s="235">
        <v>8</v>
      </c>
      <c r="W235" s="235">
        <v>8</v>
      </c>
      <c r="X235" s="236" t="s">
        <v>34</v>
      </c>
      <c r="Y235" s="236">
        <v>50</v>
      </c>
      <c r="Z235" s="237">
        <v>21</v>
      </c>
      <c r="AA235" s="237">
        <v>7</v>
      </c>
      <c r="AB235" s="237">
        <v>18</v>
      </c>
      <c r="AC235" s="236" t="s">
        <v>35</v>
      </c>
      <c r="AD235" s="236">
        <v>50</v>
      </c>
      <c r="AE235" s="238">
        <v>18.5</v>
      </c>
      <c r="AF235" s="238">
        <v>7.5</v>
      </c>
      <c r="AG235" s="238">
        <v>13</v>
      </c>
    </row>
    <row r="236" spans="1:33" s="239" customFormat="1" ht="23.5" customHeight="1">
      <c r="A236" s="186">
        <v>537</v>
      </c>
      <c r="B236" s="213">
        <v>61</v>
      </c>
      <c r="C236" s="230" t="s">
        <v>49</v>
      </c>
      <c r="D236" s="217">
        <v>801330</v>
      </c>
      <c r="E236" s="188">
        <f>VLOOKUP(D236,รายแปลง!E:G,3,FALSE)</f>
        <v>921101</v>
      </c>
      <c r="F236" s="201">
        <v>7.7850000000000001</v>
      </c>
      <c r="G236" s="249" t="s">
        <v>40</v>
      </c>
      <c r="H236" s="201">
        <v>5.0966800000000001</v>
      </c>
      <c r="I236" s="201">
        <v>2.5257481178565886</v>
      </c>
      <c r="J236" s="249" t="s">
        <v>29</v>
      </c>
      <c r="K236" s="202">
        <v>282.57795856196742</v>
      </c>
      <c r="L236" s="254" t="s">
        <v>29</v>
      </c>
      <c r="M236" s="202">
        <v>420.47338524647284</v>
      </c>
      <c r="N236" s="254" t="s">
        <v>30</v>
      </c>
      <c r="O236" s="203">
        <v>1952.5740644839357</v>
      </c>
      <c r="P236" s="203">
        <v>106.41937527431438</v>
      </c>
      <c r="Q236" s="203">
        <v>343.91359330646139</v>
      </c>
      <c r="R236" s="233" t="s">
        <v>43</v>
      </c>
      <c r="S236" s="234" t="s">
        <v>32</v>
      </c>
      <c r="T236" s="234" t="s">
        <v>33</v>
      </c>
      <c r="U236" s="235">
        <v>16</v>
      </c>
      <c r="V236" s="235">
        <v>8</v>
      </c>
      <c r="W236" s="235">
        <v>8</v>
      </c>
      <c r="X236" s="236" t="s">
        <v>34</v>
      </c>
      <c r="Y236" s="236">
        <v>50</v>
      </c>
      <c r="Z236" s="237">
        <v>21</v>
      </c>
      <c r="AA236" s="237">
        <v>7</v>
      </c>
      <c r="AB236" s="237">
        <v>18</v>
      </c>
      <c r="AC236" s="236" t="s">
        <v>35</v>
      </c>
      <c r="AD236" s="236">
        <v>50</v>
      </c>
      <c r="AE236" s="238">
        <v>18.5</v>
      </c>
      <c r="AF236" s="238">
        <v>7.5</v>
      </c>
      <c r="AG236" s="238">
        <v>13</v>
      </c>
    </row>
    <row r="237" spans="1:33" s="239" customFormat="1" ht="23.5" customHeight="1">
      <c r="A237" s="186">
        <v>538</v>
      </c>
      <c r="B237" s="213">
        <v>61</v>
      </c>
      <c r="C237" s="230" t="s">
        <v>49</v>
      </c>
      <c r="D237" s="217">
        <v>801336</v>
      </c>
      <c r="E237" s="188">
        <f>VLOOKUP(D237,รายแปลง!E:G,3,FALSE)</f>
        <v>921105</v>
      </c>
      <c r="F237" s="201">
        <v>7.8250000000000002</v>
      </c>
      <c r="G237" s="249" t="s">
        <v>40</v>
      </c>
      <c r="H237" s="201">
        <v>5.2965999999999998</v>
      </c>
      <c r="I237" s="201">
        <v>2.3546103930176132</v>
      </c>
      <c r="J237" s="249" t="s">
        <v>28</v>
      </c>
      <c r="K237" s="202">
        <v>296.89682658893332</v>
      </c>
      <c r="L237" s="254" t="s">
        <v>29</v>
      </c>
      <c r="M237" s="202">
        <v>394.43996430087975</v>
      </c>
      <c r="N237" s="254" t="s">
        <v>30</v>
      </c>
      <c r="O237" s="203">
        <v>2052.1527743527304</v>
      </c>
      <c r="P237" s="203">
        <v>105.41485928135452</v>
      </c>
      <c r="Q237" s="203">
        <v>326.62155147345788</v>
      </c>
      <c r="R237" s="233" t="s">
        <v>43</v>
      </c>
      <c r="S237" s="234" t="s">
        <v>32</v>
      </c>
      <c r="T237" s="234" t="s">
        <v>33</v>
      </c>
      <c r="U237" s="235">
        <v>16</v>
      </c>
      <c r="V237" s="235">
        <v>8</v>
      </c>
      <c r="W237" s="235">
        <v>8</v>
      </c>
      <c r="X237" s="236" t="s">
        <v>34</v>
      </c>
      <c r="Y237" s="236">
        <v>50</v>
      </c>
      <c r="Z237" s="237">
        <v>21</v>
      </c>
      <c r="AA237" s="237">
        <v>7</v>
      </c>
      <c r="AB237" s="237">
        <v>18</v>
      </c>
      <c r="AC237" s="236" t="s">
        <v>35</v>
      </c>
      <c r="AD237" s="236">
        <v>50</v>
      </c>
      <c r="AE237" s="238">
        <v>18.5</v>
      </c>
      <c r="AF237" s="238">
        <v>7.5</v>
      </c>
      <c r="AG237" s="238">
        <v>13</v>
      </c>
    </row>
    <row r="238" spans="1:33" s="239" customFormat="1" ht="23.5" customHeight="1">
      <c r="A238" s="186">
        <v>548</v>
      </c>
      <c r="B238" s="213">
        <v>61</v>
      </c>
      <c r="C238" s="223" t="s">
        <v>77</v>
      </c>
      <c r="D238" s="217">
        <v>807901</v>
      </c>
      <c r="E238" s="188">
        <f>VLOOKUP(D238,รายแปลง!E:G,3,FALSE)</f>
        <v>927101</v>
      </c>
      <c r="F238" s="201">
        <v>7.1349999999999998</v>
      </c>
      <c r="G238" s="249" t="s">
        <v>28</v>
      </c>
      <c r="H238" s="201">
        <v>1.492828</v>
      </c>
      <c r="I238" s="201">
        <v>1.8443566386817474</v>
      </c>
      <c r="J238" s="249" t="s">
        <v>28</v>
      </c>
      <c r="K238" s="202">
        <v>44.267885927213413</v>
      </c>
      <c r="L238" s="254" t="s">
        <v>29</v>
      </c>
      <c r="M238" s="202">
        <v>52.152768909798581</v>
      </c>
      <c r="N238" s="254" t="s">
        <v>41</v>
      </c>
      <c r="O238" s="203">
        <v>1196.3059725933713</v>
      </c>
      <c r="P238" s="203">
        <v>63.705142145778396</v>
      </c>
      <c r="Q238" s="203">
        <v>336.07734166649038</v>
      </c>
      <c r="R238" s="233" t="s">
        <v>31</v>
      </c>
      <c r="S238" s="234" t="s">
        <v>32</v>
      </c>
      <c r="T238" s="234" t="s">
        <v>31</v>
      </c>
      <c r="U238" s="235">
        <v>16</v>
      </c>
      <c r="V238" s="235">
        <v>8</v>
      </c>
      <c r="W238" s="235">
        <v>8</v>
      </c>
      <c r="X238" s="236" t="s">
        <v>34</v>
      </c>
      <c r="Y238" s="236">
        <v>50</v>
      </c>
      <c r="Z238" s="237">
        <v>20</v>
      </c>
      <c r="AA238" s="237">
        <v>8</v>
      </c>
      <c r="AB238" s="237">
        <v>20</v>
      </c>
      <c r="AC238" s="236" t="s">
        <v>45</v>
      </c>
      <c r="AD238" s="236">
        <v>50</v>
      </c>
      <c r="AE238" s="238">
        <v>18</v>
      </c>
      <c r="AF238" s="238">
        <v>8</v>
      </c>
      <c r="AG238" s="238">
        <v>14</v>
      </c>
    </row>
    <row r="239" spans="1:33" s="239" customFormat="1" ht="23.5" customHeight="1">
      <c r="A239" s="186">
        <v>549</v>
      </c>
      <c r="B239" s="213">
        <v>61</v>
      </c>
      <c r="C239" s="223" t="s">
        <v>77</v>
      </c>
      <c r="D239" s="217">
        <v>807904</v>
      </c>
      <c r="E239" s="188">
        <f>VLOOKUP(D239,รายแปลง!E:G,3,FALSE)</f>
        <v>927103</v>
      </c>
      <c r="F239" s="201">
        <v>6.98</v>
      </c>
      <c r="G239" s="249" t="s">
        <v>28</v>
      </c>
      <c r="H239" s="201">
        <v>1.4981200000000001</v>
      </c>
      <c r="I239" s="201">
        <v>1.8266908707759519</v>
      </c>
      <c r="J239" s="249" t="s">
        <v>28</v>
      </c>
      <c r="K239" s="202">
        <v>42.20204178405762</v>
      </c>
      <c r="L239" s="254" t="s">
        <v>29</v>
      </c>
      <c r="M239" s="202">
        <v>63.337079200859826</v>
      </c>
      <c r="N239" s="254" t="s">
        <v>28</v>
      </c>
      <c r="O239" s="203">
        <v>1191.3686404470072</v>
      </c>
      <c r="P239" s="203">
        <v>64.901342301632496</v>
      </c>
      <c r="Q239" s="203">
        <v>336.27084985223451</v>
      </c>
      <c r="R239" s="233" t="s">
        <v>31</v>
      </c>
      <c r="S239" s="234" t="s">
        <v>32</v>
      </c>
      <c r="T239" s="234" t="s">
        <v>43</v>
      </c>
      <c r="U239" s="235">
        <v>16</v>
      </c>
      <c r="V239" s="235">
        <v>16</v>
      </c>
      <c r="W239" s="235">
        <v>8</v>
      </c>
      <c r="X239" s="236" t="s">
        <v>39</v>
      </c>
      <c r="Y239" s="236">
        <v>50</v>
      </c>
      <c r="Z239" s="237">
        <v>15</v>
      </c>
      <c r="AA239" s="237">
        <v>7</v>
      </c>
      <c r="AB239" s="237">
        <v>18</v>
      </c>
      <c r="AC239" s="236" t="s">
        <v>51</v>
      </c>
      <c r="AD239" s="236">
        <v>50</v>
      </c>
      <c r="AE239" s="238">
        <v>15.5</v>
      </c>
      <c r="AF239" s="238">
        <v>11.5</v>
      </c>
      <c r="AG239" s="238">
        <v>13</v>
      </c>
    </row>
    <row r="240" spans="1:33" s="239" customFormat="1" ht="23.5" customHeight="1">
      <c r="A240" s="186">
        <v>552</v>
      </c>
      <c r="B240" s="213">
        <v>61</v>
      </c>
      <c r="C240" s="223" t="s">
        <v>77</v>
      </c>
      <c r="D240" s="217">
        <v>807922</v>
      </c>
      <c r="E240" s="188">
        <f>VLOOKUP(D240,รายแปลง!E:G,3,FALSE)</f>
        <v>927113</v>
      </c>
      <c r="F240" s="201">
        <v>6.8650000000000002</v>
      </c>
      <c r="G240" s="249" t="s">
        <v>28</v>
      </c>
      <c r="H240" s="201">
        <v>1.6139559999999999</v>
      </c>
      <c r="I240" s="201">
        <v>1.6733575033391275</v>
      </c>
      <c r="J240" s="249" t="s">
        <v>28</v>
      </c>
      <c r="K240" s="202">
        <v>130.9942821404334</v>
      </c>
      <c r="L240" s="254" t="s">
        <v>29</v>
      </c>
      <c r="M240" s="202">
        <v>97.443510076966973</v>
      </c>
      <c r="N240" s="254" t="s">
        <v>29</v>
      </c>
      <c r="O240" s="203">
        <v>1017.0501836664484</v>
      </c>
      <c r="P240" s="203">
        <v>48.821308220427071</v>
      </c>
      <c r="Q240" s="203">
        <v>331.37173482082324</v>
      </c>
      <c r="R240" s="233" t="s">
        <v>31</v>
      </c>
      <c r="S240" s="234" t="s">
        <v>32</v>
      </c>
      <c r="T240" s="234" t="s">
        <v>33</v>
      </c>
      <c r="U240" s="235">
        <v>16</v>
      </c>
      <c r="V240" s="235">
        <v>8</v>
      </c>
      <c r="W240" s="235">
        <v>8</v>
      </c>
      <c r="X240" s="236" t="s">
        <v>34</v>
      </c>
      <c r="Y240" s="236">
        <v>50</v>
      </c>
      <c r="Z240" s="237">
        <v>21</v>
      </c>
      <c r="AA240" s="237">
        <v>7</v>
      </c>
      <c r="AB240" s="237">
        <v>18</v>
      </c>
      <c r="AC240" s="236" t="s">
        <v>35</v>
      </c>
      <c r="AD240" s="236">
        <v>50</v>
      </c>
      <c r="AE240" s="238">
        <v>18.5</v>
      </c>
      <c r="AF240" s="238">
        <v>7.5</v>
      </c>
      <c r="AG240" s="238">
        <v>13</v>
      </c>
    </row>
    <row r="241" spans="1:33" s="239" customFormat="1" ht="23.5" customHeight="1">
      <c r="A241" s="186">
        <v>553</v>
      </c>
      <c r="B241" s="213">
        <v>61</v>
      </c>
      <c r="C241" s="223" t="s">
        <v>77</v>
      </c>
      <c r="D241" s="217">
        <v>807923</v>
      </c>
      <c r="E241" s="188">
        <f>VLOOKUP(D241,รายแปลง!E:G,3,FALSE)</f>
        <v>927114</v>
      </c>
      <c r="F241" s="201">
        <v>7.1</v>
      </c>
      <c r="G241" s="249" t="s">
        <v>28</v>
      </c>
      <c r="H241" s="201">
        <v>1.9050159999999998</v>
      </c>
      <c r="I241" s="201">
        <v>2.4311183525235682</v>
      </c>
      <c r="J241" s="249" t="s">
        <v>28</v>
      </c>
      <c r="K241" s="202">
        <v>48.401795342870329</v>
      </c>
      <c r="L241" s="254" t="s">
        <v>29</v>
      </c>
      <c r="M241" s="202">
        <v>106.58079733725577</v>
      </c>
      <c r="N241" s="254" t="s">
        <v>29</v>
      </c>
      <c r="O241" s="203">
        <v>2437.256323097502</v>
      </c>
      <c r="P241" s="203">
        <v>103.05799460009109</v>
      </c>
      <c r="Q241" s="203">
        <v>333.97081360435362</v>
      </c>
      <c r="R241" s="233" t="s">
        <v>43</v>
      </c>
      <c r="S241" s="234" t="s">
        <v>32</v>
      </c>
      <c r="T241" s="234" t="s">
        <v>33</v>
      </c>
      <c r="U241" s="235">
        <v>16</v>
      </c>
      <c r="V241" s="235">
        <v>8</v>
      </c>
      <c r="W241" s="235">
        <v>8</v>
      </c>
      <c r="X241" s="236" t="s">
        <v>34</v>
      </c>
      <c r="Y241" s="236">
        <v>50</v>
      </c>
      <c r="Z241" s="237">
        <v>21</v>
      </c>
      <c r="AA241" s="237">
        <v>7</v>
      </c>
      <c r="AB241" s="237">
        <v>18</v>
      </c>
      <c r="AC241" s="236" t="s">
        <v>35</v>
      </c>
      <c r="AD241" s="236">
        <v>50</v>
      </c>
      <c r="AE241" s="238">
        <v>18.5</v>
      </c>
      <c r="AF241" s="238">
        <v>7.5</v>
      </c>
      <c r="AG241" s="238">
        <v>13</v>
      </c>
    </row>
    <row r="242" spans="1:33" s="239" customFormat="1" ht="23.5" customHeight="1">
      <c r="A242" s="186">
        <v>554</v>
      </c>
      <c r="B242" s="213">
        <v>61</v>
      </c>
      <c r="C242" s="223" t="s">
        <v>77</v>
      </c>
      <c r="D242" s="217">
        <v>807925</v>
      </c>
      <c r="E242" s="188">
        <f>VLOOKUP(D242,รายแปลง!E:G,3,FALSE)</f>
        <v>927115</v>
      </c>
      <c r="F242" s="201">
        <v>7.2149999999999999</v>
      </c>
      <c r="G242" s="249" t="s">
        <v>28</v>
      </c>
      <c r="H242" s="201">
        <v>1.7127399999999999</v>
      </c>
      <c r="I242" s="201">
        <v>2.407344877686648</v>
      </c>
      <c r="J242" s="249" t="s">
        <v>28</v>
      </c>
      <c r="K242" s="202">
        <v>50.863586243551808</v>
      </c>
      <c r="L242" s="254" t="s">
        <v>29</v>
      </c>
      <c r="M242" s="202">
        <v>106.45108996051916</v>
      </c>
      <c r="N242" s="254" t="s">
        <v>29</v>
      </c>
      <c r="O242" s="203">
        <v>2450.2496426100042</v>
      </c>
      <c r="P242" s="203">
        <v>104.2745835365138</v>
      </c>
      <c r="Q242" s="203">
        <v>323.11697972247987</v>
      </c>
      <c r="R242" s="233" t="s">
        <v>43</v>
      </c>
      <c r="S242" s="234" t="s">
        <v>32</v>
      </c>
      <c r="T242" s="234" t="s">
        <v>33</v>
      </c>
      <c r="U242" s="235">
        <v>16</v>
      </c>
      <c r="V242" s="235">
        <v>8</v>
      </c>
      <c r="W242" s="235">
        <v>8</v>
      </c>
      <c r="X242" s="236" t="s">
        <v>34</v>
      </c>
      <c r="Y242" s="236">
        <v>50</v>
      </c>
      <c r="Z242" s="237">
        <v>21</v>
      </c>
      <c r="AA242" s="237">
        <v>7</v>
      </c>
      <c r="AB242" s="237">
        <v>18</v>
      </c>
      <c r="AC242" s="236" t="s">
        <v>35</v>
      </c>
      <c r="AD242" s="236">
        <v>50</v>
      </c>
      <c r="AE242" s="238">
        <v>18.5</v>
      </c>
      <c r="AF242" s="238">
        <v>7.5</v>
      </c>
      <c r="AG242" s="238">
        <v>13</v>
      </c>
    </row>
    <row r="243" spans="1:33" s="239" customFormat="1" ht="23.5" customHeight="1">
      <c r="A243" s="186">
        <v>555</v>
      </c>
      <c r="B243" s="213">
        <v>61</v>
      </c>
      <c r="C243" s="223" t="s">
        <v>77</v>
      </c>
      <c r="D243" s="217">
        <v>807927</v>
      </c>
      <c r="E243" s="188">
        <f>VLOOKUP(D243,รายแปลง!E:G,3,FALSE)</f>
        <v>927117</v>
      </c>
      <c r="F243" s="201">
        <v>7.2249999999999996</v>
      </c>
      <c r="G243" s="249" t="s">
        <v>28</v>
      </c>
      <c r="H243" s="201">
        <v>1.8438639999999999</v>
      </c>
      <c r="I243" s="201">
        <v>2.5398626088851293</v>
      </c>
      <c r="J243" s="249" t="s">
        <v>29</v>
      </c>
      <c r="K243" s="202">
        <v>56.496229430439769</v>
      </c>
      <c r="L243" s="254" t="s">
        <v>29</v>
      </c>
      <c r="M243" s="202">
        <v>120.04131603460678</v>
      </c>
      <c r="N243" s="254" t="s">
        <v>30</v>
      </c>
      <c r="O243" s="203">
        <v>2474.0017484573937</v>
      </c>
      <c r="P243" s="203">
        <v>107.4293640727043</v>
      </c>
      <c r="Q243" s="203">
        <v>343.11090238722488</v>
      </c>
      <c r="R243" s="233" t="s">
        <v>43</v>
      </c>
      <c r="S243" s="234" t="s">
        <v>32</v>
      </c>
      <c r="T243" s="234" t="s">
        <v>33</v>
      </c>
      <c r="U243" s="235">
        <v>16</v>
      </c>
      <c r="V243" s="235">
        <v>8</v>
      </c>
      <c r="W243" s="235">
        <v>8</v>
      </c>
      <c r="X243" s="236" t="s">
        <v>34</v>
      </c>
      <c r="Y243" s="236">
        <v>50</v>
      </c>
      <c r="Z243" s="237">
        <v>21</v>
      </c>
      <c r="AA243" s="237">
        <v>7</v>
      </c>
      <c r="AB243" s="237">
        <v>18</v>
      </c>
      <c r="AC243" s="236" t="s">
        <v>35</v>
      </c>
      <c r="AD243" s="236">
        <v>50</v>
      </c>
      <c r="AE243" s="238">
        <v>18.5</v>
      </c>
      <c r="AF243" s="238">
        <v>7.5</v>
      </c>
      <c r="AG243" s="238">
        <v>13</v>
      </c>
    </row>
    <row r="244" spans="1:33" s="239" customFormat="1" ht="23.5" customHeight="1">
      <c r="A244" s="186">
        <v>558</v>
      </c>
      <c r="B244" s="213">
        <v>61</v>
      </c>
      <c r="C244" s="223" t="s">
        <v>77</v>
      </c>
      <c r="D244" s="217">
        <v>807931</v>
      </c>
      <c r="E244" s="188">
        <f>VLOOKUP(D244,รายแปลง!E:G,3,FALSE)</f>
        <v>927112</v>
      </c>
      <c r="F244" s="201">
        <v>8.1750000000000007</v>
      </c>
      <c r="G244" s="249" t="s">
        <v>40</v>
      </c>
      <c r="H244" s="201">
        <v>3.6149199999999997</v>
      </c>
      <c r="I244" s="201">
        <v>2.2067093118532433</v>
      </c>
      <c r="J244" s="249" t="s">
        <v>28</v>
      </c>
      <c r="K244" s="202">
        <v>10.652281542188771</v>
      </c>
      <c r="L244" s="254" t="s">
        <v>41</v>
      </c>
      <c r="M244" s="202">
        <v>95.730113392502659</v>
      </c>
      <c r="N244" s="254" t="s">
        <v>29</v>
      </c>
      <c r="O244" s="203">
        <v>2970.0552034524458</v>
      </c>
      <c r="P244" s="203">
        <v>128.85557667610442</v>
      </c>
      <c r="Q244" s="203">
        <v>334.38962494982059</v>
      </c>
      <c r="R244" s="233" t="s">
        <v>43</v>
      </c>
      <c r="S244" s="234" t="s">
        <v>43</v>
      </c>
      <c r="T244" s="234" t="s">
        <v>33</v>
      </c>
      <c r="U244" s="235">
        <v>16</v>
      </c>
      <c r="V244" s="235">
        <v>16</v>
      </c>
      <c r="W244" s="235">
        <v>8</v>
      </c>
      <c r="X244" s="236" t="s">
        <v>39</v>
      </c>
      <c r="Y244" s="236">
        <v>50</v>
      </c>
      <c r="Z244" s="237">
        <v>15</v>
      </c>
      <c r="AA244" s="237">
        <v>7</v>
      </c>
      <c r="AB244" s="237">
        <v>18</v>
      </c>
      <c r="AC244" s="236" t="s">
        <v>51</v>
      </c>
      <c r="AD244" s="236">
        <v>50</v>
      </c>
      <c r="AE244" s="238">
        <v>15.5</v>
      </c>
      <c r="AF244" s="238">
        <v>11.5</v>
      </c>
      <c r="AG244" s="238">
        <v>13</v>
      </c>
    </row>
    <row r="245" spans="1:33" s="239" customFormat="1" ht="23.5" customHeight="1">
      <c r="A245" s="186">
        <v>559</v>
      </c>
      <c r="B245" s="213">
        <v>61</v>
      </c>
      <c r="C245" s="223" t="s">
        <v>77</v>
      </c>
      <c r="D245" s="217">
        <v>807933</v>
      </c>
      <c r="E245" s="188">
        <f>VLOOKUP(D245,รายแปลง!E:G,3,FALSE)</f>
        <v>927119</v>
      </c>
      <c r="F245" s="201">
        <v>8.18</v>
      </c>
      <c r="G245" s="249" t="s">
        <v>40</v>
      </c>
      <c r="H245" s="201">
        <v>3.7089999999999996</v>
      </c>
      <c r="I245" s="201">
        <v>2.7958996453462226</v>
      </c>
      <c r="J245" s="249" t="s">
        <v>29</v>
      </c>
      <c r="K245" s="202">
        <v>12.323186912562591</v>
      </c>
      <c r="L245" s="254" t="s">
        <v>41</v>
      </c>
      <c r="M245" s="202">
        <v>94.16576693120895</v>
      </c>
      <c r="N245" s="254" t="s">
        <v>29</v>
      </c>
      <c r="O245" s="203">
        <v>2946.5897858261751</v>
      </c>
      <c r="P245" s="203">
        <v>127.11050661421763</v>
      </c>
      <c r="Q245" s="203">
        <v>327.5310259509273</v>
      </c>
      <c r="R245" s="233" t="s">
        <v>43</v>
      </c>
      <c r="S245" s="234" t="s">
        <v>43</v>
      </c>
      <c r="T245" s="234" t="s">
        <v>33</v>
      </c>
      <c r="U245" s="235">
        <v>16</v>
      </c>
      <c r="V245" s="235">
        <v>16</v>
      </c>
      <c r="W245" s="235">
        <v>8</v>
      </c>
      <c r="X245" s="236" t="s">
        <v>39</v>
      </c>
      <c r="Y245" s="236">
        <v>50</v>
      </c>
      <c r="Z245" s="237">
        <v>15</v>
      </c>
      <c r="AA245" s="237">
        <v>7</v>
      </c>
      <c r="AB245" s="237">
        <v>18</v>
      </c>
      <c r="AC245" s="236" t="s">
        <v>51</v>
      </c>
      <c r="AD245" s="236">
        <v>50</v>
      </c>
      <c r="AE245" s="238">
        <v>15.5</v>
      </c>
      <c r="AF245" s="238">
        <v>11.5</v>
      </c>
      <c r="AG245" s="238">
        <v>13</v>
      </c>
    </row>
    <row r="246" spans="1:33" s="239" customFormat="1" ht="23.5" customHeight="1">
      <c r="A246" s="186">
        <v>560</v>
      </c>
      <c r="B246" s="213">
        <v>61</v>
      </c>
      <c r="C246" s="223" t="s">
        <v>77</v>
      </c>
      <c r="D246" s="217">
        <v>807934</v>
      </c>
      <c r="E246" s="188">
        <f>VLOOKUP(D246,รายแปลง!E:G,3,FALSE)</f>
        <v>927120</v>
      </c>
      <c r="F246" s="201">
        <v>8.1550000000000011</v>
      </c>
      <c r="G246" s="249" t="s">
        <v>40</v>
      </c>
      <c r="H246" s="201">
        <v>3.6031599999999999</v>
      </c>
      <c r="I246" s="201">
        <v>2.8234949994317708</v>
      </c>
      <c r="J246" s="249" t="s">
        <v>29</v>
      </c>
      <c r="K246" s="202">
        <v>19.414699585289512</v>
      </c>
      <c r="L246" s="254" t="s">
        <v>41</v>
      </c>
      <c r="M246" s="202">
        <v>101.12788541308612</v>
      </c>
      <c r="N246" s="254" t="s">
        <v>29</v>
      </c>
      <c r="O246" s="203">
        <v>2927.2048352528609</v>
      </c>
      <c r="P246" s="203">
        <v>128.20432274827249</v>
      </c>
      <c r="Q246" s="203">
        <v>334.17702187219925</v>
      </c>
      <c r="R246" s="233" t="s">
        <v>43</v>
      </c>
      <c r="S246" s="234" t="s">
        <v>42</v>
      </c>
      <c r="T246" s="234" t="s">
        <v>33</v>
      </c>
      <c r="U246" s="235">
        <v>16</v>
      </c>
      <c r="V246" s="235">
        <v>16</v>
      </c>
      <c r="W246" s="235">
        <v>8</v>
      </c>
      <c r="X246" s="236" t="s">
        <v>39</v>
      </c>
      <c r="Y246" s="236">
        <v>50</v>
      </c>
      <c r="Z246" s="237">
        <v>15</v>
      </c>
      <c r="AA246" s="237">
        <v>7</v>
      </c>
      <c r="AB246" s="237">
        <v>18</v>
      </c>
      <c r="AC246" s="236" t="s">
        <v>51</v>
      </c>
      <c r="AD246" s="236">
        <v>50</v>
      </c>
      <c r="AE246" s="238">
        <v>15.5</v>
      </c>
      <c r="AF246" s="238">
        <v>11.5</v>
      </c>
      <c r="AG246" s="238">
        <v>13</v>
      </c>
    </row>
    <row r="247" spans="1:33" s="239" customFormat="1" ht="23.5" customHeight="1">
      <c r="A247" s="186">
        <v>561</v>
      </c>
      <c r="B247" s="213">
        <v>61</v>
      </c>
      <c r="C247" s="223" t="s">
        <v>77</v>
      </c>
      <c r="D247" s="217">
        <v>807935</v>
      </c>
      <c r="E247" s="188">
        <f>VLOOKUP(D247,รายแปลง!E:G,3,FALSE)</f>
        <v>927121</v>
      </c>
      <c r="F247" s="201">
        <v>8.245000000000001</v>
      </c>
      <c r="G247" s="249" t="s">
        <v>40</v>
      </c>
      <c r="H247" s="201">
        <v>3.3914799999999996</v>
      </c>
      <c r="I247" s="201">
        <v>2.7669351014152337</v>
      </c>
      <c r="J247" s="249" t="s">
        <v>29</v>
      </c>
      <c r="K247" s="202">
        <v>82.737431412211066</v>
      </c>
      <c r="L247" s="254" t="s">
        <v>29</v>
      </c>
      <c r="M247" s="202">
        <v>97.880397873119293</v>
      </c>
      <c r="N247" s="254" t="s">
        <v>29</v>
      </c>
      <c r="O247" s="203">
        <v>3316.9955980115674</v>
      </c>
      <c r="P247" s="203">
        <v>69.096940042326253</v>
      </c>
      <c r="Q247" s="203">
        <v>334.35972375241602</v>
      </c>
      <c r="R247" s="233" t="s">
        <v>43</v>
      </c>
      <c r="S247" s="234" t="s">
        <v>32</v>
      </c>
      <c r="T247" s="234" t="s">
        <v>33</v>
      </c>
      <c r="U247" s="235">
        <v>16</v>
      </c>
      <c r="V247" s="235">
        <v>8</v>
      </c>
      <c r="W247" s="235">
        <v>8</v>
      </c>
      <c r="X247" s="236" t="s">
        <v>34</v>
      </c>
      <c r="Y247" s="236">
        <v>50</v>
      </c>
      <c r="Z247" s="237">
        <v>21</v>
      </c>
      <c r="AA247" s="237">
        <v>7</v>
      </c>
      <c r="AB247" s="237">
        <v>18</v>
      </c>
      <c r="AC247" s="236" t="s">
        <v>35</v>
      </c>
      <c r="AD247" s="236">
        <v>50</v>
      </c>
      <c r="AE247" s="238">
        <v>18.5</v>
      </c>
      <c r="AF247" s="238">
        <v>7.5</v>
      </c>
      <c r="AG247" s="238">
        <v>13</v>
      </c>
    </row>
    <row r="248" spans="1:33" s="239" customFormat="1" ht="23.5" customHeight="1">
      <c r="A248" s="186">
        <v>568</v>
      </c>
      <c r="B248" s="213">
        <v>61</v>
      </c>
      <c r="C248" s="223" t="s">
        <v>77</v>
      </c>
      <c r="D248" s="217" t="s">
        <v>78</v>
      </c>
      <c r="E248" s="188">
        <f>VLOOKUP(D248,รายแปลง!E:G,3,FALSE)</f>
        <v>927127</v>
      </c>
      <c r="F248" s="201">
        <v>7.68</v>
      </c>
      <c r="G248" s="249" t="s">
        <v>40</v>
      </c>
      <c r="H248" s="201">
        <v>2.121988</v>
      </c>
      <c r="I248" s="201">
        <v>2.3935166441195506</v>
      </c>
      <c r="J248" s="249" t="s">
        <v>28</v>
      </c>
      <c r="K248" s="202">
        <v>3.5306897166791877</v>
      </c>
      <c r="L248" s="254" t="s">
        <v>47</v>
      </c>
      <c r="M248" s="202">
        <v>110.53923123955889</v>
      </c>
      <c r="N248" s="254" t="s">
        <v>29</v>
      </c>
      <c r="O248" s="203">
        <v>2717.99240340185</v>
      </c>
      <c r="P248" s="203">
        <v>116.16158593211235</v>
      </c>
      <c r="Q248" s="203">
        <v>329.75031558506339</v>
      </c>
      <c r="R248" s="233" t="s">
        <v>43</v>
      </c>
      <c r="S248" s="234" t="s">
        <v>43</v>
      </c>
      <c r="T248" s="234" t="s">
        <v>33</v>
      </c>
      <c r="U248" s="235">
        <v>16</v>
      </c>
      <c r="V248" s="235">
        <v>16</v>
      </c>
      <c r="W248" s="235">
        <v>8</v>
      </c>
      <c r="X248" s="236" t="s">
        <v>39</v>
      </c>
      <c r="Y248" s="236">
        <v>50</v>
      </c>
      <c r="Z248" s="237">
        <v>15</v>
      </c>
      <c r="AA248" s="237">
        <v>7</v>
      </c>
      <c r="AB248" s="237">
        <v>18</v>
      </c>
      <c r="AC248" s="236" t="s">
        <v>51</v>
      </c>
      <c r="AD248" s="236">
        <v>50</v>
      </c>
      <c r="AE248" s="238">
        <v>15.5</v>
      </c>
      <c r="AF248" s="238">
        <v>11.5</v>
      </c>
      <c r="AG248" s="238">
        <v>13</v>
      </c>
    </row>
    <row r="249" spans="1:33" s="239" customFormat="1" ht="23.5" customHeight="1">
      <c r="A249" s="186">
        <v>572</v>
      </c>
      <c r="B249" s="213">
        <v>61</v>
      </c>
      <c r="C249" s="223" t="s">
        <v>77</v>
      </c>
      <c r="D249" s="217">
        <v>805701</v>
      </c>
      <c r="E249" s="188">
        <f>VLOOKUP(D249,รายแปลง!E:G,3,FALSE)</f>
        <v>926101</v>
      </c>
      <c r="F249" s="201">
        <v>5.9849999999999994</v>
      </c>
      <c r="G249" s="249" t="s">
        <v>28</v>
      </c>
      <c r="H249" s="201">
        <v>7.7897200000000009</v>
      </c>
      <c r="I249" s="201">
        <v>1.4338832395487193</v>
      </c>
      <c r="J249" s="249" t="s">
        <v>41</v>
      </c>
      <c r="K249" s="202">
        <v>398.42287562771054</v>
      </c>
      <c r="L249" s="254" t="s">
        <v>29</v>
      </c>
      <c r="M249" s="202">
        <v>287.88000679223984</v>
      </c>
      <c r="N249" s="254" t="s">
        <v>30</v>
      </c>
      <c r="O249" s="203">
        <v>485.40728848469405</v>
      </c>
      <c r="P249" s="203">
        <v>26.47518682646065</v>
      </c>
      <c r="Q249" s="203">
        <v>334.64934739034447</v>
      </c>
      <c r="R249" s="233" t="s">
        <v>31</v>
      </c>
      <c r="S249" s="234" t="s">
        <v>32</v>
      </c>
      <c r="T249" s="234" t="s">
        <v>33</v>
      </c>
      <c r="U249" s="235">
        <v>16</v>
      </c>
      <c r="V249" s="235">
        <v>8</v>
      </c>
      <c r="W249" s="235">
        <v>8</v>
      </c>
      <c r="X249" s="236" t="s">
        <v>34</v>
      </c>
      <c r="Y249" s="236">
        <v>50</v>
      </c>
      <c r="Z249" s="237">
        <v>21</v>
      </c>
      <c r="AA249" s="237">
        <v>7</v>
      </c>
      <c r="AB249" s="237">
        <v>18</v>
      </c>
      <c r="AC249" s="236" t="s">
        <v>35</v>
      </c>
      <c r="AD249" s="236">
        <v>50</v>
      </c>
      <c r="AE249" s="238">
        <v>18.5</v>
      </c>
      <c r="AF249" s="238">
        <v>7.5</v>
      </c>
      <c r="AG249" s="238">
        <v>13</v>
      </c>
    </row>
    <row r="250" spans="1:33" s="239" customFormat="1" ht="23.5" customHeight="1">
      <c r="A250" s="186">
        <v>574</v>
      </c>
      <c r="B250" s="213">
        <v>61</v>
      </c>
      <c r="C250" s="223" t="s">
        <v>77</v>
      </c>
      <c r="D250" s="217">
        <v>805709</v>
      </c>
      <c r="E250" s="188">
        <f>VLOOKUP(D250,รายแปลง!E:G,3,FALSE)</f>
        <v>926105</v>
      </c>
      <c r="F250" s="201">
        <v>7.1400000000000006</v>
      </c>
      <c r="G250" s="249" t="s">
        <v>28</v>
      </c>
      <c r="H250" s="201">
        <v>2.4753759999999998</v>
      </c>
      <c r="I250" s="201">
        <v>2.8545647120418458</v>
      </c>
      <c r="J250" s="249" t="s">
        <v>29</v>
      </c>
      <c r="K250" s="202">
        <v>491.15619734150982</v>
      </c>
      <c r="L250" s="254" t="s">
        <v>29</v>
      </c>
      <c r="M250" s="202">
        <v>365.42054429279506</v>
      </c>
      <c r="N250" s="254" t="s">
        <v>30</v>
      </c>
      <c r="O250" s="203">
        <v>1513.5410335379786</v>
      </c>
      <c r="P250" s="203">
        <v>78.772250760866882</v>
      </c>
      <c r="Q250" s="203">
        <v>328.94214163047559</v>
      </c>
      <c r="R250" s="233" t="s">
        <v>43</v>
      </c>
      <c r="S250" s="234" t="s">
        <v>32</v>
      </c>
      <c r="T250" s="234" t="s">
        <v>33</v>
      </c>
      <c r="U250" s="235">
        <v>16</v>
      </c>
      <c r="V250" s="235">
        <v>8</v>
      </c>
      <c r="W250" s="235">
        <v>8</v>
      </c>
      <c r="X250" s="236" t="s">
        <v>34</v>
      </c>
      <c r="Y250" s="236">
        <v>50</v>
      </c>
      <c r="Z250" s="237">
        <v>21</v>
      </c>
      <c r="AA250" s="237">
        <v>7</v>
      </c>
      <c r="AB250" s="237">
        <v>18</v>
      </c>
      <c r="AC250" s="236" t="s">
        <v>35</v>
      </c>
      <c r="AD250" s="236">
        <v>50</v>
      </c>
      <c r="AE250" s="238">
        <v>18.5</v>
      </c>
      <c r="AF250" s="238">
        <v>7.5</v>
      </c>
      <c r="AG250" s="238">
        <v>13</v>
      </c>
    </row>
    <row r="251" spans="1:33" s="239" customFormat="1" ht="23.5" customHeight="1">
      <c r="A251" s="186">
        <v>576</v>
      </c>
      <c r="B251" s="213">
        <v>61</v>
      </c>
      <c r="C251" s="223" t="s">
        <v>46</v>
      </c>
      <c r="D251" s="217">
        <v>805736</v>
      </c>
      <c r="E251" s="188">
        <f>VLOOKUP(D251,รายแปลง!E:G,3,FALSE)</f>
        <v>926104</v>
      </c>
      <c r="F251" s="201">
        <v>7.2750000000000004</v>
      </c>
      <c r="G251" s="249" t="s">
        <v>28</v>
      </c>
      <c r="H251" s="201">
        <v>2.5565199999999999</v>
      </c>
      <c r="I251" s="201">
        <v>2.8422897191396377</v>
      </c>
      <c r="J251" s="249" t="s">
        <v>29</v>
      </c>
      <c r="K251" s="202">
        <v>660.64277560506559</v>
      </c>
      <c r="L251" s="254" t="s">
        <v>29</v>
      </c>
      <c r="M251" s="202">
        <v>336.90577547604721</v>
      </c>
      <c r="N251" s="254" t="s">
        <v>30</v>
      </c>
      <c r="O251" s="203">
        <v>1408.7886873461066</v>
      </c>
      <c r="P251" s="203">
        <v>74.308073247491677</v>
      </c>
      <c r="Q251" s="203">
        <v>327.20246002162298</v>
      </c>
      <c r="R251" s="233" t="s">
        <v>43</v>
      </c>
      <c r="S251" s="234" t="s">
        <v>32</v>
      </c>
      <c r="T251" s="234" t="s">
        <v>33</v>
      </c>
      <c r="U251" s="235">
        <v>16</v>
      </c>
      <c r="V251" s="235">
        <v>8</v>
      </c>
      <c r="W251" s="235">
        <v>8</v>
      </c>
      <c r="X251" s="236" t="s">
        <v>34</v>
      </c>
      <c r="Y251" s="236">
        <v>50</v>
      </c>
      <c r="Z251" s="237">
        <v>21</v>
      </c>
      <c r="AA251" s="237">
        <v>7</v>
      </c>
      <c r="AB251" s="237">
        <v>18</v>
      </c>
      <c r="AC251" s="236" t="s">
        <v>35</v>
      </c>
      <c r="AD251" s="236">
        <v>50</v>
      </c>
      <c r="AE251" s="238">
        <v>18.5</v>
      </c>
      <c r="AF251" s="238">
        <v>7.5</v>
      </c>
      <c r="AG251" s="238">
        <v>13</v>
      </c>
    </row>
    <row r="252" spans="1:33" s="239" customFormat="1" ht="23.5" customHeight="1">
      <c r="A252" s="186">
        <v>578</v>
      </c>
      <c r="B252" s="213">
        <v>61</v>
      </c>
      <c r="C252" s="223" t="s">
        <v>77</v>
      </c>
      <c r="D252" s="217">
        <v>805755</v>
      </c>
      <c r="E252" s="188">
        <f>VLOOKUP(D252,รายแปลง!E:G,3,FALSE)</f>
        <v>926123</v>
      </c>
      <c r="F252" s="201">
        <v>7.2949999999999999</v>
      </c>
      <c r="G252" s="249" t="s">
        <v>28</v>
      </c>
      <c r="H252" s="201">
        <v>2.4965440000000001</v>
      </c>
      <c r="I252" s="201">
        <v>2.7131161255057052</v>
      </c>
      <c r="J252" s="249" t="s">
        <v>29</v>
      </c>
      <c r="K252" s="202">
        <v>645.04288628003223</v>
      </c>
      <c r="L252" s="254" t="s">
        <v>29</v>
      </c>
      <c r="M252" s="202">
        <v>398.15831211363064</v>
      </c>
      <c r="N252" s="254" t="s">
        <v>30</v>
      </c>
      <c r="O252" s="203">
        <v>1728.4251099238018</v>
      </c>
      <c r="P252" s="203">
        <v>72.533229360986169</v>
      </c>
      <c r="Q252" s="203">
        <v>326.58694776715458</v>
      </c>
      <c r="R252" s="233" t="s">
        <v>43</v>
      </c>
      <c r="S252" s="234" t="s">
        <v>32</v>
      </c>
      <c r="T252" s="234" t="s">
        <v>33</v>
      </c>
      <c r="U252" s="235">
        <v>16</v>
      </c>
      <c r="V252" s="235">
        <v>8</v>
      </c>
      <c r="W252" s="235">
        <v>8</v>
      </c>
      <c r="X252" s="236" t="s">
        <v>34</v>
      </c>
      <c r="Y252" s="236">
        <v>50</v>
      </c>
      <c r="Z252" s="237">
        <v>21</v>
      </c>
      <c r="AA252" s="237">
        <v>7</v>
      </c>
      <c r="AB252" s="237">
        <v>18</v>
      </c>
      <c r="AC252" s="236" t="s">
        <v>35</v>
      </c>
      <c r="AD252" s="236">
        <v>50</v>
      </c>
      <c r="AE252" s="238">
        <v>18.5</v>
      </c>
      <c r="AF252" s="238">
        <v>7.5</v>
      </c>
      <c r="AG252" s="238">
        <v>13</v>
      </c>
    </row>
    <row r="253" spans="1:33" s="239" customFormat="1" ht="23.5" customHeight="1">
      <c r="A253" s="186">
        <v>584</v>
      </c>
      <c r="B253" s="213">
        <v>61</v>
      </c>
      <c r="C253" s="224" t="s">
        <v>74</v>
      </c>
      <c r="D253" s="217">
        <v>806819</v>
      </c>
      <c r="E253" s="188">
        <f>VLOOKUP(D253,รายแปลง!E:G,3,FALSE)</f>
        <v>928106</v>
      </c>
      <c r="F253" s="201">
        <v>6.4649999999999999</v>
      </c>
      <c r="G253" s="249" t="s">
        <v>28</v>
      </c>
      <c r="H253" s="201">
        <v>2.4506800000000002</v>
      </c>
      <c r="I253" s="201">
        <v>1.1337711605457723</v>
      </c>
      <c r="J253" s="249" t="s">
        <v>41</v>
      </c>
      <c r="K253" s="202">
        <v>52.936060227054377</v>
      </c>
      <c r="L253" s="254" t="s">
        <v>29</v>
      </c>
      <c r="M253" s="202">
        <v>428.08210712376797</v>
      </c>
      <c r="N253" s="254" t="s">
        <v>30</v>
      </c>
      <c r="O253" s="203">
        <v>426.20750923838955</v>
      </c>
      <c r="P253" s="203">
        <v>52.810115226615558</v>
      </c>
      <c r="Q253" s="203">
        <v>339.5857642093286</v>
      </c>
      <c r="R253" s="233" t="s">
        <v>31</v>
      </c>
      <c r="S253" s="234" t="s">
        <v>32</v>
      </c>
      <c r="T253" s="234" t="s">
        <v>33</v>
      </c>
      <c r="U253" s="235">
        <v>16</v>
      </c>
      <c r="V253" s="235">
        <v>8</v>
      </c>
      <c r="W253" s="235">
        <v>8</v>
      </c>
      <c r="X253" s="236" t="s">
        <v>34</v>
      </c>
      <c r="Y253" s="236">
        <v>50</v>
      </c>
      <c r="Z253" s="237">
        <v>21</v>
      </c>
      <c r="AA253" s="237">
        <v>7</v>
      </c>
      <c r="AB253" s="237">
        <v>18</v>
      </c>
      <c r="AC253" s="236" t="s">
        <v>35</v>
      </c>
      <c r="AD253" s="236">
        <v>50</v>
      </c>
      <c r="AE253" s="238">
        <v>18.5</v>
      </c>
      <c r="AF253" s="238">
        <v>7.5</v>
      </c>
      <c r="AG253" s="238">
        <v>13</v>
      </c>
    </row>
    <row r="254" spans="1:33" s="239" customFormat="1" ht="23.5" customHeight="1">
      <c r="A254" s="186">
        <v>585</v>
      </c>
      <c r="B254" s="213">
        <v>61</v>
      </c>
      <c r="C254" s="224" t="s">
        <v>74</v>
      </c>
      <c r="D254" s="217">
        <v>806820</v>
      </c>
      <c r="E254" s="188">
        <f>VLOOKUP(D254,รายแปลง!E:G,3,FALSE)</f>
        <v>928107</v>
      </c>
      <c r="F254" s="201">
        <v>6.83</v>
      </c>
      <c r="G254" s="249" t="s">
        <v>28</v>
      </c>
      <c r="H254" s="201">
        <v>1.6098400000000002</v>
      </c>
      <c r="I254" s="201">
        <v>1.3412709876692186</v>
      </c>
      <c r="J254" s="249" t="s">
        <v>41</v>
      </c>
      <c r="K254" s="202">
        <v>30.432677598896525</v>
      </c>
      <c r="L254" s="254" t="s">
        <v>28</v>
      </c>
      <c r="M254" s="202">
        <v>406.99353615609937</v>
      </c>
      <c r="N254" s="254" t="s">
        <v>30</v>
      </c>
      <c r="O254" s="203">
        <v>480.3260455702291</v>
      </c>
      <c r="P254" s="203">
        <v>61.481918333832311</v>
      </c>
      <c r="Q254" s="203">
        <v>333.24696090740122</v>
      </c>
      <c r="R254" s="233" t="s">
        <v>31</v>
      </c>
      <c r="S254" s="234" t="s">
        <v>32</v>
      </c>
      <c r="T254" s="234" t="s">
        <v>33</v>
      </c>
      <c r="U254" s="235">
        <v>16</v>
      </c>
      <c r="V254" s="235">
        <v>8</v>
      </c>
      <c r="W254" s="235">
        <v>8</v>
      </c>
      <c r="X254" s="236" t="s">
        <v>34</v>
      </c>
      <c r="Y254" s="236">
        <v>50</v>
      </c>
      <c r="Z254" s="237">
        <v>21</v>
      </c>
      <c r="AA254" s="237">
        <v>7</v>
      </c>
      <c r="AB254" s="237">
        <v>18</v>
      </c>
      <c r="AC254" s="236" t="s">
        <v>35</v>
      </c>
      <c r="AD254" s="236">
        <v>50</v>
      </c>
      <c r="AE254" s="238">
        <v>18.5</v>
      </c>
      <c r="AF254" s="238">
        <v>7.5</v>
      </c>
      <c r="AG254" s="238">
        <v>13</v>
      </c>
    </row>
    <row r="255" spans="1:33" s="239" customFormat="1" ht="23.5" customHeight="1">
      <c r="A255" s="186">
        <v>586</v>
      </c>
      <c r="B255" s="213">
        <v>61</v>
      </c>
      <c r="C255" s="224" t="s">
        <v>74</v>
      </c>
      <c r="D255" s="217">
        <v>806821</v>
      </c>
      <c r="E255" s="188">
        <f>VLOOKUP(D255,รายแปลง!E:G,3,FALSE)</f>
        <v>928108</v>
      </c>
      <c r="F255" s="201">
        <v>6.7249999999999996</v>
      </c>
      <c r="G255" s="249" t="s">
        <v>28</v>
      </c>
      <c r="H255" s="201">
        <v>0.64375599999999999</v>
      </c>
      <c r="I255" s="201">
        <v>0.98752361002267364</v>
      </c>
      <c r="J255" s="249" t="s">
        <v>37</v>
      </c>
      <c r="K255" s="202">
        <v>30.69928696852439</v>
      </c>
      <c r="L255" s="254" t="s">
        <v>28</v>
      </c>
      <c r="M255" s="202">
        <v>55.984566223260245</v>
      </c>
      <c r="N255" s="254" t="s">
        <v>41</v>
      </c>
      <c r="O255" s="203">
        <v>716.26017412610418</v>
      </c>
      <c r="P255" s="203">
        <v>20.676306839852717</v>
      </c>
      <c r="Q255" s="203">
        <v>334.77438641415318</v>
      </c>
      <c r="R255" s="233" t="s">
        <v>38</v>
      </c>
      <c r="S255" s="234" t="s">
        <v>32</v>
      </c>
      <c r="T255" s="234" t="s">
        <v>31</v>
      </c>
      <c r="U255" s="235">
        <v>16</v>
      </c>
      <c r="V255" s="235">
        <v>8</v>
      </c>
      <c r="W255" s="235">
        <v>8</v>
      </c>
      <c r="X255" s="236" t="s">
        <v>34</v>
      </c>
      <c r="Y255" s="236">
        <v>50</v>
      </c>
      <c r="Z255" s="237">
        <v>20</v>
      </c>
      <c r="AA255" s="237">
        <v>8</v>
      </c>
      <c r="AB255" s="237">
        <v>20</v>
      </c>
      <c r="AC255" s="236" t="s">
        <v>45</v>
      </c>
      <c r="AD255" s="236">
        <v>50</v>
      </c>
      <c r="AE255" s="238">
        <v>18</v>
      </c>
      <c r="AF255" s="238">
        <v>8</v>
      </c>
      <c r="AG255" s="238">
        <v>14</v>
      </c>
    </row>
    <row r="256" spans="1:33" s="239" customFormat="1" ht="23.5" customHeight="1">
      <c r="A256" s="186">
        <v>587</v>
      </c>
      <c r="B256" s="213">
        <v>61</v>
      </c>
      <c r="C256" s="224" t="s">
        <v>74</v>
      </c>
      <c r="D256" s="217">
        <v>806825</v>
      </c>
      <c r="E256" s="188">
        <f>VLOOKUP(D256,รายแปลง!E:G,3,FALSE)</f>
        <v>928104</v>
      </c>
      <c r="F256" s="201">
        <v>6.6449999999999996</v>
      </c>
      <c r="G256" s="249" t="s">
        <v>28</v>
      </c>
      <c r="H256" s="201">
        <v>0.9071800000000001</v>
      </c>
      <c r="I256" s="201">
        <v>1.6752541002058638</v>
      </c>
      <c r="J256" s="249" t="s">
        <v>28</v>
      </c>
      <c r="K256" s="202">
        <v>115.86600841341823</v>
      </c>
      <c r="L256" s="254" t="s">
        <v>29</v>
      </c>
      <c r="M256" s="202">
        <v>99.684639827328169</v>
      </c>
      <c r="N256" s="254" t="s">
        <v>29</v>
      </c>
      <c r="O256" s="203">
        <v>1460.3988802702488</v>
      </c>
      <c r="P256" s="203">
        <v>47.686112412479361</v>
      </c>
      <c r="Q256" s="203">
        <v>335.30051609825011</v>
      </c>
      <c r="R256" s="233" t="s">
        <v>31</v>
      </c>
      <c r="S256" s="234" t="s">
        <v>32</v>
      </c>
      <c r="T256" s="234" t="s">
        <v>33</v>
      </c>
      <c r="U256" s="235">
        <v>16</v>
      </c>
      <c r="V256" s="235">
        <v>8</v>
      </c>
      <c r="W256" s="235">
        <v>8</v>
      </c>
      <c r="X256" s="236" t="s">
        <v>34</v>
      </c>
      <c r="Y256" s="236">
        <v>50</v>
      </c>
      <c r="Z256" s="237">
        <v>21</v>
      </c>
      <c r="AA256" s="237">
        <v>7</v>
      </c>
      <c r="AB256" s="237">
        <v>18</v>
      </c>
      <c r="AC256" s="236" t="s">
        <v>35</v>
      </c>
      <c r="AD256" s="236">
        <v>50</v>
      </c>
      <c r="AE256" s="238">
        <v>18.5</v>
      </c>
      <c r="AF256" s="238">
        <v>7.5</v>
      </c>
      <c r="AG256" s="238">
        <v>13</v>
      </c>
    </row>
    <row r="257" spans="1:33" s="239" customFormat="1" ht="23.5" customHeight="1">
      <c r="A257" s="186">
        <v>588</v>
      </c>
      <c r="B257" s="213">
        <v>61</v>
      </c>
      <c r="C257" s="224" t="s">
        <v>74</v>
      </c>
      <c r="D257" s="217">
        <v>806828</v>
      </c>
      <c r="E257" s="188">
        <f>VLOOKUP(D257,รายแปลง!E:G,3,FALSE)</f>
        <v>928110</v>
      </c>
      <c r="F257" s="201">
        <v>6.125</v>
      </c>
      <c r="G257" s="249" t="s">
        <v>28</v>
      </c>
      <c r="H257" s="201">
        <v>2.0390799999999998</v>
      </c>
      <c r="I257" s="201">
        <v>1.6341640565460958</v>
      </c>
      <c r="J257" s="249" t="s">
        <v>28</v>
      </c>
      <c r="K257" s="202">
        <v>132.66495048962338</v>
      </c>
      <c r="L257" s="254" t="s">
        <v>29</v>
      </c>
      <c r="M257" s="202">
        <v>121.65528327872991</v>
      </c>
      <c r="N257" s="254" t="s">
        <v>30</v>
      </c>
      <c r="O257" s="203">
        <v>981.11725131310209</v>
      </c>
      <c r="P257" s="203">
        <v>59.768874860498542</v>
      </c>
      <c r="Q257" s="203">
        <v>328.66257603783379</v>
      </c>
      <c r="R257" s="233" t="s">
        <v>31</v>
      </c>
      <c r="S257" s="234" t="s">
        <v>32</v>
      </c>
      <c r="T257" s="234" t="s">
        <v>33</v>
      </c>
      <c r="U257" s="235">
        <v>16</v>
      </c>
      <c r="V257" s="235">
        <v>8</v>
      </c>
      <c r="W257" s="235">
        <v>8</v>
      </c>
      <c r="X257" s="236" t="s">
        <v>34</v>
      </c>
      <c r="Y257" s="236">
        <v>50</v>
      </c>
      <c r="Z257" s="237">
        <v>21</v>
      </c>
      <c r="AA257" s="237">
        <v>7</v>
      </c>
      <c r="AB257" s="237">
        <v>18</v>
      </c>
      <c r="AC257" s="236" t="s">
        <v>35</v>
      </c>
      <c r="AD257" s="236">
        <v>50</v>
      </c>
      <c r="AE257" s="238">
        <v>18.5</v>
      </c>
      <c r="AF257" s="238">
        <v>7.5</v>
      </c>
      <c r="AG257" s="238">
        <v>13</v>
      </c>
    </row>
    <row r="258" spans="1:33" s="239" customFormat="1" ht="23.5" customHeight="1">
      <c r="A258" s="186">
        <v>589</v>
      </c>
      <c r="B258" s="213">
        <v>61</v>
      </c>
      <c r="C258" s="224" t="s">
        <v>74</v>
      </c>
      <c r="D258" s="217">
        <v>806829</v>
      </c>
      <c r="E258" s="188">
        <f>VLOOKUP(D258,รายแปลง!E:G,3,FALSE)</f>
        <v>928111</v>
      </c>
      <c r="F258" s="201">
        <v>7.6199999999999992</v>
      </c>
      <c r="G258" s="249" t="s">
        <v>40</v>
      </c>
      <c r="H258" s="201">
        <v>0.97538800000000003</v>
      </c>
      <c r="I258" s="201">
        <v>1.2286500857970704</v>
      </c>
      <c r="J258" s="249" t="s">
        <v>41</v>
      </c>
      <c r="K258" s="202">
        <v>31.764431400834781</v>
      </c>
      <c r="L258" s="254" t="s">
        <v>28</v>
      </c>
      <c r="M258" s="202">
        <v>142.53163458909953</v>
      </c>
      <c r="N258" s="254" t="s">
        <v>30</v>
      </c>
      <c r="O258" s="203">
        <v>1838.0990323148167</v>
      </c>
      <c r="P258" s="203">
        <v>36.391050099289352</v>
      </c>
      <c r="Q258" s="203">
        <v>338.44358789569606</v>
      </c>
      <c r="R258" s="233" t="s">
        <v>31</v>
      </c>
      <c r="S258" s="234" t="s">
        <v>32</v>
      </c>
      <c r="T258" s="234" t="s">
        <v>33</v>
      </c>
      <c r="U258" s="235">
        <v>16</v>
      </c>
      <c r="V258" s="235">
        <v>8</v>
      </c>
      <c r="W258" s="235">
        <v>8</v>
      </c>
      <c r="X258" s="236" t="s">
        <v>34</v>
      </c>
      <c r="Y258" s="236">
        <v>50</v>
      </c>
      <c r="Z258" s="237">
        <v>21</v>
      </c>
      <c r="AA258" s="237">
        <v>7</v>
      </c>
      <c r="AB258" s="237">
        <v>18</v>
      </c>
      <c r="AC258" s="236" t="s">
        <v>35</v>
      </c>
      <c r="AD258" s="236">
        <v>50</v>
      </c>
      <c r="AE258" s="238">
        <v>18.5</v>
      </c>
      <c r="AF258" s="238">
        <v>7.5</v>
      </c>
      <c r="AG258" s="238">
        <v>13</v>
      </c>
    </row>
    <row r="259" spans="1:33" s="239" customFormat="1" ht="23.5" customHeight="1">
      <c r="A259" s="186">
        <v>593</v>
      </c>
      <c r="B259" s="213">
        <v>61</v>
      </c>
      <c r="C259" s="224" t="s">
        <v>74</v>
      </c>
      <c r="D259" s="217">
        <v>806843</v>
      </c>
      <c r="E259" s="188">
        <f>VLOOKUP(D259,รายแปลง!E:G,3,FALSE)</f>
        <v>928134</v>
      </c>
      <c r="F259" s="201">
        <v>6.3849999999999998</v>
      </c>
      <c r="G259" s="249" t="s">
        <v>28</v>
      </c>
      <c r="H259" s="201">
        <v>6.3373600000000003</v>
      </c>
      <c r="I259" s="201">
        <v>1.1516098113547084</v>
      </c>
      <c r="J259" s="249" t="s">
        <v>41</v>
      </c>
      <c r="K259" s="202">
        <v>85.492011428326023</v>
      </c>
      <c r="L259" s="254" t="s">
        <v>29</v>
      </c>
      <c r="M259" s="202">
        <v>211.72640519513445</v>
      </c>
      <c r="N259" s="254" t="s">
        <v>30</v>
      </c>
      <c r="O259" s="203">
        <v>450.55187937174395</v>
      </c>
      <c r="P259" s="203">
        <v>34.392816451840062</v>
      </c>
      <c r="Q259" s="203">
        <v>329.65811106977014</v>
      </c>
      <c r="R259" s="233" t="s">
        <v>31</v>
      </c>
      <c r="S259" s="234" t="s">
        <v>32</v>
      </c>
      <c r="T259" s="234" t="s">
        <v>33</v>
      </c>
      <c r="U259" s="235">
        <v>16</v>
      </c>
      <c r="V259" s="235">
        <v>8</v>
      </c>
      <c r="W259" s="235">
        <v>8</v>
      </c>
      <c r="X259" s="236" t="s">
        <v>34</v>
      </c>
      <c r="Y259" s="236">
        <v>50</v>
      </c>
      <c r="Z259" s="237">
        <v>21</v>
      </c>
      <c r="AA259" s="237">
        <v>7</v>
      </c>
      <c r="AB259" s="237">
        <v>18</v>
      </c>
      <c r="AC259" s="236" t="s">
        <v>35</v>
      </c>
      <c r="AD259" s="236">
        <v>50</v>
      </c>
      <c r="AE259" s="238">
        <v>18.5</v>
      </c>
      <c r="AF259" s="238">
        <v>7.5</v>
      </c>
      <c r="AG259" s="238">
        <v>13</v>
      </c>
    </row>
    <row r="260" spans="1:33" s="239" customFormat="1" ht="23.5" customHeight="1">
      <c r="A260" s="186">
        <v>596</v>
      </c>
      <c r="B260" s="213">
        <v>61</v>
      </c>
      <c r="C260" s="224" t="s">
        <v>74</v>
      </c>
      <c r="D260" s="217">
        <v>806846</v>
      </c>
      <c r="E260" s="188">
        <f>VLOOKUP(D260,รายแปลง!E:G,3,FALSE)</f>
        <v>928137</v>
      </c>
      <c r="F260" s="201">
        <v>6.3149999999999995</v>
      </c>
      <c r="G260" s="249" t="s">
        <v>28</v>
      </c>
      <c r="H260" s="201">
        <v>0.59201199999999998</v>
      </c>
      <c r="I260" s="201">
        <v>1.6214731426134716</v>
      </c>
      <c r="J260" s="249" t="s">
        <v>28</v>
      </c>
      <c r="K260" s="202">
        <v>142.15535877919672</v>
      </c>
      <c r="L260" s="254" t="s">
        <v>29</v>
      </c>
      <c r="M260" s="202">
        <v>99.243725500291845</v>
      </c>
      <c r="N260" s="254" t="s">
        <v>29</v>
      </c>
      <c r="O260" s="203">
        <v>854.14775250201149</v>
      </c>
      <c r="P260" s="203">
        <v>37.77650042281698</v>
      </c>
      <c r="Q260" s="203">
        <v>329.71409853010863</v>
      </c>
      <c r="R260" s="233" t="s">
        <v>31</v>
      </c>
      <c r="S260" s="234" t="s">
        <v>32</v>
      </c>
      <c r="T260" s="234" t="s">
        <v>33</v>
      </c>
      <c r="U260" s="235">
        <v>16</v>
      </c>
      <c r="V260" s="235">
        <v>8</v>
      </c>
      <c r="W260" s="235">
        <v>8</v>
      </c>
      <c r="X260" s="236" t="s">
        <v>34</v>
      </c>
      <c r="Y260" s="236">
        <v>50</v>
      </c>
      <c r="Z260" s="237">
        <v>21</v>
      </c>
      <c r="AA260" s="237">
        <v>7</v>
      </c>
      <c r="AB260" s="237">
        <v>18</v>
      </c>
      <c r="AC260" s="236" t="s">
        <v>35</v>
      </c>
      <c r="AD260" s="236">
        <v>50</v>
      </c>
      <c r="AE260" s="238">
        <v>18.5</v>
      </c>
      <c r="AF260" s="238">
        <v>7.5</v>
      </c>
      <c r="AG260" s="238">
        <v>13</v>
      </c>
    </row>
    <row r="261" spans="1:33" s="239" customFormat="1" ht="23.5" customHeight="1">
      <c r="A261" s="186">
        <v>597</v>
      </c>
      <c r="B261" s="213">
        <v>61</v>
      </c>
      <c r="C261" s="224" t="s">
        <v>74</v>
      </c>
      <c r="D261" s="217">
        <v>806847</v>
      </c>
      <c r="E261" s="188">
        <f>VLOOKUP(D261,รายแปลง!E:G,3,FALSE)</f>
        <v>928138</v>
      </c>
      <c r="F261" s="201">
        <v>6.8250000000000002</v>
      </c>
      <c r="G261" s="249" t="s">
        <v>28</v>
      </c>
      <c r="H261" s="201">
        <v>1.3864000000000001</v>
      </c>
      <c r="I261" s="201">
        <v>1.6055839164595982</v>
      </c>
      <c r="J261" s="249" t="s">
        <v>28</v>
      </c>
      <c r="K261" s="202">
        <v>177.5320549644693</v>
      </c>
      <c r="L261" s="254" t="s">
        <v>29</v>
      </c>
      <c r="M261" s="202">
        <v>226.22659240633811</v>
      </c>
      <c r="N261" s="254" t="s">
        <v>30</v>
      </c>
      <c r="O261" s="203">
        <v>1098.9078870849294</v>
      </c>
      <c r="P261" s="203">
        <v>51.028449384521473</v>
      </c>
      <c r="Q261" s="203">
        <v>325.50234439203786</v>
      </c>
      <c r="R261" s="233" t="s">
        <v>31</v>
      </c>
      <c r="S261" s="234" t="s">
        <v>32</v>
      </c>
      <c r="T261" s="234" t="s">
        <v>33</v>
      </c>
      <c r="U261" s="235">
        <v>16</v>
      </c>
      <c r="V261" s="235">
        <v>8</v>
      </c>
      <c r="W261" s="235">
        <v>8</v>
      </c>
      <c r="X261" s="236" t="s">
        <v>34</v>
      </c>
      <c r="Y261" s="236">
        <v>50</v>
      </c>
      <c r="Z261" s="237">
        <v>21</v>
      </c>
      <c r="AA261" s="237">
        <v>7</v>
      </c>
      <c r="AB261" s="237">
        <v>18</v>
      </c>
      <c r="AC261" s="236" t="s">
        <v>35</v>
      </c>
      <c r="AD261" s="236">
        <v>50</v>
      </c>
      <c r="AE261" s="238">
        <v>18.5</v>
      </c>
      <c r="AF261" s="238">
        <v>7.5</v>
      </c>
      <c r="AG261" s="238">
        <v>13</v>
      </c>
    </row>
    <row r="262" spans="1:33" s="239" customFormat="1" ht="23.5" customHeight="1">
      <c r="A262" s="186">
        <v>599</v>
      </c>
      <c r="B262" s="213">
        <v>61</v>
      </c>
      <c r="C262" s="224" t="s">
        <v>74</v>
      </c>
      <c r="D262" s="217">
        <v>151</v>
      </c>
      <c r="E262" s="188">
        <f>VLOOKUP(D262,รายแปลง!E:G,3,FALSE)</f>
        <v>928119</v>
      </c>
      <c r="F262" s="201">
        <v>6.9350000000000005</v>
      </c>
      <c r="G262" s="249" t="s">
        <v>28</v>
      </c>
      <c r="H262" s="201">
        <v>3.3091600000000003</v>
      </c>
      <c r="I262" s="201">
        <v>1.9691255241906092</v>
      </c>
      <c r="J262" s="249" t="s">
        <v>28</v>
      </c>
      <c r="K262" s="202">
        <v>224.48349662797693</v>
      </c>
      <c r="L262" s="254" t="s">
        <v>29</v>
      </c>
      <c r="M262" s="202">
        <v>480.90012488059284</v>
      </c>
      <c r="N262" s="254" t="s">
        <v>30</v>
      </c>
      <c r="O262" s="203">
        <v>979.1901708570972</v>
      </c>
      <c r="P262" s="203">
        <v>74.943580104031128</v>
      </c>
      <c r="Q262" s="203">
        <v>329.49858501761196</v>
      </c>
      <c r="R262" s="233" t="s">
        <v>31</v>
      </c>
      <c r="S262" s="234" t="s">
        <v>32</v>
      </c>
      <c r="T262" s="234" t="s">
        <v>33</v>
      </c>
      <c r="U262" s="235">
        <v>16</v>
      </c>
      <c r="V262" s="235">
        <v>8</v>
      </c>
      <c r="W262" s="235">
        <v>8</v>
      </c>
      <c r="X262" s="236" t="s">
        <v>34</v>
      </c>
      <c r="Y262" s="236">
        <v>50</v>
      </c>
      <c r="Z262" s="237">
        <v>21</v>
      </c>
      <c r="AA262" s="237">
        <v>7</v>
      </c>
      <c r="AB262" s="237">
        <v>18</v>
      </c>
      <c r="AC262" s="236" t="s">
        <v>35</v>
      </c>
      <c r="AD262" s="236">
        <v>50</v>
      </c>
      <c r="AE262" s="238">
        <v>18.5</v>
      </c>
      <c r="AF262" s="238">
        <v>7.5</v>
      </c>
      <c r="AG262" s="238">
        <v>13</v>
      </c>
    </row>
    <row r="263" spans="1:33" s="239" customFormat="1" ht="23.5" customHeight="1">
      <c r="A263" s="186">
        <v>600</v>
      </c>
      <c r="B263" s="213">
        <v>61</v>
      </c>
      <c r="C263" s="224" t="s">
        <v>74</v>
      </c>
      <c r="D263" s="217">
        <v>156</v>
      </c>
      <c r="E263" s="188">
        <f>VLOOKUP(D263,รายแปลง!E:G,3,FALSE)</f>
        <v>928123</v>
      </c>
      <c r="F263" s="201">
        <v>5.1899999999999995</v>
      </c>
      <c r="G263" s="249" t="s">
        <v>56</v>
      </c>
      <c r="H263" s="201">
        <v>4.4851599999999996</v>
      </c>
      <c r="I263" s="201">
        <v>1.571361773616802</v>
      </c>
      <c r="J263" s="249" t="s">
        <v>28</v>
      </c>
      <c r="K263" s="202">
        <v>170.5840041931209</v>
      </c>
      <c r="L263" s="254" t="s">
        <v>29</v>
      </c>
      <c r="M263" s="202">
        <v>475.0980990833765</v>
      </c>
      <c r="N263" s="254" t="s">
        <v>30</v>
      </c>
      <c r="O263" s="203">
        <v>520.78642197390479</v>
      </c>
      <c r="P263" s="203">
        <v>34.742634185284466</v>
      </c>
      <c r="Q263" s="203">
        <v>328.06407240229771</v>
      </c>
      <c r="R263" s="233" t="s">
        <v>31</v>
      </c>
      <c r="S263" s="234" t="s">
        <v>32</v>
      </c>
      <c r="T263" s="234" t="s">
        <v>33</v>
      </c>
      <c r="U263" s="235">
        <v>16</v>
      </c>
      <c r="V263" s="235">
        <v>8</v>
      </c>
      <c r="W263" s="235">
        <v>8</v>
      </c>
      <c r="X263" s="236" t="s">
        <v>34</v>
      </c>
      <c r="Y263" s="236">
        <v>50</v>
      </c>
      <c r="Z263" s="237">
        <v>21</v>
      </c>
      <c r="AA263" s="237">
        <v>7</v>
      </c>
      <c r="AB263" s="237">
        <v>18</v>
      </c>
      <c r="AC263" s="236" t="s">
        <v>35</v>
      </c>
      <c r="AD263" s="236">
        <v>50</v>
      </c>
      <c r="AE263" s="238">
        <v>18.5</v>
      </c>
      <c r="AF263" s="238">
        <v>7.5</v>
      </c>
      <c r="AG263" s="238">
        <v>13</v>
      </c>
    </row>
    <row r="264" spans="1:33" s="239" customFormat="1" ht="23.5" customHeight="1">
      <c r="A264" s="186">
        <v>609</v>
      </c>
      <c r="B264" s="213">
        <v>61</v>
      </c>
      <c r="C264" s="222" t="s">
        <v>64</v>
      </c>
      <c r="D264" s="218">
        <v>806817</v>
      </c>
      <c r="E264" s="188">
        <f>VLOOKUP(D264,รายแปลง!E:G,3,FALSE)</f>
        <v>928103</v>
      </c>
      <c r="F264" s="219">
        <v>7.6850000000000005</v>
      </c>
      <c r="G264" s="253" t="s">
        <v>40</v>
      </c>
      <c r="H264" s="219">
        <v>2.8916799999999996</v>
      </c>
      <c r="I264" s="219">
        <v>1.4387104314263024</v>
      </c>
      <c r="J264" s="253" t="s">
        <v>41</v>
      </c>
      <c r="K264" s="220">
        <v>67.54681781318277</v>
      </c>
      <c r="L264" s="256" t="s">
        <v>29</v>
      </c>
      <c r="M264" s="220">
        <v>611.64705694165059</v>
      </c>
      <c r="N264" s="253" t="s">
        <v>30</v>
      </c>
      <c r="O264" s="221">
        <v>1295.127620750638</v>
      </c>
      <c r="P264" s="221">
        <v>91.211500809405692</v>
      </c>
      <c r="Q264" s="221">
        <v>509.57844029572777</v>
      </c>
      <c r="R264" s="233" t="s">
        <v>31</v>
      </c>
      <c r="S264" s="234" t="s">
        <v>32</v>
      </c>
      <c r="T264" s="234" t="s">
        <v>33</v>
      </c>
      <c r="U264" s="235">
        <v>16</v>
      </c>
      <c r="V264" s="235">
        <v>8</v>
      </c>
      <c r="W264" s="235">
        <v>8</v>
      </c>
      <c r="X264" s="236" t="s">
        <v>34</v>
      </c>
      <c r="Y264" s="236">
        <v>50</v>
      </c>
      <c r="Z264" s="237">
        <v>21</v>
      </c>
      <c r="AA264" s="237">
        <v>7</v>
      </c>
      <c r="AB264" s="237">
        <v>18</v>
      </c>
      <c r="AC264" s="236" t="s">
        <v>35</v>
      </c>
      <c r="AD264" s="236">
        <v>50</v>
      </c>
      <c r="AE264" s="238">
        <v>18.5</v>
      </c>
      <c r="AF264" s="238">
        <v>7.5</v>
      </c>
      <c r="AG264" s="238">
        <v>13</v>
      </c>
    </row>
    <row r="265" spans="1:33" s="239" customFormat="1" ht="23.5" customHeight="1">
      <c r="A265" s="186">
        <v>610</v>
      </c>
      <c r="B265" s="213">
        <v>61</v>
      </c>
      <c r="C265" s="222" t="s">
        <v>64</v>
      </c>
      <c r="D265" s="218">
        <v>806818</v>
      </c>
      <c r="E265" s="188">
        <f>VLOOKUP(D265,รายแปลง!E:G,3,FALSE)</f>
        <v>928105</v>
      </c>
      <c r="F265" s="219">
        <v>6.42</v>
      </c>
      <c r="G265" s="253" t="s">
        <v>28</v>
      </c>
      <c r="H265" s="219">
        <v>0.54026799999999997</v>
      </c>
      <c r="I265" s="219">
        <v>1.5617005668194084</v>
      </c>
      <c r="J265" s="253" t="s">
        <v>28</v>
      </c>
      <c r="K265" s="220">
        <v>60.750458136242557</v>
      </c>
      <c r="L265" s="256" t="s">
        <v>29</v>
      </c>
      <c r="M265" s="220">
        <v>230.57451814803488</v>
      </c>
      <c r="N265" s="253" t="s">
        <v>30</v>
      </c>
      <c r="O265" s="221">
        <v>974.16224141021439</v>
      </c>
      <c r="P265" s="221">
        <v>71.342950665331287</v>
      </c>
      <c r="Q265" s="221">
        <v>503.43958277430261</v>
      </c>
      <c r="R265" s="233" t="s">
        <v>31</v>
      </c>
      <c r="S265" s="234" t="s">
        <v>32</v>
      </c>
      <c r="T265" s="234" t="s">
        <v>33</v>
      </c>
      <c r="U265" s="235">
        <v>16</v>
      </c>
      <c r="V265" s="235">
        <v>8</v>
      </c>
      <c r="W265" s="235">
        <v>8</v>
      </c>
      <c r="X265" s="236" t="s">
        <v>34</v>
      </c>
      <c r="Y265" s="236">
        <v>50</v>
      </c>
      <c r="Z265" s="237">
        <v>21</v>
      </c>
      <c r="AA265" s="237">
        <v>7</v>
      </c>
      <c r="AB265" s="237">
        <v>18</v>
      </c>
      <c r="AC265" s="236" t="s">
        <v>35</v>
      </c>
      <c r="AD265" s="236">
        <v>50</v>
      </c>
      <c r="AE265" s="238">
        <v>18.5</v>
      </c>
      <c r="AF265" s="238">
        <v>7.5</v>
      </c>
      <c r="AG265" s="238">
        <v>13</v>
      </c>
    </row>
    <row r="266" spans="1:33" s="239" customFormat="1" ht="23.5" customHeight="1">
      <c r="A266" s="186">
        <v>611</v>
      </c>
      <c r="B266" s="213">
        <v>61</v>
      </c>
      <c r="C266" s="222" t="s">
        <v>64</v>
      </c>
      <c r="D266" s="218">
        <v>822</v>
      </c>
      <c r="E266" s="188">
        <f>VLOOKUP(D266,รายแปลง!E:G,3,FALSE)</f>
        <v>903108</v>
      </c>
      <c r="F266" s="219">
        <v>7.5949999999999998</v>
      </c>
      <c r="G266" s="253" t="s">
        <v>40</v>
      </c>
      <c r="H266" s="219">
        <v>0.83132800000000007</v>
      </c>
      <c r="I266" s="219">
        <v>1.4126732075352399</v>
      </c>
      <c r="J266" s="253" t="s">
        <v>41</v>
      </c>
      <c r="K266" s="220">
        <v>58.772126244345536</v>
      </c>
      <c r="L266" s="256" t="s">
        <v>29</v>
      </c>
      <c r="M266" s="220">
        <v>108.44686927101202</v>
      </c>
      <c r="N266" s="253" t="s">
        <v>29</v>
      </c>
      <c r="O266" s="221">
        <v>1149.480493845201</v>
      </c>
      <c r="P266" s="221">
        <v>61.909560115667276</v>
      </c>
      <c r="Q266" s="221">
        <v>508.92799695370906</v>
      </c>
      <c r="R266" s="233" t="s">
        <v>31</v>
      </c>
      <c r="S266" s="234" t="s">
        <v>32</v>
      </c>
      <c r="T266" s="234" t="s">
        <v>33</v>
      </c>
      <c r="U266" s="235">
        <v>16</v>
      </c>
      <c r="V266" s="235">
        <v>8</v>
      </c>
      <c r="W266" s="235">
        <v>8</v>
      </c>
      <c r="X266" s="236" t="s">
        <v>34</v>
      </c>
      <c r="Y266" s="236">
        <v>50</v>
      </c>
      <c r="Z266" s="237">
        <v>21</v>
      </c>
      <c r="AA266" s="237">
        <v>7</v>
      </c>
      <c r="AB266" s="237">
        <v>18</v>
      </c>
      <c r="AC266" s="236" t="s">
        <v>35</v>
      </c>
      <c r="AD266" s="236">
        <v>50</v>
      </c>
      <c r="AE266" s="238">
        <v>18.5</v>
      </c>
      <c r="AF266" s="238">
        <v>7.5</v>
      </c>
      <c r="AG266" s="238">
        <v>13</v>
      </c>
    </row>
    <row r="267" spans="1:33" s="239" customFormat="1" ht="23.5" customHeight="1">
      <c r="A267" s="186">
        <v>612</v>
      </c>
      <c r="B267" s="213">
        <v>61</v>
      </c>
      <c r="C267" s="222" t="s">
        <v>64</v>
      </c>
      <c r="D267" s="218">
        <v>806840</v>
      </c>
      <c r="E267" s="188">
        <f>VLOOKUP(D267,รายแปลง!E:G,3,FALSE)</f>
        <v>928124</v>
      </c>
      <c r="F267" s="219">
        <v>6.3049999999999997</v>
      </c>
      <c r="G267" s="253" t="s">
        <v>28</v>
      </c>
      <c r="H267" s="219">
        <v>0.57378400000000007</v>
      </c>
      <c r="I267" s="219">
        <v>1.6382572980666652</v>
      </c>
      <c r="J267" s="253" t="s">
        <v>28</v>
      </c>
      <c r="K267" s="220">
        <v>56.447364305248719</v>
      </c>
      <c r="L267" s="256" t="s">
        <v>29</v>
      </c>
      <c r="M267" s="220">
        <v>247.80749629113228</v>
      </c>
      <c r="N267" s="253" t="s">
        <v>30</v>
      </c>
      <c r="O267" s="221">
        <v>990.85560836124114</v>
      </c>
      <c r="P267" s="221">
        <v>63.917909676955148</v>
      </c>
      <c r="Q267" s="221">
        <v>511.0440912530928</v>
      </c>
      <c r="R267" s="233" t="s">
        <v>31</v>
      </c>
      <c r="S267" s="234" t="s">
        <v>32</v>
      </c>
      <c r="T267" s="234" t="s">
        <v>33</v>
      </c>
      <c r="U267" s="235">
        <v>16</v>
      </c>
      <c r="V267" s="235">
        <v>8</v>
      </c>
      <c r="W267" s="235">
        <v>8</v>
      </c>
      <c r="X267" s="236" t="s">
        <v>34</v>
      </c>
      <c r="Y267" s="236">
        <v>50</v>
      </c>
      <c r="Z267" s="237">
        <v>21</v>
      </c>
      <c r="AA267" s="237">
        <v>7</v>
      </c>
      <c r="AB267" s="237">
        <v>18</v>
      </c>
      <c r="AC267" s="236" t="s">
        <v>35</v>
      </c>
      <c r="AD267" s="236">
        <v>50</v>
      </c>
      <c r="AE267" s="238">
        <v>18.5</v>
      </c>
      <c r="AF267" s="238">
        <v>7.5</v>
      </c>
      <c r="AG267" s="238">
        <v>13</v>
      </c>
    </row>
    <row r="268" spans="1:33" s="239" customFormat="1" ht="23.5" customHeight="1">
      <c r="A268" s="186">
        <v>613</v>
      </c>
      <c r="B268" s="213">
        <v>61</v>
      </c>
      <c r="C268" s="227" t="s">
        <v>52</v>
      </c>
      <c r="D268" s="218">
        <v>911</v>
      </c>
      <c r="E268" s="188">
        <f>VLOOKUP(D268,รายแปลง!E:G,3,FALSE)</f>
        <v>906104</v>
      </c>
      <c r="F268" s="219">
        <v>6.5749999999999993</v>
      </c>
      <c r="G268" s="253" t="s">
        <v>28</v>
      </c>
      <c r="H268" s="219">
        <v>0.71431600000000006</v>
      </c>
      <c r="I268" s="219">
        <v>2.1626529662912342</v>
      </c>
      <c r="J268" s="253" t="s">
        <v>28</v>
      </c>
      <c r="K268" s="220">
        <v>722.76868910202313</v>
      </c>
      <c r="L268" s="256" t="s">
        <v>29</v>
      </c>
      <c r="M268" s="220">
        <v>315.15535621390046</v>
      </c>
      <c r="N268" s="253" t="s">
        <v>30</v>
      </c>
      <c r="O268" s="221">
        <v>2307.9593415801205</v>
      </c>
      <c r="P268" s="221">
        <v>110.88928446632919</v>
      </c>
      <c r="Q268" s="221">
        <v>505.25027343808154</v>
      </c>
      <c r="R268" s="233" t="s">
        <v>43</v>
      </c>
      <c r="S268" s="234" t="s">
        <v>32</v>
      </c>
      <c r="T268" s="234" t="s">
        <v>33</v>
      </c>
      <c r="U268" s="235">
        <v>16</v>
      </c>
      <c r="V268" s="235">
        <v>8</v>
      </c>
      <c r="W268" s="235">
        <v>8</v>
      </c>
      <c r="X268" s="236" t="s">
        <v>34</v>
      </c>
      <c r="Y268" s="236">
        <v>50</v>
      </c>
      <c r="Z268" s="237">
        <v>21</v>
      </c>
      <c r="AA268" s="237">
        <v>7</v>
      </c>
      <c r="AB268" s="237">
        <v>18</v>
      </c>
      <c r="AC268" s="236" t="s">
        <v>35</v>
      </c>
      <c r="AD268" s="236">
        <v>50</v>
      </c>
      <c r="AE268" s="238">
        <v>18.5</v>
      </c>
      <c r="AF268" s="238">
        <v>7.5</v>
      </c>
      <c r="AG268" s="238">
        <v>13</v>
      </c>
    </row>
    <row r="269" spans="1:33" s="239" customFormat="1" ht="23.5" customHeight="1">
      <c r="A269" s="186">
        <v>614</v>
      </c>
      <c r="B269" s="213">
        <v>61</v>
      </c>
      <c r="C269" s="227" t="s">
        <v>52</v>
      </c>
      <c r="D269" s="218">
        <v>914</v>
      </c>
      <c r="E269" s="188">
        <f>VLOOKUP(D269,รายแปลง!E:G,3,FALSE)</f>
        <v>906103</v>
      </c>
      <c r="F269" s="219">
        <v>6.7249999999999996</v>
      </c>
      <c r="G269" s="253" t="s">
        <v>28</v>
      </c>
      <c r="H269" s="219">
        <v>0.80134000000000005</v>
      </c>
      <c r="I269" s="219">
        <v>1.3542085638556001</v>
      </c>
      <c r="J269" s="253" t="s">
        <v>41</v>
      </c>
      <c r="K269" s="220">
        <v>164.19688418783653</v>
      </c>
      <c r="L269" s="256" t="s">
        <v>29</v>
      </c>
      <c r="M269" s="220">
        <v>383.0246081180826</v>
      </c>
      <c r="N269" s="253" t="s">
        <v>30</v>
      </c>
      <c r="O269" s="221">
        <v>2324.6427106977753</v>
      </c>
      <c r="P269" s="221">
        <v>92.315480044990309</v>
      </c>
      <c r="Q269" s="221">
        <v>501.88131458701793</v>
      </c>
      <c r="R269" s="233" t="s">
        <v>31</v>
      </c>
      <c r="S269" s="234" t="s">
        <v>32</v>
      </c>
      <c r="T269" s="234" t="s">
        <v>33</v>
      </c>
      <c r="U269" s="235">
        <v>16</v>
      </c>
      <c r="V269" s="235">
        <v>8</v>
      </c>
      <c r="W269" s="235">
        <v>8</v>
      </c>
      <c r="X269" s="236" t="s">
        <v>34</v>
      </c>
      <c r="Y269" s="236">
        <v>50</v>
      </c>
      <c r="Z269" s="237">
        <v>21</v>
      </c>
      <c r="AA269" s="237">
        <v>7</v>
      </c>
      <c r="AB269" s="237">
        <v>18</v>
      </c>
      <c r="AC269" s="236" t="s">
        <v>35</v>
      </c>
      <c r="AD269" s="236">
        <v>50</v>
      </c>
      <c r="AE269" s="238">
        <v>18.5</v>
      </c>
      <c r="AF269" s="238">
        <v>7.5</v>
      </c>
      <c r="AG269" s="238">
        <v>13</v>
      </c>
    </row>
    <row r="270" spans="1:33" s="239" customFormat="1" ht="23.5" customHeight="1">
      <c r="A270" s="186">
        <v>615</v>
      </c>
      <c r="B270" s="213">
        <v>61</v>
      </c>
      <c r="C270" s="227" t="s">
        <v>52</v>
      </c>
      <c r="D270" s="218">
        <v>917</v>
      </c>
      <c r="E270" s="188">
        <f>VLOOKUP(D270,รายแปลง!E:G,3,FALSE)</f>
        <v>906110</v>
      </c>
      <c r="F270" s="219">
        <v>7.085</v>
      </c>
      <c r="G270" s="253" t="s">
        <v>28</v>
      </c>
      <c r="H270" s="219">
        <v>0.78722800000000004</v>
      </c>
      <c r="I270" s="219">
        <v>1.2131640974948534</v>
      </c>
      <c r="J270" s="253" t="s">
        <v>41</v>
      </c>
      <c r="K270" s="220">
        <v>149.77443355961816</v>
      </c>
      <c r="L270" s="256" t="s">
        <v>29</v>
      </c>
      <c r="M270" s="220">
        <v>333.75029428368737</v>
      </c>
      <c r="N270" s="253" t="s">
        <v>30</v>
      </c>
      <c r="O270" s="221">
        <v>2050.2196330172555</v>
      </c>
      <c r="P270" s="221">
        <v>95.676430141544301</v>
      </c>
      <c r="Q270" s="221">
        <v>509.99142542038294</v>
      </c>
      <c r="R270" s="233" t="s">
        <v>31</v>
      </c>
      <c r="S270" s="234" t="s">
        <v>32</v>
      </c>
      <c r="T270" s="234" t="s">
        <v>33</v>
      </c>
      <c r="U270" s="235">
        <v>16</v>
      </c>
      <c r="V270" s="235">
        <v>8</v>
      </c>
      <c r="W270" s="235">
        <v>8</v>
      </c>
      <c r="X270" s="236" t="s">
        <v>34</v>
      </c>
      <c r="Y270" s="236">
        <v>50</v>
      </c>
      <c r="Z270" s="237">
        <v>21</v>
      </c>
      <c r="AA270" s="237">
        <v>7</v>
      </c>
      <c r="AB270" s="237">
        <v>18</v>
      </c>
      <c r="AC270" s="236" t="s">
        <v>35</v>
      </c>
      <c r="AD270" s="236">
        <v>50</v>
      </c>
      <c r="AE270" s="238">
        <v>18.5</v>
      </c>
      <c r="AF270" s="238">
        <v>7.5</v>
      </c>
      <c r="AG270" s="238">
        <v>13</v>
      </c>
    </row>
    <row r="271" spans="1:33" s="239" customFormat="1" ht="23.5" customHeight="1">
      <c r="A271" s="186">
        <v>616</v>
      </c>
      <c r="B271" s="213">
        <v>61</v>
      </c>
      <c r="C271" s="227" t="s">
        <v>52</v>
      </c>
      <c r="D271" s="218">
        <v>929</v>
      </c>
      <c r="E271" s="188">
        <f>VLOOKUP(D271,รายแปลง!E:G,3,FALSE)</f>
        <v>906124</v>
      </c>
      <c r="F271" s="219">
        <v>7.74</v>
      </c>
      <c r="G271" s="253" t="s">
        <v>40</v>
      </c>
      <c r="H271" s="219">
        <v>1.2870279999999998</v>
      </c>
      <c r="I271" s="219">
        <v>2.075047876537564</v>
      </c>
      <c r="J271" s="253" t="s">
        <v>28</v>
      </c>
      <c r="K271" s="220">
        <v>86.418636573322118</v>
      </c>
      <c r="L271" s="256" t="s">
        <v>29</v>
      </c>
      <c r="M271" s="220">
        <v>189.29803857428482</v>
      </c>
      <c r="N271" s="253" t="s">
        <v>30</v>
      </c>
      <c r="O271" s="221">
        <v>3326.0224261920002</v>
      </c>
      <c r="P271" s="221">
        <v>98.089908229202976</v>
      </c>
      <c r="Q271" s="221">
        <v>505.22413136151863</v>
      </c>
      <c r="R271" s="233" t="s">
        <v>43</v>
      </c>
      <c r="S271" s="234" t="s">
        <v>32</v>
      </c>
      <c r="T271" s="234" t="s">
        <v>33</v>
      </c>
      <c r="U271" s="235">
        <v>16</v>
      </c>
      <c r="V271" s="235">
        <v>8</v>
      </c>
      <c r="W271" s="235">
        <v>8</v>
      </c>
      <c r="X271" s="236" t="s">
        <v>34</v>
      </c>
      <c r="Y271" s="236">
        <v>50</v>
      </c>
      <c r="Z271" s="237">
        <v>21</v>
      </c>
      <c r="AA271" s="237">
        <v>7</v>
      </c>
      <c r="AB271" s="237">
        <v>18</v>
      </c>
      <c r="AC271" s="236" t="s">
        <v>35</v>
      </c>
      <c r="AD271" s="236">
        <v>50</v>
      </c>
      <c r="AE271" s="238">
        <v>18.5</v>
      </c>
      <c r="AF271" s="238">
        <v>7.5</v>
      </c>
      <c r="AG271" s="238">
        <v>13</v>
      </c>
    </row>
    <row r="272" spans="1:33" s="239" customFormat="1" ht="23.5" customHeight="1">
      <c r="A272" s="186">
        <v>618</v>
      </c>
      <c r="B272" s="213">
        <v>61</v>
      </c>
      <c r="C272" s="227" t="s">
        <v>52</v>
      </c>
      <c r="D272" s="218">
        <v>1037</v>
      </c>
      <c r="E272" s="188">
        <f>VLOOKUP(D272,รายแปลง!E:G,3,FALSE)</f>
        <v>906101</v>
      </c>
      <c r="F272" s="219">
        <v>7.41</v>
      </c>
      <c r="G272" s="253" t="s">
        <v>40</v>
      </c>
      <c r="H272" s="219">
        <v>0.72784000000000004</v>
      </c>
      <c r="I272" s="219">
        <v>0.85242090525513192</v>
      </c>
      <c r="J272" s="253" t="s">
        <v>37</v>
      </c>
      <c r="K272" s="220">
        <v>12.31179587662875</v>
      </c>
      <c r="L272" s="256" t="s">
        <v>41</v>
      </c>
      <c r="M272" s="220">
        <v>127.06343826995561</v>
      </c>
      <c r="N272" s="253" t="s">
        <v>30</v>
      </c>
      <c r="O272" s="221">
        <v>2126.6271059407777</v>
      </c>
      <c r="P272" s="221">
        <v>73.323770019290862</v>
      </c>
      <c r="Q272" s="221">
        <v>509.03675027718668</v>
      </c>
      <c r="R272" s="233" t="s">
        <v>38</v>
      </c>
      <c r="S272" s="234" t="s">
        <v>43</v>
      </c>
      <c r="T272" s="234" t="s">
        <v>33</v>
      </c>
      <c r="U272" s="235">
        <v>16</v>
      </c>
      <c r="V272" s="235">
        <v>16</v>
      </c>
      <c r="W272" s="235">
        <v>8</v>
      </c>
      <c r="X272" s="236" t="s">
        <v>39</v>
      </c>
      <c r="Y272" s="236">
        <v>50</v>
      </c>
      <c r="Z272" s="237">
        <v>21</v>
      </c>
      <c r="AA272" s="237">
        <v>7</v>
      </c>
      <c r="AB272" s="237">
        <v>18</v>
      </c>
      <c r="AC272" s="236" t="s">
        <v>35</v>
      </c>
      <c r="AD272" s="236">
        <v>50</v>
      </c>
      <c r="AE272" s="238">
        <v>18.5</v>
      </c>
      <c r="AF272" s="238">
        <v>11.5</v>
      </c>
      <c r="AG272" s="238">
        <v>13</v>
      </c>
    </row>
    <row r="273" spans="1:48" s="239" customFormat="1" ht="23.5" customHeight="1">
      <c r="A273" s="186">
        <v>619</v>
      </c>
      <c r="B273" s="213">
        <v>61</v>
      </c>
      <c r="C273" s="227" t="s">
        <v>52</v>
      </c>
      <c r="D273" s="218">
        <v>1039</v>
      </c>
      <c r="E273" s="188">
        <f>VLOOKUP(D273,รายแปลง!E:G,3,FALSE)</f>
        <v>906152</v>
      </c>
      <c r="F273" s="219">
        <v>6.9749999999999996</v>
      </c>
      <c r="G273" s="253" t="s">
        <v>28</v>
      </c>
      <c r="H273" s="219">
        <v>0.32212000000000002</v>
      </c>
      <c r="I273" s="219">
        <v>0.98834966423592463</v>
      </c>
      <c r="J273" s="253" t="s">
        <v>37</v>
      </c>
      <c r="K273" s="220">
        <v>7.0232679181853372</v>
      </c>
      <c r="L273" s="256" t="s">
        <v>37</v>
      </c>
      <c r="M273" s="220">
        <v>61.511385370422111</v>
      </c>
      <c r="N273" s="253" t="s">
        <v>28</v>
      </c>
      <c r="O273" s="221">
        <v>1851.2015513709225</v>
      </c>
      <c r="P273" s="221">
        <v>63.464541468661295</v>
      </c>
      <c r="Q273" s="221">
        <v>506.0004693513531</v>
      </c>
      <c r="R273" s="233" t="s">
        <v>38</v>
      </c>
      <c r="S273" s="234" t="s">
        <v>43</v>
      </c>
      <c r="T273" s="234" t="s">
        <v>43</v>
      </c>
      <c r="U273" s="235">
        <v>16</v>
      </c>
      <c r="V273" s="235">
        <v>16</v>
      </c>
      <c r="W273" s="235">
        <v>8</v>
      </c>
      <c r="X273" s="236" t="s">
        <v>39</v>
      </c>
      <c r="Y273" s="236">
        <v>50</v>
      </c>
      <c r="Z273" s="237">
        <v>21</v>
      </c>
      <c r="AA273" s="237">
        <v>7</v>
      </c>
      <c r="AB273" s="237">
        <v>18</v>
      </c>
      <c r="AC273" s="236" t="s">
        <v>35</v>
      </c>
      <c r="AD273" s="236">
        <v>50</v>
      </c>
      <c r="AE273" s="238">
        <v>18.5</v>
      </c>
      <c r="AF273" s="238">
        <v>11.5</v>
      </c>
      <c r="AG273" s="238">
        <v>13</v>
      </c>
    </row>
    <row r="274" spans="1:48" s="239" customFormat="1" ht="23.5" customHeight="1">
      <c r="A274" s="186">
        <v>620</v>
      </c>
      <c r="B274" s="213">
        <v>61</v>
      </c>
      <c r="C274" s="227" t="s">
        <v>52</v>
      </c>
      <c r="D274" s="218">
        <v>863</v>
      </c>
      <c r="E274" s="188">
        <f>VLOOKUP(D274,รายแปลง!E:G,3,FALSE)</f>
        <v>903137</v>
      </c>
      <c r="F274" s="219">
        <v>7.9749999999999996</v>
      </c>
      <c r="G274" s="253" t="s">
        <v>40</v>
      </c>
      <c r="H274" s="219">
        <v>0.93422799999999995</v>
      </c>
      <c r="I274" s="219">
        <v>1.9188465344194059</v>
      </c>
      <c r="J274" s="253" t="s">
        <v>28</v>
      </c>
      <c r="K274" s="220">
        <v>308.52093028375214</v>
      </c>
      <c r="L274" s="256" t="s">
        <v>29</v>
      </c>
      <c r="M274" s="220">
        <v>352.17997621754444</v>
      </c>
      <c r="N274" s="253" t="s">
        <v>30</v>
      </c>
      <c r="O274" s="221">
        <v>2938.8892496016183</v>
      </c>
      <c r="P274" s="221">
        <v>88.794314784007753</v>
      </c>
      <c r="Q274" s="221">
        <v>507.05322857082604</v>
      </c>
      <c r="R274" s="233" t="s">
        <v>31</v>
      </c>
      <c r="S274" s="234" t="s">
        <v>32</v>
      </c>
      <c r="T274" s="234" t="s">
        <v>33</v>
      </c>
      <c r="U274" s="235">
        <v>16</v>
      </c>
      <c r="V274" s="235">
        <v>8</v>
      </c>
      <c r="W274" s="235">
        <v>8</v>
      </c>
      <c r="X274" s="236" t="s">
        <v>34</v>
      </c>
      <c r="Y274" s="236">
        <v>50</v>
      </c>
      <c r="Z274" s="237">
        <v>21</v>
      </c>
      <c r="AA274" s="237">
        <v>7</v>
      </c>
      <c r="AB274" s="237">
        <v>18</v>
      </c>
      <c r="AC274" s="236" t="s">
        <v>35</v>
      </c>
      <c r="AD274" s="236">
        <v>50</v>
      </c>
      <c r="AE274" s="238">
        <v>18.5</v>
      </c>
      <c r="AF274" s="238">
        <v>7.5</v>
      </c>
      <c r="AG274" s="238">
        <v>13</v>
      </c>
    </row>
    <row r="275" spans="1:48" s="239" customFormat="1" ht="23.5" customHeight="1">
      <c r="A275" s="186">
        <v>621</v>
      </c>
      <c r="B275" s="213">
        <v>61</v>
      </c>
      <c r="C275" s="227" t="s">
        <v>52</v>
      </c>
      <c r="D275" s="218">
        <v>8121028</v>
      </c>
      <c r="E275" s="188">
        <f>VLOOKUP(D275,รายแปลง!E:G,3,FALSE)</f>
        <v>901110</v>
      </c>
      <c r="F275" s="219">
        <v>8.0449999999999999</v>
      </c>
      <c r="G275" s="253" t="s">
        <v>40</v>
      </c>
      <c r="H275" s="219">
        <v>0.98244400000000009</v>
      </c>
      <c r="I275" s="219">
        <v>1.8079695451403823</v>
      </c>
      <c r="J275" s="253" t="s">
        <v>28</v>
      </c>
      <c r="K275" s="220">
        <v>309.37785285672396</v>
      </c>
      <c r="L275" s="256" t="s">
        <v>29</v>
      </c>
      <c r="M275" s="220">
        <v>389.64711594417497</v>
      </c>
      <c r="N275" s="253" t="s">
        <v>30</v>
      </c>
      <c r="O275" s="221">
        <v>2962.4568609737235</v>
      </c>
      <c r="P275" s="221">
        <v>82.071838471843989</v>
      </c>
      <c r="Q275" s="221">
        <v>507.93035191723618</v>
      </c>
      <c r="R275" s="233" t="s">
        <v>31</v>
      </c>
      <c r="S275" s="234" t="s">
        <v>32</v>
      </c>
      <c r="T275" s="234" t="s">
        <v>33</v>
      </c>
      <c r="U275" s="235">
        <v>16</v>
      </c>
      <c r="V275" s="235">
        <v>8</v>
      </c>
      <c r="W275" s="235">
        <v>8</v>
      </c>
      <c r="X275" s="236" t="s">
        <v>34</v>
      </c>
      <c r="Y275" s="236">
        <v>50</v>
      </c>
      <c r="Z275" s="237">
        <v>21</v>
      </c>
      <c r="AA275" s="237">
        <v>7</v>
      </c>
      <c r="AB275" s="237">
        <v>18</v>
      </c>
      <c r="AC275" s="236"/>
      <c r="AD275" s="236">
        <v>50</v>
      </c>
      <c r="AE275" s="238">
        <v>18.5</v>
      </c>
      <c r="AF275" s="238">
        <v>7.5</v>
      </c>
      <c r="AG275" s="238">
        <v>13</v>
      </c>
    </row>
    <row r="276" spans="1:48" s="271" customFormat="1" ht="23.5" customHeight="1">
      <c r="A276" s="258"/>
      <c r="B276" s="258">
        <v>62</v>
      </c>
      <c r="C276" s="227" t="s">
        <v>52</v>
      </c>
      <c r="D276" s="260">
        <v>1032</v>
      </c>
      <c r="E276" s="261">
        <f>VLOOKUP(D276,รายแปลง!E:G,3,FALSE)</f>
        <v>906146</v>
      </c>
      <c r="F276" s="262">
        <v>7.43</v>
      </c>
      <c r="G276" s="263" t="s">
        <v>40</v>
      </c>
      <c r="H276" s="264">
        <v>1.750372</v>
      </c>
      <c r="I276" s="265">
        <v>2.2368083122918754</v>
      </c>
      <c r="J276" s="263" t="s">
        <v>28</v>
      </c>
      <c r="K276" s="266">
        <v>628.5485501060889</v>
      </c>
      <c r="L276" s="267" t="s">
        <v>29</v>
      </c>
      <c r="M276" s="262">
        <v>532.64126959823852</v>
      </c>
      <c r="N276" s="263" t="s">
        <v>30</v>
      </c>
      <c r="O276" s="268"/>
      <c r="P276" s="268"/>
      <c r="Q276" s="268"/>
      <c r="R276" s="269">
        <v>12</v>
      </c>
      <c r="S276" s="269">
        <v>6</v>
      </c>
      <c r="T276" s="269">
        <v>10</v>
      </c>
      <c r="U276" s="270">
        <v>16</v>
      </c>
      <c r="V276" s="270">
        <v>8</v>
      </c>
      <c r="W276" s="270">
        <v>8</v>
      </c>
      <c r="X276" s="270" t="s">
        <v>34</v>
      </c>
      <c r="Y276" s="270">
        <v>50</v>
      </c>
      <c r="Z276" s="270">
        <v>15</v>
      </c>
      <c r="AA276" s="270">
        <v>7</v>
      </c>
      <c r="AB276" s="270">
        <v>18</v>
      </c>
      <c r="AC276" s="270" t="s">
        <v>51</v>
      </c>
      <c r="AD276" s="270">
        <v>50</v>
      </c>
      <c r="AE276" s="269">
        <v>15.5</v>
      </c>
      <c r="AF276" s="269">
        <v>7.5</v>
      </c>
      <c r="AG276" s="269">
        <v>13</v>
      </c>
      <c r="AH276" s="269">
        <v>15</v>
      </c>
      <c r="AI276" s="269">
        <v>6</v>
      </c>
      <c r="AJ276" s="269">
        <v>12</v>
      </c>
      <c r="AK276" s="270">
        <v>16</v>
      </c>
      <c r="AL276" s="270">
        <v>8</v>
      </c>
      <c r="AM276" s="270">
        <v>8</v>
      </c>
      <c r="AN276" s="270" t="s">
        <v>34</v>
      </c>
      <c r="AO276" s="270">
        <v>50</v>
      </c>
      <c r="AP276" s="270">
        <v>15</v>
      </c>
      <c r="AQ276" s="270">
        <v>7</v>
      </c>
      <c r="AR276" s="270">
        <v>18</v>
      </c>
      <c r="AS276" s="270">
        <v>50</v>
      </c>
      <c r="AT276" s="269">
        <v>15.5</v>
      </c>
      <c r="AU276" s="269">
        <v>7.5</v>
      </c>
      <c r="AV276" s="269">
        <v>13</v>
      </c>
    </row>
    <row r="277" spans="1:48" s="271" customFormat="1" ht="23.5" customHeight="1">
      <c r="A277" s="258"/>
      <c r="B277" s="258">
        <v>62</v>
      </c>
      <c r="C277" s="224" t="s">
        <v>27</v>
      </c>
      <c r="D277" s="260">
        <v>865</v>
      </c>
      <c r="E277" s="261">
        <f>VLOOKUP(D277,รายแปลง!E:G,3,FALSE)</f>
        <v>903139</v>
      </c>
      <c r="F277" s="262">
        <v>7.3949999999999996</v>
      </c>
      <c r="G277" s="263" t="s">
        <v>40</v>
      </c>
      <c r="H277" s="264">
        <v>3.4914399999999999</v>
      </c>
      <c r="I277" s="265">
        <v>2.2650689562421427</v>
      </c>
      <c r="J277" s="263" t="s">
        <v>28</v>
      </c>
      <c r="K277" s="266">
        <v>192.27107633789285</v>
      </c>
      <c r="L277" s="267" t="s">
        <v>29</v>
      </c>
      <c r="M277" s="262">
        <v>1147.2553006099331</v>
      </c>
      <c r="N277" s="263" t="s">
        <v>30</v>
      </c>
      <c r="O277" s="268"/>
      <c r="P277" s="268"/>
      <c r="Q277" s="268"/>
      <c r="R277" s="269">
        <v>12</v>
      </c>
      <c r="S277" s="269">
        <v>6</v>
      </c>
      <c r="T277" s="269">
        <v>10</v>
      </c>
      <c r="U277" s="270">
        <v>16</v>
      </c>
      <c r="V277" s="270">
        <v>8</v>
      </c>
      <c r="W277" s="270">
        <v>8</v>
      </c>
      <c r="X277" s="270" t="s">
        <v>34</v>
      </c>
      <c r="Y277" s="270">
        <v>50</v>
      </c>
      <c r="Z277" s="270">
        <v>15</v>
      </c>
      <c r="AA277" s="270">
        <v>7</v>
      </c>
      <c r="AB277" s="270">
        <v>18</v>
      </c>
      <c r="AC277" s="270" t="s">
        <v>51</v>
      </c>
      <c r="AD277" s="270">
        <v>50</v>
      </c>
      <c r="AE277" s="269">
        <v>15.5</v>
      </c>
      <c r="AF277" s="269">
        <v>7.5</v>
      </c>
      <c r="AG277" s="269">
        <v>13</v>
      </c>
      <c r="AH277" s="269">
        <v>15</v>
      </c>
      <c r="AI277" s="269">
        <v>6</v>
      </c>
      <c r="AJ277" s="269">
        <v>12</v>
      </c>
      <c r="AK277" s="270">
        <v>16</v>
      </c>
      <c r="AL277" s="270">
        <v>8</v>
      </c>
      <c r="AM277" s="270">
        <v>8</v>
      </c>
      <c r="AN277" s="270" t="s">
        <v>34</v>
      </c>
      <c r="AO277" s="270">
        <v>50</v>
      </c>
      <c r="AP277" s="270">
        <v>15</v>
      </c>
      <c r="AQ277" s="270">
        <v>7</v>
      </c>
      <c r="AR277" s="270">
        <v>18</v>
      </c>
      <c r="AS277" s="270">
        <v>50</v>
      </c>
      <c r="AT277" s="269">
        <v>15.5</v>
      </c>
      <c r="AU277" s="269">
        <v>7.5</v>
      </c>
      <c r="AV277" s="269">
        <v>13</v>
      </c>
    </row>
    <row r="278" spans="1:48" s="271" customFormat="1" ht="23.5" customHeight="1">
      <c r="A278" s="258"/>
      <c r="B278" s="258">
        <v>62</v>
      </c>
      <c r="C278" s="259" t="s">
        <v>53</v>
      </c>
      <c r="D278" s="260">
        <v>1208</v>
      </c>
      <c r="E278" s="261">
        <f>VLOOKUP(D278,รายแปลง!E:G,3,FALSE)</f>
        <v>907109</v>
      </c>
      <c r="F278" s="262">
        <v>7.8550000000000004</v>
      </c>
      <c r="G278" s="263" t="s">
        <v>40</v>
      </c>
      <c r="H278" s="264">
        <v>1.4857719999999999</v>
      </c>
      <c r="I278" s="265">
        <v>1.925284132081813</v>
      </c>
      <c r="J278" s="263" t="s">
        <v>28</v>
      </c>
      <c r="K278" s="266">
        <v>14.783720480142577</v>
      </c>
      <c r="L278" s="267" t="s">
        <v>41</v>
      </c>
      <c r="M278" s="262">
        <v>234.17186915637336</v>
      </c>
      <c r="N278" s="263" t="s">
        <v>30</v>
      </c>
      <c r="O278" s="268"/>
      <c r="P278" s="268"/>
      <c r="Q278" s="268"/>
      <c r="R278" s="269">
        <v>15</v>
      </c>
      <c r="S278" s="269">
        <v>12</v>
      </c>
      <c r="T278" s="269">
        <v>10</v>
      </c>
      <c r="U278" s="270">
        <v>16</v>
      </c>
      <c r="V278" s="270">
        <v>16</v>
      </c>
      <c r="W278" s="270">
        <v>8</v>
      </c>
      <c r="X278" s="270" t="s">
        <v>39</v>
      </c>
      <c r="Y278" s="269">
        <v>50</v>
      </c>
      <c r="Z278" s="270">
        <v>15</v>
      </c>
      <c r="AA278" s="270">
        <v>7</v>
      </c>
      <c r="AB278" s="270">
        <v>18</v>
      </c>
      <c r="AC278" s="270" t="s">
        <v>51</v>
      </c>
      <c r="AD278" s="269">
        <v>50</v>
      </c>
      <c r="AE278" s="269">
        <v>15.5</v>
      </c>
      <c r="AF278" s="269">
        <v>11.5</v>
      </c>
      <c r="AG278" s="269">
        <v>13</v>
      </c>
      <c r="AH278" s="269">
        <v>18</v>
      </c>
      <c r="AI278" s="269">
        <v>12</v>
      </c>
      <c r="AJ278" s="269">
        <v>12</v>
      </c>
      <c r="AK278" s="270">
        <v>16</v>
      </c>
      <c r="AL278" s="270">
        <v>16</v>
      </c>
      <c r="AM278" s="270">
        <v>8</v>
      </c>
      <c r="AN278" s="270" t="s">
        <v>39</v>
      </c>
      <c r="AO278" s="269">
        <v>50</v>
      </c>
      <c r="AP278" s="270">
        <v>21</v>
      </c>
      <c r="AQ278" s="270">
        <v>7</v>
      </c>
      <c r="AR278" s="270">
        <v>18</v>
      </c>
      <c r="AS278" s="269">
        <v>50</v>
      </c>
      <c r="AT278" s="269">
        <v>18.5</v>
      </c>
      <c r="AU278" s="269">
        <v>11.5</v>
      </c>
      <c r="AV278" s="269">
        <v>13</v>
      </c>
    </row>
    <row r="279" spans="1:48" s="271" customFormat="1" ht="23.5" customHeight="1">
      <c r="A279" s="258"/>
      <c r="B279" s="258">
        <v>62</v>
      </c>
      <c r="C279" s="259" t="s">
        <v>53</v>
      </c>
      <c r="D279" s="260" t="s">
        <v>54</v>
      </c>
      <c r="E279" s="261">
        <f>VLOOKUP(D279,รายแปลง!E:G,3,FALSE)</f>
        <v>907123</v>
      </c>
      <c r="F279" s="262">
        <v>7.875</v>
      </c>
      <c r="G279" s="263" t="s">
        <v>40</v>
      </c>
      <c r="H279" s="264">
        <v>0.95833600000000008</v>
      </c>
      <c r="I279" s="265">
        <v>2.0719424330507019</v>
      </c>
      <c r="J279" s="263" t="s">
        <v>28</v>
      </c>
      <c r="K279" s="266">
        <v>152.44666958822069</v>
      </c>
      <c r="L279" s="267" t="s">
        <v>29</v>
      </c>
      <c r="M279" s="262">
        <v>266.91210555744061</v>
      </c>
      <c r="N279" s="263" t="s">
        <v>30</v>
      </c>
      <c r="O279" s="268"/>
      <c r="P279" s="268"/>
      <c r="Q279" s="268"/>
      <c r="R279" s="269">
        <v>12</v>
      </c>
      <c r="S279" s="269">
        <v>6</v>
      </c>
      <c r="T279" s="269">
        <v>10</v>
      </c>
      <c r="U279" s="270">
        <v>16</v>
      </c>
      <c r="V279" s="270">
        <v>8</v>
      </c>
      <c r="W279" s="270">
        <v>8</v>
      </c>
      <c r="X279" s="270" t="s">
        <v>34</v>
      </c>
      <c r="Y279" s="270">
        <v>50</v>
      </c>
      <c r="Z279" s="270">
        <v>15</v>
      </c>
      <c r="AA279" s="270">
        <v>7</v>
      </c>
      <c r="AB279" s="270">
        <v>18</v>
      </c>
      <c r="AC279" s="270" t="s">
        <v>51</v>
      </c>
      <c r="AD279" s="270">
        <v>50</v>
      </c>
      <c r="AE279" s="269">
        <v>15.5</v>
      </c>
      <c r="AF279" s="269">
        <v>7.5</v>
      </c>
      <c r="AG279" s="269">
        <v>13</v>
      </c>
      <c r="AH279" s="269">
        <v>15</v>
      </c>
      <c r="AI279" s="269">
        <v>6</v>
      </c>
      <c r="AJ279" s="269">
        <v>12</v>
      </c>
      <c r="AK279" s="270">
        <v>16</v>
      </c>
      <c r="AL279" s="270">
        <v>8</v>
      </c>
      <c r="AM279" s="270">
        <v>8</v>
      </c>
      <c r="AN279" s="270" t="s">
        <v>34</v>
      </c>
      <c r="AO279" s="270">
        <v>50</v>
      </c>
      <c r="AP279" s="270">
        <v>15</v>
      </c>
      <c r="AQ279" s="270">
        <v>7</v>
      </c>
      <c r="AR279" s="270">
        <v>18</v>
      </c>
      <c r="AS279" s="270">
        <v>50</v>
      </c>
      <c r="AT279" s="269">
        <v>15.5</v>
      </c>
      <c r="AU279" s="269">
        <v>7.5</v>
      </c>
      <c r="AV279" s="269">
        <v>13</v>
      </c>
    </row>
    <row r="280" spans="1:48" s="271" customFormat="1" ht="23.5" customHeight="1">
      <c r="A280" s="258"/>
      <c r="B280" s="258">
        <v>62</v>
      </c>
      <c r="C280" s="259" t="s">
        <v>53</v>
      </c>
      <c r="D280" s="260">
        <v>1210</v>
      </c>
      <c r="E280" s="261">
        <f>VLOOKUP(D280,รายแปลง!E:G,3,FALSE)</f>
        <v>907112</v>
      </c>
      <c r="F280" s="262">
        <v>8.0650000000000013</v>
      </c>
      <c r="G280" s="263" t="s">
        <v>40</v>
      </c>
      <c r="H280" s="264">
        <v>1.1012200000000001</v>
      </c>
      <c r="I280" s="265">
        <v>1.7154197572414387</v>
      </c>
      <c r="J280" s="263" t="s">
        <v>28</v>
      </c>
      <c r="K280" s="266">
        <v>46.791990014708844</v>
      </c>
      <c r="L280" s="267" t="s">
        <v>29</v>
      </c>
      <c r="M280" s="262">
        <v>221.91087130295764</v>
      </c>
      <c r="N280" s="263" t="s">
        <v>30</v>
      </c>
      <c r="O280" s="268"/>
      <c r="P280" s="268"/>
      <c r="Q280" s="268"/>
      <c r="R280" s="269">
        <v>15</v>
      </c>
      <c r="S280" s="269">
        <v>6</v>
      </c>
      <c r="T280" s="269">
        <v>10</v>
      </c>
      <c r="U280" s="270">
        <v>16</v>
      </c>
      <c r="V280" s="270">
        <v>8</v>
      </c>
      <c r="W280" s="270">
        <v>8</v>
      </c>
      <c r="X280" s="270" t="s">
        <v>34</v>
      </c>
      <c r="Y280" s="270">
        <v>50</v>
      </c>
      <c r="Z280" s="270">
        <v>15</v>
      </c>
      <c r="AA280" s="270">
        <v>7</v>
      </c>
      <c r="AB280" s="270">
        <v>18</v>
      </c>
      <c r="AC280" s="270" t="s">
        <v>51</v>
      </c>
      <c r="AD280" s="270">
        <v>50</v>
      </c>
      <c r="AE280" s="269">
        <v>15.5</v>
      </c>
      <c r="AF280" s="269">
        <v>7.5</v>
      </c>
      <c r="AG280" s="269">
        <v>13</v>
      </c>
      <c r="AH280" s="269">
        <v>18</v>
      </c>
      <c r="AI280" s="269">
        <v>6</v>
      </c>
      <c r="AJ280" s="269">
        <v>12</v>
      </c>
      <c r="AK280" s="270">
        <v>16</v>
      </c>
      <c r="AL280" s="270">
        <v>8</v>
      </c>
      <c r="AM280" s="270">
        <v>8</v>
      </c>
      <c r="AN280" s="270" t="s">
        <v>34</v>
      </c>
      <c r="AO280" s="270">
        <v>50</v>
      </c>
      <c r="AP280" s="270">
        <v>21</v>
      </c>
      <c r="AQ280" s="270">
        <v>7</v>
      </c>
      <c r="AR280" s="270">
        <v>18</v>
      </c>
      <c r="AS280" s="270">
        <v>50</v>
      </c>
      <c r="AT280" s="269">
        <v>18.5</v>
      </c>
      <c r="AU280" s="269">
        <v>7.5</v>
      </c>
      <c r="AV280" s="269">
        <v>13</v>
      </c>
    </row>
    <row r="281" spans="1:48" s="271" customFormat="1" ht="23.5" customHeight="1">
      <c r="A281" s="258"/>
      <c r="B281" s="258">
        <v>62</v>
      </c>
      <c r="C281" s="259" t="s">
        <v>55</v>
      </c>
      <c r="D281" s="260">
        <v>1322</v>
      </c>
      <c r="E281" s="261">
        <f>VLOOKUP(D281,รายแปลง!E:G,3,FALSE)</f>
        <v>917115</v>
      </c>
      <c r="F281" s="262">
        <v>7.96</v>
      </c>
      <c r="G281" s="263" t="s">
        <v>40</v>
      </c>
      <c r="H281" s="264">
        <v>1.302316</v>
      </c>
      <c r="I281" s="265">
        <v>1.2339051638249803</v>
      </c>
      <c r="J281" s="263" t="s">
        <v>41</v>
      </c>
      <c r="K281" s="266">
        <v>46.379322546429265</v>
      </c>
      <c r="L281" s="267" t="s">
        <v>29</v>
      </c>
      <c r="M281" s="262">
        <v>309.31980506964209</v>
      </c>
      <c r="N281" s="263" t="s">
        <v>30</v>
      </c>
      <c r="O281" s="268"/>
      <c r="P281" s="268"/>
      <c r="Q281" s="268"/>
      <c r="R281" s="269">
        <v>15</v>
      </c>
      <c r="S281" s="269">
        <v>6</v>
      </c>
      <c r="T281" s="269">
        <v>10</v>
      </c>
      <c r="U281" s="270">
        <v>16</v>
      </c>
      <c r="V281" s="270">
        <v>8</v>
      </c>
      <c r="W281" s="270">
        <v>8</v>
      </c>
      <c r="X281" s="270" t="s">
        <v>34</v>
      </c>
      <c r="Y281" s="270">
        <v>50</v>
      </c>
      <c r="Z281" s="270">
        <v>15</v>
      </c>
      <c r="AA281" s="270">
        <v>7</v>
      </c>
      <c r="AB281" s="270">
        <v>18</v>
      </c>
      <c r="AC281" s="270" t="s">
        <v>51</v>
      </c>
      <c r="AD281" s="270">
        <v>50</v>
      </c>
      <c r="AE281" s="269">
        <v>15.5</v>
      </c>
      <c r="AF281" s="269">
        <v>7.5</v>
      </c>
      <c r="AG281" s="269">
        <v>13</v>
      </c>
      <c r="AH281" s="269">
        <v>18</v>
      </c>
      <c r="AI281" s="269">
        <v>6</v>
      </c>
      <c r="AJ281" s="269">
        <v>12</v>
      </c>
      <c r="AK281" s="270">
        <v>16</v>
      </c>
      <c r="AL281" s="270">
        <v>8</v>
      </c>
      <c r="AM281" s="270">
        <v>8</v>
      </c>
      <c r="AN281" s="270" t="s">
        <v>34</v>
      </c>
      <c r="AO281" s="270">
        <v>50</v>
      </c>
      <c r="AP281" s="270">
        <v>21</v>
      </c>
      <c r="AQ281" s="270">
        <v>7</v>
      </c>
      <c r="AR281" s="270">
        <v>18</v>
      </c>
      <c r="AS281" s="270">
        <v>50</v>
      </c>
      <c r="AT281" s="269">
        <v>18.5</v>
      </c>
      <c r="AU281" s="269">
        <v>7.5</v>
      </c>
      <c r="AV281" s="269">
        <v>13</v>
      </c>
    </row>
    <row r="282" spans="1:48" s="271" customFormat="1" ht="23.5" customHeight="1">
      <c r="A282" s="258"/>
      <c r="B282" s="258">
        <v>62</v>
      </c>
      <c r="C282" s="259" t="s">
        <v>55</v>
      </c>
      <c r="D282" s="260">
        <v>1327</v>
      </c>
      <c r="E282" s="261">
        <f>VLOOKUP(D282,รายแปลง!E:G,3,FALSE)</f>
        <v>917121</v>
      </c>
      <c r="F282" s="262">
        <v>6.0299999999999994</v>
      </c>
      <c r="G282" s="263" t="s">
        <v>28</v>
      </c>
      <c r="H282" s="264">
        <v>1.495768</v>
      </c>
      <c r="I282" s="265">
        <v>1.656106308759834</v>
      </c>
      <c r="J282" s="263" t="s">
        <v>28</v>
      </c>
      <c r="K282" s="266">
        <v>14.128273309436718</v>
      </c>
      <c r="L282" s="267" t="s">
        <v>41</v>
      </c>
      <c r="M282" s="262">
        <v>705.67158818834798</v>
      </c>
      <c r="N282" s="263" t="s">
        <v>30</v>
      </c>
      <c r="O282" s="268"/>
      <c r="P282" s="268"/>
      <c r="Q282" s="268"/>
      <c r="R282" s="269">
        <v>15</v>
      </c>
      <c r="S282" s="269">
        <v>12</v>
      </c>
      <c r="T282" s="269">
        <v>10</v>
      </c>
      <c r="U282" s="270">
        <v>16</v>
      </c>
      <c r="V282" s="270">
        <v>16</v>
      </c>
      <c r="W282" s="270">
        <v>8</v>
      </c>
      <c r="X282" s="270" t="s">
        <v>39</v>
      </c>
      <c r="Y282" s="269">
        <v>50</v>
      </c>
      <c r="Z282" s="270">
        <v>15</v>
      </c>
      <c r="AA282" s="270">
        <v>7</v>
      </c>
      <c r="AB282" s="270">
        <v>18</v>
      </c>
      <c r="AC282" s="270" t="s">
        <v>51</v>
      </c>
      <c r="AD282" s="269">
        <v>50</v>
      </c>
      <c r="AE282" s="269">
        <v>15.5</v>
      </c>
      <c r="AF282" s="269">
        <v>11.5</v>
      </c>
      <c r="AG282" s="269">
        <v>13</v>
      </c>
      <c r="AH282" s="269">
        <v>18</v>
      </c>
      <c r="AI282" s="269">
        <v>12</v>
      </c>
      <c r="AJ282" s="269">
        <v>12</v>
      </c>
      <c r="AK282" s="270">
        <v>16</v>
      </c>
      <c r="AL282" s="270">
        <v>16</v>
      </c>
      <c r="AM282" s="270">
        <v>8</v>
      </c>
      <c r="AN282" s="270" t="s">
        <v>39</v>
      </c>
      <c r="AO282" s="269">
        <v>50</v>
      </c>
      <c r="AP282" s="270">
        <v>21</v>
      </c>
      <c r="AQ282" s="270">
        <v>7</v>
      </c>
      <c r="AR282" s="270">
        <v>18</v>
      </c>
      <c r="AS282" s="269">
        <v>50</v>
      </c>
      <c r="AT282" s="269">
        <v>18.5</v>
      </c>
      <c r="AU282" s="269">
        <v>11.5</v>
      </c>
      <c r="AV282" s="269">
        <v>13</v>
      </c>
    </row>
    <row r="283" spans="1:48" s="271" customFormat="1" ht="23.5" customHeight="1">
      <c r="A283" s="258"/>
      <c r="B283" s="258">
        <v>62</v>
      </c>
      <c r="C283" s="259" t="s">
        <v>55</v>
      </c>
      <c r="D283" s="260">
        <v>1316</v>
      </c>
      <c r="E283" s="261">
        <f>VLOOKUP(D283,รายแปลง!E:G,3,FALSE)</f>
        <v>917111</v>
      </c>
      <c r="F283" s="262">
        <v>7.9850000000000003</v>
      </c>
      <c r="G283" s="263" t="s">
        <v>40</v>
      </c>
      <c r="H283" s="264">
        <v>1.321132</v>
      </c>
      <c r="I283" s="265">
        <v>2.1134688943850009</v>
      </c>
      <c r="J283" s="263" t="s">
        <v>28</v>
      </c>
      <c r="K283" s="266">
        <v>20.992470418250349</v>
      </c>
      <c r="L283" s="267" t="s">
        <v>28</v>
      </c>
      <c r="M283" s="262">
        <v>322.28841531116637</v>
      </c>
      <c r="N283" s="263" t="s">
        <v>30</v>
      </c>
      <c r="O283" s="268"/>
      <c r="P283" s="268"/>
      <c r="Q283" s="268"/>
      <c r="R283" s="269">
        <v>12</v>
      </c>
      <c r="S283" s="269">
        <v>9</v>
      </c>
      <c r="T283" s="269">
        <v>10</v>
      </c>
      <c r="U283" s="270">
        <v>16</v>
      </c>
      <c r="V283" s="270">
        <v>16</v>
      </c>
      <c r="W283" s="270">
        <v>8</v>
      </c>
      <c r="X283" s="270" t="s">
        <v>39</v>
      </c>
      <c r="Y283" s="269">
        <v>50</v>
      </c>
      <c r="Z283" s="270">
        <v>15</v>
      </c>
      <c r="AA283" s="270">
        <v>7</v>
      </c>
      <c r="AB283" s="270">
        <v>18</v>
      </c>
      <c r="AC283" s="270" t="s">
        <v>51</v>
      </c>
      <c r="AD283" s="269">
        <v>50</v>
      </c>
      <c r="AE283" s="269">
        <v>15.5</v>
      </c>
      <c r="AF283" s="269">
        <v>11.5</v>
      </c>
      <c r="AG283" s="269">
        <v>13</v>
      </c>
      <c r="AH283" s="269">
        <v>15</v>
      </c>
      <c r="AI283" s="269">
        <v>9</v>
      </c>
      <c r="AJ283" s="269">
        <v>12</v>
      </c>
      <c r="AK283" s="270">
        <v>16</v>
      </c>
      <c r="AL283" s="270">
        <v>16</v>
      </c>
      <c r="AM283" s="270">
        <v>8</v>
      </c>
      <c r="AN283" s="270" t="s">
        <v>39</v>
      </c>
      <c r="AO283" s="269">
        <v>50</v>
      </c>
      <c r="AP283" s="270">
        <v>15</v>
      </c>
      <c r="AQ283" s="270">
        <v>7</v>
      </c>
      <c r="AR283" s="270">
        <v>18</v>
      </c>
      <c r="AS283" s="269">
        <v>50</v>
      </c>
      <c r="AT283" s="269">
        <v>15.5</v>
      </c>
      <c r="AU283" s="269">
        <v>11.5</v>
      </c>
      <c r="AV283" s="269">
        <v>13</v>
      </c>
    </row>
    <row r="284" spans="1:48" s="271" customFormat="1" ht="23.5" customHeight="1">
      <c r="A284" s="258"/>
      <c r="B284" s="258">
        <v>62</v>
      </c>
      <c r="C284" s="259" t="s">
        <v>55</v>
      </c>
      <c r="D284" s="260">
        <v>1301</v>
      </c>
      <c r="E284" s="261">
        <f>VLOOKUP(D284,รายแปลง!E:G,3,FALSE)</f>
        <v>917101</v>
      </c>
      <c r="F284" s="262">
        <v>7.7</v>
      </c>
      <c r="G284" s="263" t="s">
        <v>40</v>
      </c>
      <c r="H284" s="264">
        <v>2.0767119999999997</v>
      </c>
      <c r="I284" s="265">
        <v>1.7812733806579739</v>
      </c>
      <c r="J284" s="263" t="s">
        <v>28</v>
      </c>
      <c r="K284" s="266">
        <v>35.370726006875657</v>
      </c>
      <c r="L284" s="267" t="s">
        <v>28</v>
      </c>
      <c r="M284" s="262">
        <v>487.9163761642443</v>
      </c>
      <c r="N284" s="263" t="s">
        <v>30</v>
      </c>
      <c r="O284" s="268"/>
      <c r="P284" s="268"/>
      <c r="Q284" s="268"/>
      <c r="R284" s="269">
        <v>15</v>
      </c>
      <c r="S284" s="269">
        <v>6</v>
      </c>
      <c r="T284" s="269">
        <v>10</v>
      </c>
      <c r="U284" s="270">
        <v>16</v>
      </c>
      <c r="V284" s="270">
        <v>8</v>
      </c>
      <c r="W284" s="270">
        <v>8</v>
      </c>
      <c r="X284" s="270" t="s">
        <v>34</v>
      </c>
      <c r="Y284" s="270">
        <v>50</v>
      </c>
      <c r="Z284" s="270">
        <v>15</v>
      </c>
      <c r="AA284" s="270">
        <v>7</v>
      </c>
      <c r="AB284" s="270">
        <v>18</v>
      </c>
      <c r="AC284" s="270" t="s">
        <v>51</v>
      </c>
      <c r="AD284" s="270">
        <v>50</v>
      </c>
      <c r="AE284" s="269">
        <v>15.5</v>
      </c>
      <c r="AF284" s="269">
        <v>7.5</v>
      </c>
      <c r="AG284" s="269">
        <v>13</v>
      </c>
      <c r="AH284" s="269">
        <v>18</v>
      </c>
      <c r="AI284" s="269">
        <v>6</v>
      </c>
      <c r="AJ284" s="269">
        <v>12</v>
      </c>
      <c r="AK284" s="270">
        <v>16</v>
      </c>
      <c r="AL284" s="270">
        <v>8</v>
      </c>
      <c r="AM284" s="270">
        <v>8</v>
      </c>
      <c r="AN284" s="270" t="s">
        <v>34</v>
      </c>
      <c r="AO284" s="270">
        <v>50</v>
      </c>
      <c r="AP284" s="270">
        <v>21</v>
      </c>
      <c r="AQ284" s="270">
        <v>7</v>
      </c>
      <c r="AR284" s="270">
        <v>18</v>
      </c>
      <c r="AS284" s="270">
        <v>50</v>
      </c>
      <c r="AT284" s="269">
        <v>18.5</v>
      </c>
      <c r="AU284" s="269">
        <v>7.5</v>
      </c>
      <c r="AV284" s="269">
        <v>13</v>
      </c>
    </row>
    <row r="285" spans="1:48" s="271" customFormat="1" ht="23.5" customHeight="1">
      <c r="A285" s="258"/>
      <c r="B285" s="258">
        <v>62</v>
      </c>
      <c r="C285" s="259" t="s">
        <v>55</v>
      </c>
      <c r="D285" s="260" t="s">
        <v>87</v>
      </c>
      <c r="E285" s="261">
        <f>VLOOKUP(D285,รายแปลง!E:G,3,FALSE)</f>
        <v>917124</v>
      </c>
      <c r="F285" s="262">
        <v>6.22</v>
      </c>
      <c r="G285" s="263" t="s">
        <v>28</v>
      </c>
      <c r="H285" s="264">
        <v>1.7086239999999999</v>
      </c>
      <c r="I285" s="265">
        <v>0.9911865552777136</v>
      </c>
      <c r="J285" s="263" t="s">
        <v>37</v>
      </c>
      <c r="K285" s="266">
        <v>6.9979411490202796</v>
      </c>
      <c r="L285" s="267" t="s">
        <v>37</v>
      </c>
      <c r="M285" s="262">
        <v>471.29022861808858</v>
      </c>
      <c r="N285" s="263" t="s">
        <v>30</v>
      </c>
      <c r="O285" s="268"/>
      <c r="P285" s="268"/>
      <c r="Q285" s="268"/>
      <c r="R285" s="269">
        <v>18</v>
      </c>
      <c r="S285" s="269">
        <v>12</v>
      </c>
      <c r="T285" s="269">
        <v>10</v>
      </c>
      <c r="U285" s="270">
        <v>16</v>
      </c>
      <c r="V285" s="270">
        <v>16</v>
      </c>
      <c r="W285" s="270">
        <v>8</v>
      </c>
      <c r="X285" s="270" t="s">
        <v>39</v>
      </c>
      <c r="Y285" s="269">
        <v>50</v>
      </c>
      <c r="Z285" s="270">
        <v>21</v>
      </c>
      <c r="AA285" s="270">
        <v>7</v>
      </c>
      <c r="AB285" s="270">
        <v>18</v>
      </c>
      <c r="AC285" s="270" t="s">
        <v>35</v>
      </c>
      <c r="AD285" s="269">
        <v>50</v>
      </c>
      <c r="AE285" s="269">
        <v>18.5</v>
      </c>
      <c r="AF285" s="269">
        <v>11.5</v>
      </c>
      <c r="AG285" s="269">
        <v>13</v>
      </c>
      <c r="AH285" s="269">
        <v>24</v>
      </c>
      <c r="AI285" s="269">
        <v>12</v>
      </c>
      <c r="AJ285" s="269">
        <v>12</v>
      </c>
      <c r="AK285" s="270">
        <v>16</v>
      </c>
      <c r="AL285" s="270">
        <v>16</v>
      </c>
      <c r="AM285" s="270">
        <v>8</v>
      </c>
      <c r="AN285" s="270" t="s">
        <v>39</v>
      </c>
      <c r="AO285" s="269">
        <v>50</v>
      </c>
      <c r="AP285" s="270">
        <v>21</v>
      </c>
      <c r="AQ285" s="270">
        <v>7</v>
      </c>
      <c r="AR285" s="270">
        <v>18</v>
      </c>
      <c r="AS285" s="269">
        <v>60</v>
      </c>
      <c r="AT285" s="269">
        <v>20.6</v>
      </c>
      <c r="AU285" s="269">
        <v>12.2</v>
      </c>
      <c r="AV285" s="269">
        <v>14.8</v>
      </c>
    </row>
    <row r="286" spans="1:48" s="271" customFormat="1" ht="23.5" customHeight="1">
      <c r="A286" s="258"/>
      <c r="B286" s="258">
        <v>62</v>
      </c>
      <c r="C286" s="259" t="s">
        <v>55</v>
      </c>
      <c r="D286" s="260" t="s">
        <v>88</v>
      </c>
      <c r="E286" s="261">
        <f>VLOOKUP(D286,รายแปลง!E:G,3,FALSE)</f>
        <v>917119</v>
      </c>
      <c r="F286" s="262">
        <v>7.8</v>
      </c>
      <c r="G286" s="263" t="s">
        <v>40</v>
      </c>
      <c r="H286" s="264">
        <v>1.3111359999999999</v>
      </c>
      <c r="I286" s="265">
        <v>1.4399937052726695</v>
      </c>
      <c r="J286" s="263" t="s">
        <v>41</v>
      </c>
      <c r="K286" s="266">
        <v>100.64553278349771</v>
      </c>
      <c r="L286" s="267" t="s">
        <v>29</v>
      </c>
      <c r="M286" s="262">
        <v>483.05116487232885</v>
      </c>
      <c r="N286" s="263" t="s">
        <v>30</v>
      </c>
      <c r="O286" s="268"/>
      <c r="P286" s="268"/>
      <c r="Q286" s="268"/>
      <c r="R286" s="269">
        <v>15</v>
      </c>
      <c r="S286" s="269">
        <v>6</v>
      </c>
      <c r="T286" s="269">
        <v>10</v>
      </c>
      <c r="U286" s="270">
        <v>16</v>
      </c>
      <c r="V286" s="270">
        <v>8</v>
      </c>
      <c r="W286" s="270">
        <v>8</v>
      </c>
      <c r="X286" s="270" t="s">
        <v>34</v>
      </c>
      <c r="Y286" s="270">
        <v>50</v>
      </c>
      <c r="Z286" s="270">
        <v>15</v>
      </c>
      <c r="AA286" s="270">
        <v>7</v>
      </c>
      <c r="AB286" s="270">
        <v>18</v>
      </c>
      <c r="AC286" s="270" t="s">
        <v>51</v>
      </c>
      <c r="AD286" s="270">
        <v>50</v>
      </c>
      <c r="AE286" s="269">
        <v>15.5</v>
      </c>
      <c r="AF286" s="269">
        <v>7.5</v>
      </c>
      <c r="AG286" s="269">
        <v>13</v>
      </c>
      <c r="AH286" s="269">
        <v>18</v>
      </c>
      <c r="AI286" s="269">
        <v>6</v>
      </c>
      <c r="AJ286" s="269">
        <v>12</v>
      </c>
      <c r="AK286" s="270">
        <v>16</v>
      </c>
      <c r="AL286" s="270">
        <v>8</v>
      </c>
      <c r="AM286" s="270">
        <v>8</v>
      </c>
      <c r="AN286" s="270" t="s">
        <v>34</v>
      </c>
      <c r="AO286" s="270">
        <v>50</v>
      </c>
      <c r="AP286" s="270">
        <v>21</v>
      </c>
      <c r="AQ286" s="270">
        <v>7</v>
      </c>
      <c r="AR286" s="270">
        <v>18</v>
      </c>
      <c r="AS286" s="270">
        <v>50</v>
      </c>
      <c r="AT286" s="269">
        <v>18.5</v>
      </c>
      <c r="AU286" s="269">
        <v>7.5</v>
      </c>
      <c r="AV286" s="269">
        <v>13</v>
      </c>
    </row>
    <row r="287" spans="1:48" s="271" customFormat="1" ht="23.5" customHeight="1">
      <c r="A287" s="258"/>
      <c r="B287" s="258">
        <v>62</v>
      </c>
      <c r="C287" s="259" t="s">
        <v>55</v>
      </c>
      <c r="D287" s="260">
        <v>1330</v>
      </c>
      <c r="E287" s="261">
        <f>VLOOKUP(D287,รายแปลง!E:G,3,FALSE)</f>
        <v>917123</v>
      </c>
      <c r="F287" s="262">
        <v>7.6950000000000003</v>
      </c>
      <c r="G287" s="263" t="s">
        <v>40</v>
      </c>
      <c r="H287" s="264">
        <v>0.45383200000000001</v>
      </c>
      <c r="I287" s="265">
        <v>1.0387677143220708</v>
      </c>
      <c r="J287" s="263" t="s">
        <v>41</v>
      </c>
      <c r="K287" s="266">
        <v>2.3566070395506644</v>
      </c>
      <c r="L287" s="267" t="s">
        <v>47</v>
      </c>
      <c r="M287" s="262">
        <v>391.40154538199238</v>
      </c>
      <c r="N287" s="263" t="s">
        <v>30</v>
      </c>
      <c r="O287" s="268"/>
      <c r="P287" s="268"/>
      <c r="Q287" s="268"/>
      <c r="R287" s="269">
        <v>15</v>
      </c>
      <c r="S287" s="269">
        <v>12</v>
      </c>
      <c r="T287" s="269">
        <v>10</v>
      </c>
      <c r="U287" s="270">
        <v>16</v>
      </c>
      <c r="V287" s="270">
        <v>16</v>
      </c>
      <c r="W287" s="270">
        <v>8</v>
      </c>
      <c r="X287" s="270" t="s">
        <v>39</v>
      </c>
      <c r="Y287" s="269">
        <v>50</v>
      </c>
      <c r="Z287" s="270">
        <v>15</v>
      </c>
      <c r="AA287" s="270">
        <v>7</v>
      </c>
      <c r="AB287" s="270">
        <v>18</v>
      </c>
      <c r="AC287" s="270" t="s">
        <v>51</v>
      </c>
      <c r="AD287" s="269">
        <v>50</v>
      </c>
      <c r="AE287" s="269">
        <v>15.5</v>
      </c>
      <c r="AF287" s="269">
        <v>11.5</v>
      </c>
      <c r="AG287" s="269">
        <v>13</v>
      </c>
      <c r="AH287" s="269">
        <v>18</v>
      </c>
      <c r="AI287" s="269">
        <v>12</v>
      </c>
      <c r="AJ287" s="269">
        <v>12</v>
      </c>
      <c r="AK287" s="270">
        <v>16</v>
      </c>
      <c r="AL287" s="270">
        <v>16</v>
      </c>
      <c r="AM287" s="270">
        <v>8</v>
      </c>
      <c r="AN287" s="270" t="s">
        <v>39</v>
      </c>
      <c r="AO287" s="269">
        <v>50</v>
      </c>
      <c r="AP287" s="270">
        <v>21</v>
      </c>
      <c r="AQ287" s="270">
        <v>7</v>
      </c>
      <c r="AR287" s="270">
        <v>18</v>
      </c>
      <c r="AS287" s="269">
        <v>50</v>
      </c>
      <c r="AT287" s="269">
        <v>18.5</v>
      </c>
      <c r="AU287" s="269">
        <v>11.5</v>
      </c>
      <c r="AV287" s="269">
        <v>13</v>
      </c>
    </row>
    <row r="288" spans="1:48" s="271" customFormat="1" ht="23.5" customHeight="1">
      <c r="A288" s="258"/>
      <c r="B288" s="258">
        <v>62</v>
      </c>
      <c r="C288" s="282" t="s">
        <v>77</v>
      </c>
      <c r="D288" s="260">
        <v>807930</v>
      </c>
      <c r="E288" s="261">
        <f>VLOOKUP(D288,รายแปลง!E:G,3,FALSE)</f>
        <v>927111</v>
      </c>
      <c r="F288" s="262">
        <v>7.4350000000000005</v>
      </c>
      <c r="G288" s="263" t="s">
        <v>40</v>
      </c>
      <c r="H288" s="264">
        <v>2.6094399999999998</v>
      </c>
      <c r="I288" s="265">
        <v>1.9754215851375516</v>
      </c>
      <c r="J288" s="263" t="s">
        <v>28</v>
      </c>
      <c r="K288" s="266">
        <v>341.96787864939853</v>
      </c>
      <c r="L288" s="267" t="s">
        <v>29</v>
      </c>
      <c r="M288" s="262">
        <v>805.70380933629247</v>
      </c>
      <c r="N288" s="263" t="s">
        <v>30</v>
      </c>
      <c r="O288" s="268"/>
      <c r="P288" s="268"/>
      <c r="Q288" s="268"/>
      <c r="R288" s="269">
        <v>15</v>
      </c>
      <c r="S288" s="269">
        <v>6</v>
      </c>
      <c r="T288" s="269">
        <v>10</v>
      </c>
      <c r="U288" s="270">
        <v>16</v>
      </c>
      <c r="V288" s="270">
        <v>8</v>
      </c>
      <c r="W288" s="270">
        <v>8</v>
      </c>
      <c r="X288" s="270" t="s">
        <v>34</v>
      </c>
      <c r="Y288" s="270">
        <v>50</v>
      </c>
      <c r="Z288" s="270">
        <v>15</v>
      </c>
      <c r="AA288" s="270">
        <v>7</v>
      </c>
      <c r="AB288" s="270">
        <v>18</v>
      </c>
      <c r="AC288" s="270" t="s">
        <v>51</v>
      </c>
      <c r="AD288" s="270">
        <v>50</v>
      </c>
      <c r="AE288" s="269">
        <v>15.5</v>
      </c>
      <c r="AF288" s="269">
        <v>7.5</v>
      </c>
      <c r="AG288" s="269">
        <v>13</v>
      </c>
      <c r="AH288" s="269">
        <v>18</v>
      </c>
      <c r="AI288" s="269">
        <v>6</v>
      </c>
      <c r="AJ288" s="269">
        <v>12</v>
      </c>
      <c r="AK288" s="270">
        <v>16</v>
      </c>
      <c r="AL288" s="270">
        <v>8</v>
      </c>
      <c r="AM288" s="270">
        <v>8</v>
      </c>
      <c r="AN288" s="270" t="s">
        <v>34</v>
      </c>
      <c r="AO288" s="270">
        <v>50</v>
      </c>
      <c r="AP288" s="270">
        <v>21</v>
      </c>
      <c r="AQ288" s="270">
        <v>7</v>
      </c>
      <c r="AR288" s="270">
        <v>18</v>
      </c>
      <c r="AS288" s="270">
        <v>50</v>
      </c>
      <c r="AT288" s="269">
        <v>18.5</v>
      </c>
      <c r="AU288" s="269">
        <v>7.5</v>
      </c>
      <c r="AV288" s="269">
        <v>13</v>
      </c>
    </row>
    <row r="289" spans="1:48" s="271" customFormat="1" ht="23.5" customHeight="1">
      <c r="A289" s="258"/>
      <c r="B289" s="258">
        <v>62</v>
      </c>
      <c r="C289" s="282" t="s">
        <v>77</v>
      </c>
      <c r="D289" s="260">
        <v>807949</v>
      </c>
      <c r="E289" s="261">
        <f>VLOOKUP(D289,รายแปลง!E:G,3,FALSE)</f>
        <v>927128</v>
      </c>
      <c r="F289" s="262">
        <v>7.83</v>
      </c>
      <c r="G289" s="263" t="s">
        <v>40</v>
      </c>
      <c r="H289" s="264">
        <v>1.1994159999999998</v>
      </c>
      <c r="I289" s="265">
        <v>3.2110425255012984</v>
      </c>
      <c r="J289" s="263" t="s">
        <v>29</v>
      </c>
      <c r="K289" s="266">
        <v>24.85437472350246</v>
      </c>
      <c r="L289" s="267" t="s">
        <v>28</v>
      </c>
      <c r="M289" s="262">
        <v>361.77627931444374</v>
      </c>
      <c r="N289" s="263" t="s">
        <v>30</v>
      </c>
      <c r="O289" s="268"/>
      <c r="P289" s="268"/>
      <c r="Q289" s="268"/>
      <c r="R289" s="269">
        <v>12</v>
      </c>
      <c r="S289" s="269">
        <v>9</v>
      </c>
      <c r="T289" s="269">
        <v>10</v>
      </c>
      <c r="U289" s="270">
        <v>16</v>
      </c>
      <c r="V289" s="270">
        <v>16</v>
      </c>
      <c r="W289" s="270">
        <v>8</v>
      </c>
      <c r="X289" s="270" t="s">
        <v>39</v>
      </c>
      <c r="Y289" s="269">
        <v>50</v>
      </c>
      <c r="Z289" s="270">
        <v>15</v>
      </c>
      <c r="AA289" s="270">
        <v>7</v>
      </c>
      <c r="AB289" s="270">
        <v>18</v>
      </c>
      <c r="AC289" s="270" t="s">
        <v>51</v>
      </c>
      <c r="AD289" s="269">
        <v>50</v>
      </c>
      <c r="AE289" s="269">
        <v>15.5</v>
      </c>
      <c r="AF289" s="269">
        <v>11.5</v>
      </c>
      <c r="AG289" s="269">
        <v>13</v>
      </c>
      <c r="AH289" s="269">
        <v>15</v>
      </c>
      <c r="AI289" s="269">
        <v>9</v>
      </c>
      <c r="AJ289" s="269">
        <v>12</v>
      </c>
      <c r="AK289" s="270">
        <v>16</v>
      </c>
      <c r="AL289" s="270">
        <v>16</v>
      </c>
      <c r="AM289" s="270">
        <v>8</v>
      </c>
      <c r="AN289" s="270" t="s">
        <v>39</v>
      </c>
      <c r="AO289" s="269">
        <v>50</v>
      </c>
      <c r="AP289" s="270">
        <v>15</v>
      </c>
      <c r="AQ289" s="270">
        <v>7</v>
      </c>
      <c r="AR289" s="270">
        <v>18</v>
      </c>
      <c r="AS289" s="269">
        <v>50</v>
      </c>
      <c r="AT289" s="269">
        <v>15.5</v>
      </c>
      <c r="AU289" s="269">
        <v>11.5</v>
      </c>
      <c r="AV289" s="269">
        <v>13</v>
      </c>
    </row>
    <row r="290" spans="1:48" s="271" customFormat="1" ht="23.5" customHeight="1">
      <c r="A290" s="258"/>
      <c r="B290" s="258">
        <v>62</v>
      </c>
      <c r="C290" s="282" t="s">
        <v>77</v>
      </c>
      <c r="D290" s="260">
        <v>807919</v>
      </c>
      <c r="E290" s="261">
        <f>VLOOKUP(D290,รายแปลง!E:G,3,FALSE)</f>
        <v>927110</v>
      </c>
      <c r="F290" s="262">
        <v>7.8449999999999998</v>
      </c>
      <c r="G290" s="263" t="s">
        <v>40</v>
      </c>
      <c r="H290" s="264">
        <v>0.95774799999999993</v>
      </c>
      <c r="I290" s="265">
        <v>1.3365746112450847</v>
      </c>
      <c r="J290" s="263" t="s">
        <v>41</v>
      </c>
      <c r="K290" s="266">
        <v>100.28518518488966</v>
      </c>
      <c r="L290" s="267" t="s">
        <v>29</v>
      </c>
      <c r="M290" s="262">
        <v>383.34666133546585</v>
      </c>
      <c r="N290" s="263" t="s">
        <v>30</v>
      </c>
      <c r="O290" s="268"/>
      <c r="P290" s="268"/>
      <c r="Q290" s="268"/>
      <c r="R290" s="269">
        <v>15</v>
      </c>
      <c r="S290" s="269">
        <v>6</v>
      </c>
      <c r="T290" s="269">
        <v>10</v>
      </c>
      <c r="U290" s="270">
        <v>16</v>
      </c>
      <c r="V290" s="270">
        <v>8</v>
      </c>
      <c r="W290" s="270">
        <v>8</v>
      </c>
      <c r="X290" s="270" t="s">
        <v>34</v>
      </c>
      <c r="Y290" s="270">
        <v>50</v>
      </c>
      <c r="Z290" s="270">
        <v>15</v>
      </c>
      <c r="AA290" s="270">
        <v>7</v>
      </c>
      <c r="AB290" s="270">
        <v>18</v>
      </c>
      <c r="AC290" s="270" t="s">
        <v>51</v>
      </c>
      <c r="AD290" s="270">
        <v>50</v>
      </c>
      <c r="AE290" s="269">
        <v>15.5</v>
      </c>
      <c r="AF290" s="269">
        <v>7.5</v>
      </c>
      <c r="AG290" s="269">
        <v>13</v>
      </c>
      <c r="AH290" s="269">
        <v>18</v>
      </c>
      <c r="AI290" s="269">
        <v>6</v>
      </c>
      <c r="AJ290" s="269">
        <v>12</v>
      </c>
      <c r="AK290" s="270">
        <v>16</v>
      </c>
      <c r="AL290" s="270">
        <v>8</v>
      </c>
      <c r="AM290" s="270">
        <v>8</v>
      </c>
      <c r="AN290" s="270" t="s">
        <v>34</v>
      </c>
      <c r="AO290" s="270">
        <v>50</v>
      </c>
      <c r="AP290" s="270">
        <v>21</v>
      </c>
      <c r="AQ290" s="270">
        <v>7</v>
      </c>
      <c r="AR290" s="270">
        <v>18</v>
      </c>
      <c r="AS290" s="270">
        <v>50</v>
      </c>
      <c r="AT290" s="269">
        <v>18.5</v>
      </c>
      <c r="AU290" s="269">
        <v>7.5</v>
      </c>
      <c r="AV290" s="269">
        <v>13</v>
      </c>
    </row>
    <row r="291" spans="1:48" s="271" customFormat="1" ht="23.5" customHeight="1">
      <c r="A291" s="258"/>
      <c r="B291" s="258">
        <v>62</v>
      </c>
      <c r="C291" s="282" t="s">
        <v>77</v>
      </c>
      <c r="D291" s="260">
        <v>807918</v>
      </c>
      <c r="E291" s="261">
        <f>VLOOKUP(D291,รายแปลง!E:G,3,FALSE)</f>
        <v>927109</v>
      </c>
      <c r="F291" s="262">
        <v>7.37</v>
      </c>
      <c r="G291" s="263" t="s">
        <v>40</v>
      </c>
      <c r="H291" s="264">
        <v>1.519288</v>
      </c>
      <c r="I291" s="265">
        <v>1.0095264172093144</v>
      </c>
      <c r="J291" s="263" t="s">
        <v>41</v>
      </c>
      <c r="K291" s="266">
        <v>77.957764037112781</v>
      </c>
      <c r="L291" s="267" t="s">
        <v>29</v>
      </c>
      <c r="M291" s="262">
        <v>395.94519324414534</v>
      </c>
      <c r="N291" s="263" t="s">
        <v>30</v>
      </c>
      <c r="O291" s="268"/>
      <c r="P291" s="268"/>
      <c r="Q291" s="268"/>
      <c r="R291" s="269">
        <v>15</v>
      </c>
      <c r="S291" s="269">
        <v>6</v>
      </c>
      <c r="T291" s="269">
        <v>10</v>
      </c>
      <c r="U291" s="270">
        <v>16</v>
      </c>
      <c r="V291" s="270">
        <v>8</v>
      </c>
      <c r="W291" s="270">
        <v>8</v>
      </c>
      <c r="X291" s="270" t="s">
        <v>34</v>
      </c>
      <c r="Y291" s="270">
        <v>50</v>
      </c>
      <c r="Z291" s="270">
        <v>15</v>
      </c>
      <c r="AA291" s="270">
        <v>7</v>
      </c>
      <c r="AB291" s="270">
        <v>18</v>
      </c>
      <c r="AC291" s="270" t="s">
        <v>51</v>
      </c>
      <c r="AD291" s="270">
        <v>50</v>
      </c>
      <c r="AE291" s="269">
        <v>15.5</v>
      </c>
      <c r="AF291" s="269">
        <v>7.5</v>
      </c>
      <c r="AG291" s="269">
        <v>13</v>
      </c>
      <c r="AH291" s="269">
        <v>18</v>
      </c>
      <c r="AI291" s="269">
        <v>6</v>
      </c>
      <c r="AJ291" s="269">
        <v>12</v>
      </c>
      <c r="AK291" s="270">
        <v>16</v>
      </c>
      <c r="AL291" s="270">
        <v>8</v>
      </c>
      <c r="AM291" s="270">
        <v>8</v>
      </c>
      <c r="AN291" s="270" t="s">
        <v>34</v>
      </c>
      <c r="AO291" s="270">
        <v>50</v>
      </c>
      <c r="AP291" s="270">
        <v>21</v>
      </c>
      <c r="AQ291" s="270">
        <v>7</v>
      </c>
      <c r="AR291" s="270">
        <v>18</v>
      </c>
      <c r="AS291" s="270">
        <v>50</v>
      </c>
      <c r="AT291" s="269">
        <v>18.5</v>
      </c>
      <c r="AU291" s="269">
        <v>7.5</v>
      </c>
      <c r="AV291" s="269">
        <v>13</v>
      </c>
    </row>
    <row r="292" spans="1:48" s="271" customFormat="1" ht="23.5" customHeight="1">
      <c r="A292" s="258"/>
      <c r="B292" s="258">
        <v>62</v>
      </c>
      <c r="C292" s="224" t="s">
        <v>50</v>
      </c>
      <c r="D292" s="260">
        <v>1506</v>
      </c>
      <c r="E292" s="261">
        <f>VLOOKUP(D292,รายแปลง!E:G,3,FALSE)</f>
        <v>908112</v>
      </c>
      <c r="F292" s="262">
        <v>5.8250000000000002</v>
      </c>
      <c r="G292" s="263" t="s">
        <v>28</v>
      </c>
      <c r="H292" s="264">
        <v>1.0383040000000001</v>
      </c>
      <c r="I292" s="265">
        <v>1.2133341871676468</v>
      </c>
      <c r="J292" s="263" t="s">
        <v>41</v>
      </c>
      <c r="K292" s="266">
        <v>67.536510864941022</v>
      </c>
      <c r="L292" s="267" t="s">
        <v>29</v>
      </c>
      <c r="M292" s="262">
        <v>218.23625839085526</v>
      </c>
      <c r="N292" s="263" t="s">
        <v>30</v>
      </c>
      <c r="O292" s="268"/>
      <c r="P292" s="268"/>
      <c r="Q292" s="268"/>
      <c r="R292" s="269">
        <v>15</v>
      </c>
      <c r="S292" s="269">
        <v>6</v>
      </c>
      <c r="T292" s="269">
        <v>10</v>
      </c>
      <c r="U292" s="270">
        <v>16</v>
      </c>
      <c r="V292" s="270">
        <v>8</v>
      </c>
      <c r="W292" s="270">
        <v>8</v>
      </c>
      <c r="X292" s="270" t="s">
        <v>34</v>
      </c>
      <c r="Y292" s="270">
        <v>50</v>
      </c>
      <c r="Z292" s="270">
        <v>15</v>
      </c>
      <c r="AA292" s="270">
        <v>7</v>
      </c>
      <c r="AB292" s="270">
        <v>18</v>
      </c>
      <c r="AC292" s="270" t="s">
        <v>51</v>
      </c>
      <c r="AD292" s="270">
        <v>50</v>
      </c>
      <c r="AE292" s="269">
        <v>15.5</v>
      </c>
      <c r="AF292" s="269">
        <v>7.5</v>
      </c>
      <c r="AG292" s="269">
        <v>13</v>
      </c>
      <c r="AH292" s="269">
        <v>18</v>
      </c>
      <c r="AI292" s="269">
        <v>6</v>
      </c>
      <c r="AJ292" s="269">
        <v>12</v>
      </c>
      <c r="AK292" s="270">
        <v>16</v>
      </c>
      <c r="AL292" s="270">
        <v>8</v>
      </c>
      <c r="AM292" s="270">
        <v>8</v>
      </c>
      <c r="AN292" s="270" t="s">
        <v>34</v>
      </c>
      <c r="AO292" s="270">
        <v>50</v>
      </c>
      <c r="AP292" s="270">
        <v>21</v>
      </c>
      <c r="AQ292" s="270">
        <v>7</v>
      </c>
      <c r="AR292" s="270">
        <v>18</v>
      </c>
      <c r="AS292" s="270">
        <v>50</v>
      </c>
      <c r="AT292" s="269">
        <v>18.5</v>
      </c>
      <c r="AU292" s="269">
        <v>7.5</v>
      </c>
      <c r="AV292" s="269">
        <v>13</v>
      </c>
    </row>
    <row r="293" spans="1:48" s="271" customFormat="1" ht="23.5" customHeight="1">
      <c r="A293" s="258"/>
      <c r="B293" s="258">
        <v>62</v>
      </c>
      <c r="C293" s="224" t="s">
        <v>50</v>
      </c>
      <c r="D293" s="260">
        <v>1505</v>
      </c>
      <c r="E293" s="261">
        <f>VLOOKUP(D293,รายแปลง!E:G,3,FALSE)</f>
        <v>908108</v>
      </c>
      <c r="F293" s="262">
        <v>7.5</v>
      </c>
      <c r="G293" s="263" t="s">
        <v>40</v>
      </c>
      <c r="H293" s="264">
        <v>2.360716</v>
      </c>
      <c r="I293" s="265">
        <v>1.6511119859220518</v>
      </c>
      <c r="J293" s="263" t="s">
        <v>28</v>
      </c>
      <c r="K293" s="266">
        <v>57.839664577952149</v>
      </c>
      <c r="L293" s="267" t="s">
        <v>29</v>
      </c>
      <c r="M293" s="262">
        <v>270.67962243623634</v>
      </c>
      <c r="N293" s="263" t="s">
        <v>30</v>
      </c>
      <c r="O293" s="268"/>
      <c r="P293" s="268"/>
      <c r="Q293" s="268"/>
      <c r="R293" s="269">
        <v>15</v>
      </c>
      <c r="S293" s="269">
        <v>6</v>
      </c>
      <c r="T293" s="269">
        <v>10</v>
      </c>
      <c r="U293" s="270">
        <v>16</v>
      </c>
      <c r="V293" s="270">
        <v>8</v>
      </c>
      <c r="W293" s="270">
        <v>8</v>
      </c>
      <c r="X293" s="270" t="s">
        <v>34</v>
      </c>
      <c r="Y293" s="270">
        <v>50</v>
      </c>
      <c r="Z293" s="270">
        <v>15</v>
      </c>
      <c r="AA293" s="270">
        <v>7</v>
      </c>
      <c r="AB293" s="270">
        <v>18</v>
      </c>
      <c r="AC293" s="270" t="s">
        <v>51</v>
      </c>
      <c r="AD293" s="270">
        <v>50</v>
      </c>
      <c r="AE293" s="269">
        <v>15.5</v>
      </c>
      <c r="AF293" s="269">
        <v>7.5</v>
      </c>
      <c r="AG293" s="269">
        <v>13</v>
      </c>
      <c r="AH293" s="269">
        <v>18</v>
      </c>
      <c r="AI293" s="269">
        <v>6</v>
      </c>
      <c r="AJ293" s="269">
        <v>12</v>
      </c>
      <c r="AK293" s="270">
        <v>16</v>
      </c>
      <c r="AL293" s="270">
        <v>8</v>
      </c>
      <c r="AM293" s="270">
        <v>8</v>
      </c>
      <c r="AN293" s="270" t="s">
        <v>34</v>
      </c>
      <c r="AO293" s="270">
        <v>50</v>
      </c>
      <c r="AP293" s="270">
        <v>21</v>
      </c>
      <c r="AQ293" s="270">
        <v>7</v>
      </c>
      <c r="AR293" s="270">
        <v>18</v>
      </c>
      <c r="AS293" s="270">
        <v>50</v>
      </c>
      <c r="AT293" s="269">
        <v>18.5</v>
      </c>
      <c r="AU293" s="269">
        <v>7.5</v>
      </c>
      <c r="AV293" s="269">
        <v>13</v>
      </c>
    </row>
    <row r="294" spans="1:48" s="271" customFormat="1" ht="23.5" customHeight="1">
      <c r="A294" s="258"/>
      <c r="B294" s="258">
        <v>62</v>
      </c>
      <c r="C294" s="224" t="s">
        <v>50</v>
      </c>
      <c r="D294" s="260">
        <v>1504</v>
      </c>
      <c r="E294" s="261">
        <f>VLOOKUP(D294,รายแปลง!E:G,3,FALSE)</f>
        <v>908105</v>
      </c>
      <c r="F294" s="262">
        <v>6.88</v>
      </c>
      <c r="G294" s="263" t="s">
        <v>28</v>
      </c>
      <c r="H294" s="264">
        <v>2.2889799999999996</v>
      </c>
      <c r="I294" s="265">
        <v>1.9028024728153521</v>
      </c>
      <c r="J294" s="263" t="s">
        <v>28</v>
      </c>
      <c r="K294" s="266">
        <v>14.408339038439902</v>
      </c>
      <c r="L294" s="267" t="s">
        <v>41</v>
      </c>
      <c r="M294" s="262">
        <v>296.1132672217949</v>
      </c>
      <c r="N294" s="263" t="s">
        <v>30</v>
      </c>
      <c r="O294" s="268"/>
      <c r="P294" s="268"/>
      <c r="Q294" s="268"/>
      <c r="R294" s="269">
        <v>15</v>
      </c>
      <c r="S294" s="269">
        <v>12</v>
      </c>
      <c r="T294" s="269">
        <v>10</v>
      </c>
      <c r="U294" s="270">
        <v>16</v>
      </c>
      <c r="V294" s="270">
        <v>16</v>
      </c>
      <c r="W294" s="270">
        <v>8</v>
      </c>
      <c r="X294" s="270" t="s">
        <v>39</v>
      </c>
      <c r="Y294" s="269">
        <v>50</v>
      </c>
      <c r="Z294" s="270">
        <v>15</v>
      </c>
      <c r="AA294" s="270">
        <v>7</v>
      </c>
      <c r="AB294" s="270">
        <v>18</v>
      </c>
      <c r="AC294" s="270" t="s">
        <v>51</v>
      </c>
      <c r="AD294" s="269">
        <v>50</v>
      </c>
      <c r="AE294" s="269">
        <v>15.5</v>
      </c>
      <c r="AF294" s="269">
        <v>11.5</v>
      </c>
      <c r="AG294" s="269">
        <v>13</v>
      </c>
      <c r="AH294" s="269">
        <v>18</v>
      </c>
      <c r="AI294" s="269">
        <v>12</v>
      </c>
      <c r="AJ294" s="269">
        <v>12</v>
      </c>
      <c r="AK294" s="270">
        <v>16</v>
      </c>
      <c r="AL294" s="270">
        <v>16</v>
      </c>
      <c r="AM294" s="270">
        <v>8</v>
      </c>
      <c r="AN294" s="270" t="s">
        <v>39</v>
      </c>
      <c r="AO294" s="269">
        <v>50</v>
      </c>
      <c r="AP294" s="270">
        <v>21</v>
      </c>
      <c r="AQ294" s="270">
        <v>7</v>
      </c>
      <c r="AR294" s="270">
        <v>18</v>
      </c>
      <c r="AS294" s="269">
        <v>50</v>
      </c>
      <c r="AT294" s="269">
        <v>18.5</v>
      </c>
      <c r="AU294" s="269">
        <v>11.5</v>
      </c>
      <c r="AV294" s="269">
        <v>13</v>
      </c>
    </row>
    <row r="295" spans="1:48" s="271" customFormat="1" ht="23.5" customHeight="1">
      <c r="A295" s="258"/>
      <c r="B295" s="258">
        <v>62</v>
      </c>
      <c r="C295" s="224" t="s">
        <v>50</v>
      </c>
      <c r="D295" s="260">
        <v>1502</v>
      </c>
      <c r="E295" s="261">
        <f>VLOOKUP(D295,รายแปลง!E:G,3,FALSE)</f>
        <v>908102</v>
      </c>
      <c r="F295" s="262">
        <v>7.32</v>
      </c>
      <c r="G295" s="263" t="s">
        <v>40</v>
      </c>
      <c r="H295" s="264">
        <v>0.84250000000000003</v>
      </c>
      <c r="I295" s="265">
        <v>1.3391822624414058</v>
      </c>
      <c r="J295" s="263" t="s">
        <v>41</v>
      </c>
      <c r="K295" s="266">
        <v>32.048147586869462</v>
      </c>
      <c r="L295" s="267" t="s">
        <v>28</v>
      </c>
      <c r="M295" s="262">
        <v>279.11383468075837</v>
      </c>
      <c r="N295" s="263" t="s">
        <v>30</v>
      </c>
      <c r="O295" s="268"/>
      <c r="P295" s="268"/>
      <c r="Q295" s="268"/>
      <c r="R295" s="269">
        <v>15</v>
      </c>
      <c r="S295" s="269">
        <v>6</v>
      </c>
      <c r="T295" s="269">
        <v>10</v>
      </c>
      <c r="U295" s="270">
        <v>16</v>
      </c>
      <c r="V295" s="270">
        <v>8</v>
      </c>
      <c r="W295" s="270">
        <v>8</v>
      </c>
      <c r="X295" s="270" t="s">
        <v>34</v>
      </c>
      <c r="Y295" s="270">
        <v>50</v>
      </c>
      <c r="Z295" s="270">
        <v>15</v>
      </c>
      <c r="AA295" s="270">
        <v>7</v>
      </c>
      <c r="AB295" s="270">
        <v>18</v>
      </c>
      <c r="AC295" s="270" t="s">
        <v>51</v>
      </c>
      <c r="AD295" s="270">
        <v>50</v>
      </c>
      <c r="AE295" s="269">
        <v>15.5</v>
      </c>
      <c r="AF295" s="269">
        <v>7.5</v>
      </c>
      <c r="AG295" s="269">
        <v>13</v>
      </c>
      <c r="AH295" s="269">
        <v>18</v>
      </c>
      <c r="AI295" s="269">
        <v>6</v>
      </c>
      <c r="AJ295" s="269">
        <v>12</v>
      </c>
      <c r="AK295" s="270">
        <v>16</v>
      </c>
      <c r="AL295" s="270">
        <v>8</v>
      </c>
      <c r="AM295" s="270">
        <v>8</v>
      </c>
      <c r="AN295" s="270" t="s">
        <v>34</v>
      </c>
      <c r="AO295" s="270">
        <v>50</v>
      </c>
      <c r="AP295" s="270">
        <v>21</v>
      </c>
      <c r="AQ295" s="270">
        <v>7</v>
      </c>
      <c r="AR295" s="270">
        <v>18</v>
      </c>
      <c r="AS295" s="270">
        <v>50</v>
      </c>
      <c r="AT295" s="269">
        <v>18.5</v>
      </c>
      <c r="AU295" s="269">
        <v>7.5</v>
      </c>
      <c r="AV295" s="269">
        <v>13</v>
      </c>
    </row>
    <row r="296" spans="1:48" s="271" customFormat="1" ht="23.5" customHeight="1">
      <c r="A296" s="258"/>
      <c r="B296" s="258">
        <v>62</v>
      </c>
      <c r="C296" s="224" t="s">
        <v>50</v>
      </c>
      <c r="D296" s="260" t="s">
        <v>89</v>
      </c>
      <c r="E296" s="261">
        <f>VLOOKUP(D296,รายแปลง!E:G,3,FALSE)</f>
        <v>908104</v>
      </c>
      <c r="F296" s="262">
        <v>6.875</v>
      </c>
      <c r="G296" s="263" t="s">
        <v>28</v>
      </c>
      <c r="H296" s="264">
        <v>1.6845159999999999</v>
      </c>
      <c r="I296" s="265">
        <v>2.1840337106350125</v>
      </c>
      <c r="J296" s="263" t="s">
        <v>28</v>
      </c>
      <c r="K296" s="266">
        <v>73.156444970273554</v>
      </c>
      <c r="L296" s="267" t="s">
        <v>29</v>
      </c>
      <c r="M296" s="262">
        <v>242.77540536456971</v>
      </c>
      <c r="N296" s="263" t="s">
        <v>30</v>
      </c>
      <c r="O296" s="268"/>
      <c r="P296" s="268"/>
      <c r="Q296" s="268"/>
      <c r="R296" s="269">
        <v>12</v>
      </c>
      <c r="S296" s="269">
        <v>6</v>
      </c>
      <c r="T296" s="269">
        <v>10</v>
      </c>
      <c r="U296" s="270">
        <v>16</v>
      </c>
      <c r="V296" s="270">
        <v>8</v>
      </c>
      <c r="W296" s="270">
        <v>8</v>
      </c>
      <c r="X296" s="270" t="s">
        <v>34</v>
      </c>
      <c r="Y296" s="270">
        <v>50</v>
      </c>
      <c r="Z296" s="270">
        <v>15</v>
      </c>
      <c r="AA296" s="270">
        <v>7</v>
      </c>
      <c r="AB296" s="270">
        <v>18</v>
      </c>
      <c r="AC296" s="270" t="s">
        <v>51</v>
      </c>
      <c r="AD296" s="270">
        <v>50</v>
      </c>
      <c r="AE296" s="269">
        <v>15.5</v>
      </c>
      <c r="AF296" s="269">
        <v>7.5</v>
      </c>
      <c r="AG296" s="269">
        <v>13</v>
      </c>
      <c r="AH296" s="269">
        <v>15</v>
      </c>
      <c r="AI296" s="269">
        <v>6</v>
      </c>
      <c r="AJ296" s="269">
        <v>12</v>
      </c>
      <c r="AK296" s="270">
        <v>16</v>
      </c>
      <c r="AL296" s="270">
        <v>8</v>
      </c>
      <c r="AM296" s="270">
        <v>8</v>
      </c>
      <c r="AN296" s="270" t="s">
        <v>34</v>
      </c>
      <c r="AO296" s="270">
        <v>50</v>
      </c>
      <c r="AP296" s="270">
        <v>15</v>
      </c>
      <c r="AQ296" s="270">
        <v>7</v>
      </c>
      <c r="AR296" s="270">
        <v>18</v>
      </c>
      <c r="AS296" s="270">
        <v>50</v>
      </c>
      <c r="AT296" s="269">
        <v>15.5</v>
      </c>
      <c r="AU296" s="269">
        <v>7.5</v>
      </c>
      <c r="AV296" s="269">
        <v>13</v>
      </c>
    </row>
    <row r="297" spans="1:48" s="271" customFormat="1" ht="23.5" customHeight="1">
      <c r="A297" s="258"/>
      <c r="B297" s="258">
        <v>62</v>
      </c>
      <c r="C297" s="224" t="s">
        <v>50</v>
      </c>
      <c r="D297" s="260">
        <v>1507</v>
      </c>
      <c r="E297" s="261">
        <f>VLOOKUP(D297,รายแปลง!E:G,3,FALSE)</f>
        <v>908114</v>
      </c>
      <c r="F297" s="262">
        <v>6.62</v>
      </c>
      <c r="G297" s="263" t="s">
        <v>28</v>
      </c>
      <c r="H297" s="264">
        <v>1.7356720000000001</v>
      </c>
      <c r="I297" s="265">
        <v>1.6415375096353051</v>
      </c>
      <c r="J297" s="263" t="s">
        <v>28</v>
      </c>
      <c r="K297" s="266">
        <v>77.997004900477862</v>
      </c>
      <c r="L297" s="267" t="s">
        <v>29</v>
      </c>
      <c r="M297" s="262">
        <v>322.16467065868267</v>
      </c>
      <c r="N297" s="263" t="s">
        <v>30</v>
      </c>
      <c r="O297" s="268"/>
      <c r="P297" s="268"/>
      <c r="Q297" s="268"/>
      <c r="R297" s="269">
        <v>15</v>
      </c>
      <c r="S297" s="269">
        <v>6</v>
      </c>
      <c r="T297" s="269">
        <v>10</v>
      </c>
      <c r="U297" s="270">
        <v>16</v>
      </c>
      <c r="V297" s="270">
        <v>8</v>
      </c>
      <c r="W297" s="270">
        <v>8</v>
      </c>
      <c r="X297" s="270" t="s">
        <v>34</v>
      </c>
      <c r="Y297" s="270">
        <v>50</v>
      </c>
      <c r="Z297" s="270">
        <v>15</v>
      </c>
      <c r="AA297" s="270">
        <v>7</v>
      </c>
      <c r="AB297" s="270">
        <v>18</v>
      </c>
      <c r="AC297" s="270" t="s">
        <v>51</v>
      </c>
      <c r="AD297" s="270">
        <v>50</v>
      </c>
      <c r="AE297" s="269">
        <v>15.5</v>
      </c>
      <c r="AF297" s="269">
        <v>7.5</v>
      </c>
      <c r="AG297" s="269">
        <v>13</v>
      </c>
      <c r="AH297" s="269">
        <v>18</v>
      </c>
      <c r="AI297" s="269">
        <v>6</v>
      </c>
      <c r="AJ297" s="269">
        <v>12</v>
      </c>
      <c r="AK297" s="270">
        <v>16</v>
      </c>
      <c r="AL297" s="270">
        <v>8</v>
      </c>
      <c r="AM297" s="270">
        <v>8</v>
      </c>
      <c r="AN297" s="270" t="s">
        <v>34</v>
      </c>
      <c r="AO297" s="270">
        <v>50</v>
      </c>
      <c r="AP297" s="270">
        <v>21</v>
      </c>
      <c r="AQ297" s="270">
        <v>7</v>
      </c>
      <c r="AR297" s="270">
        <v>18</v>
      </c>
      <c r="AS297" s="270">
        <v>50</v>
      </c>
      <c r="AT297" s="269">
        <v>18.5</v>
      </c>
      <c r="AU297" s="269">
        <v>7.5</v>
      </c>
      <c r="AV297" s="269">
        <v>13</v>
      </c>
    </row>
    <row r="298" spans="1:48" s="271" customFormat="1" ht="23.5" customHeight="1">
      <c r="A298" s="258"/>
      <c r="B298" s="258">
        <v>62</v>
      </c>
      <c r="C298" s="224" t="s">
        <v>50</v>
      </c>
      <c r="D298" s="260">
        <v>1523</v>
      </c>
      <c r="E298" s="261">
        <f>VLOOKUP(D298,รายแปลง!E:G,3,FALSE)</f>
        <v>908122</v>
      </c>
      <c r="F298" s="262">
        <v>7.1950000000000003</v>
      </c>
      <c r="G298" s="263" t="s">
        <v>28</v>
      </c>
      <c r="H298" s="264">
        <v>1.3587639999999999</v>
      </c>
      <c r="I298" s="265">
        <v>1.7380481325914858</v>
      </c>
      <c r="J298" s="263" t="s">
        <v>28</v>
      </c>
      <c r="K298" s="266">
        <v>10.854508047142749</v>
      </c>
      <c r="L298" s="267" t="s">
        <v>41</v>
      </c>
      <c r="M298" s="262">
        <v>223.23212145425489</v>
      </c>
      <c r="N298" s="263" t="s">
        <v>30</v>
      </c>
      <c r="O298" s="268"/>
      <c r="P298" s="268"/>
      <c r="Q298" s="268"/>
      <c r="R298" s="269">
        <v>15</v>
      </c>
      <c r="S298" s="269">
        <v>12</v>
      </c>
      <c r="T298" s="269">
        <v>10</v>
      </c>
      <c r="U298" s="270">
        <v>16</v>
      </c>
      <c r="V298" s="270">
        <v>16</v>
      </c>
      <c r="W298" s="270">
        <v>8</v>
      </c>
      <c r="X298" s="270" t="s">
        <v>39</v>
      </c>
      <c r="Y298" s="269">
        <v>50</v>
      </c>
      <c r="Z298" s="270">
        <v>15</v>
      </c>
      <c r="AA298" s="270">
        <v>7</v>
      </c>
      <c r="AB298" s="270">
        <v>18</v>
      </c>
      <c r="AC298" s="270" t="s">
        <v>51</v>
      </c>
      <c r="AD298" s="269">
        <v>50</v>
      </c>
      <c r="AE298" s="269">
        <v>15.5</v>
      </c>
      <c r="AF298" s="269">
        <v>11.5</v>
      </c>
      <c r="AG298" s="269">
        <v>13</v>
      </c>
      <c r="AH298" s="269">
        <v>18</v>
      </c>
      <c r="AI298" s="269">
        <v>12</v>
      </c>
      <c r="AJ298" s="269">
        <v>12</v>
      </c>
      <c r="AK298" s="270">
        <v>16</v>
      </c>
      <c r="AL298" s="270">
        <v>16</v>
      </c>
      <c r="AM298" s="270">
        <v>8</v>
      </c>
      <c r="AN298" s="270" t="s">
        <v>39</v>
      </c>
      <c r="AO298" s="269">
        <v>50</v>
      </c>
      <c r="AP298" s="270">
        <v>21</v>
      </c>
      <c r="AQ298" s="270">
        <v>7</v>
      </c>
      <c r="AR298" s="270">
        <v>18</v>
      </c>
      <c r="AS298" s="269">
        <v>50</v>
      </c>
      <c r="AT298" s="269">
        <v>18.5</v>
      </c>
      <c r="AU298" s="269">
        <v>11.5</v>
      </c>
      <c r="AV298" s="269">
        <v>13</v>
      </c>
    </row>
    <row r="299" spans="1:48" s="271" customFormat="1" ht="23.5" customHeight="1">
      <c r="A299" s="258"/>
      <c r="B299" s="258">
        <v>62</v>
      </c>
      <c r="C299" s="224" t="s">
        <v>50</v>
      </c>
      <c r="D299" s="260">
        <v>1520</v>
      </c>
      <c r="E299" s="261">
        <f>VLOOKUP(D299,รายแปลง!E:G,3,FALSE)</f>
        <v>907129</v>
      </c>
      <c r="F299" s="262">
        <v>6.75</v>
      </c>
      <c r="G299" s="263" t="s">
        <v>28</v>
      </c>
      <c r="H299" s="264">
        <v>0.42149200000000003</v>
      </c>
      <c r="I299" s="265">
        <v>1.2508977976478375</v>
      </c>
      <c r="J299" s="263" t="s">
        <v>41</v>
      </c>
      <c r="K299" s="266">
        <v>6.1229995150633645</v>
      </c>
      <c r="L299" s="267" t="s">
        <v>37</v>
      </c>
      <c r="M299" s="262">
        <v>187.08996598661128</v>
      </c>
      <c r="N299" s="263" t="s">
        <v>30</v>
      </c>
      <c r="O299" s="268"/>
      <c r="P299" s="268"/>
      <c r="Q299" s="268"/>
      <c r="R299" s="269">
        <v>15</v>
      </c>
      <c r="S299" s="269">
        <v>12</v>
      </c>
      <c r="T299" s="269">
        <v>10</v>
      </c>
      <c r="U299" s="270">
        <v>16</v>
      </c>
      <c r="V299" s="270">
        <v>16</v>
      </c>
      <c r="W299" s="270">
        <v>8</v>
      </c>
      <c r="X299" s="270" t="s">
        <v>39</v>
      </c>
      <c r="Y299" s="269">
        <v>50</v>
      </c>
      <c r="Z299" s="270">
        <v>15</v>
      </c>
      <c r="AA299" s="270">
        <v>7</v>
      </c>
      <c r="AB299" s="270">
        <v>18</v>
      </c>
      <c r="AC299" s="270" t="s">
        <v>51</v>
      </c>
      <c r="AD299" s="269">
        <v>50</v>
      </c>
      <c r="AE299" s="269">
        <v>15.5</v>
      </c>
      <c r="AF299" s="269">
        <v>11.5</v>
      </c>
      <c r="AG299" s="269">
        <v>13</v>
      </c>
      <c r="AH299" s="269">
        <v>18</v>
      </c>
      <c r="AI299" s="269">
        <v>12</v>
      </c>
      <c r="AJ299" s="269">
        <v>12</v>
      </c>
      <c r="AK299" s="270">
        <v>16</v>
      </c>
      <c r="AL299" s="270">
        <v>16</v>
      </c>
      <c r="AM299" s="270">
        <v>8</v>
      </c>
      <c r="AN299" s="270" t="s">
        <v>39</v>
      </c>
      <c r="AO299" s="269">
        <v>50</v>
      </c>
      <c r="AP299" s="270">
        <v>21</v>
      </c>
      <c r="AQ299" s="270">
        <v>7</v>
      </c>
      <c r="AR299" s="270">
        <v>18</v>
      </c>
      <c r="AS299" s="269">
        <v>50</v>
      </c>
      <c r="AT299" s="269">
        <v>18.5</v>
      </c>
      <c r="AU299" s="269">
        <v>11.5</v>
      </c>
      <c r="AV299" s="269">
        <v>13</v>
      </c>
    </row>
    <row r="300" spans="1:48" s="271" customFormat="1" ht="23.5" customHeight="1">
      <c r="A300" s="258"/>
      <c r="B300" s="258">
        <v>62</v>
      </c>
      <c r="C300" s="224" t="s">
        <v>50</v>
      </c>
      <c r="D300" s="260">
        <v>1510</v>
      </c>
      <c r="E300" s="261">
        <f>VLOOKUP(D300,รายแปลง!E:G,3,FALSE)</f>
        <v>908115</v>
      </c>
      <c r="F300" s="262">
        <v>7.0250000000000004</v>
      </c>
      <c r="G300" s="263" t="s">
        <v>28</v>
      </c>
      <c r="H300" s="264">
        <v>1.27468</v>
      </c>
      <c r="I300" s="265">
        <v>2.5881972764242089</v>
      </c>
      <c r="J300" s="263" t="s">
        <v>29</v>
      </c>
      <c r="K300" s="266">
        <v>259.92391639374478</v>
      </c>
      <c r="L300" s="267" t="s">
        <v>29</v>
      </c>
      <c r="M300" s="262">
        <v>375.55259306931453</v>
      </c>
      <c r="N300" s="263" t="s">
        <v>30</v>
      </c>
      <c r="O300" s="268"/>
      <c r="P300" s="268"/>
      <c r="Q300" s="268"/>
      <c r="R300" s="269">
        <v>12</v>
      </c>
      <c r="S300" s="269">
        <v>6</v>
      </c>
      <c r="T300" s="269">
        <v>10</v>
      </c>
      <c r="U300" s="270">
        <v>16</v>
      </c>
      <c r="V300" s="270">
        <v>8</v>
      </c>
      <c r="W300" s="270">
        <v>8</v>
      </c>
      <c r="X300" s="270" t="s">
        <v>34</v>
      </c>
      <c r="Y300" s="270">
        <v>50</v>
      </c>
      <c r="Z300" s="270">
        <v>15</v>
      </c>
      <c r="AA300" s="270">
        <v>7</v>
      </c>
      <c r="AB300" s="270">
        <v>18</v>
      </c>
      <c r="AC300" s="270" t="s">
        <v>51</v>
      </c>
      <c r="AD300" s="270">
        <v>50</v>
      </c>
      <c r="AE300" s="269">
        <v>15.5</v>
      </c>
      <c r="AF300" s="269">
        <v>7.5</v>
      </c>
      <c r="AG300" s="269">
        <v>13</v>
      </c>
      <c r="AH300" s="269">
        <v>15</v>
      </c>
      <c r="AI300" s="269">
        <v>6</v>
      </c>
      <c r="AJ300" s="269">
        <v>12</v>
      </c>
      <c r="AK300" s="270">
        <v>16</v>
      </c>
      <c r="AL300" s="270">
        <v>8</v>
      </c>
      <c r="AM300" s="270">
        <v>8</v>
      </c>
      <c r="AN300" s="270" t="s">
        <v>34</v>
      </c>
      <c r="AO300" s="270">
        <v>50</v>
      </c>
      <c r="AP300" s="270">
        <v>15</v>
      </c>
      <c r="AQ300" s="270">
        <v>7</v>
      </c>
      <c r="AR300" s="270">
        <v>18</v>
      </c>
      <c r="AS300" s="270">
        <v>50</v>
      </c>
      <c r="AT300" s="269">
        <v>15.5</v>
      </c>
      <c r="AU300" s="269">
        <v>7.5</v>
      </c>
      <c r="AV300" s="269">
        <v>13</v>
      </c>
    </row>
    <row r="301" spans="1:48" s="271" customFormat="1" ht="23.5" customHeight="1">
      <c r="A301" s="258"/>
      <c r="B301" s="258">
        <v>62</v>
      </c>
      <c r="C301" s="224" t="s">
        <v>50</v>
      </c>
      <c r="D301" s="260">
        <v>1519</v>
      </c>
      <c r="E301" s="261">
        <f>VLOOKUP(D301,รายแปลง!E:G,3,FALSE)</f>
        <v>908121</v>
      </c>
      <c r="F301" s="262">
        <v>7.5649999999999995</v>
      </c>
      <c r="G301" s="263" t="s">
        <v>40</v>
      </c>
      <c r="H301" s="264">
        <v>1.1900080000000002</v>
      </c>
      <c r="I301" s="265">
        <v>2.1970201031385228</v>
      </c>
      <c r="J301" s="263" t="s">
        <v>28</v>
      </c>
      <c r="K301" s="266">
        <v>43.366347877608519</v>
      </c>
      <c r="L301" s="267" t="s">
        <v>29</v>
      </c>
      <c r="M301" s="262">
        <v>306.64438361220959</v>
      </c>
      <c r="N301" s="263" t="s">
        <v>30</v>
      </c>
      <c r="O301" s="268"/>
      <c r="P301" s="268"/>
      <c r="Q301" s="268"/>
      <c r="R301" s="269">
        <v>12</v>
      </c>
      <c r="S301" s="269">
        <v>6</v>
      </c>
      <c r="T301" s="269">
        <v>10</v>
      </c>
      <c r="U301" s="270">
        <v>16</v>
      </c>
      <c r="V301" s="270">
        <v>8</v>
      </c>
      <c r="W301" s="270">
        <v>8</v>
      </c>
      <c r="X301" s="270" t="s">
        <v>34</v>
      </c>
      <c r="Y301" s="270">
        <v>50</v>
      </c>
      <c r="Z301" s="270">
        <v>15</v>
      </c>
      <c r="AA301" s="270">
        <v>7</v>
      </c>
      <c r="AB301" s="270">
        <v>18</v>
      </c>
      <c r="AC301" s="270" t="s">
        <v>51</v>
      </c>
      <c r="AD301" s="270">
        <v>50</v>
      </c>
      <c r="AE301" s="269">
        <v>15.5</v>
      </c>
      <c r="AF301" s="269">
        <v>7.5</v>
      </c>
      <c r="AG301" s="269">
        <v>13</v>
      </c>
      <c r="AH301" s="269">
        <v>15</v>
      </c>
      <c r="AI301" s="269">
        <v>6</v>
      </c>
      <c r="AJ301" s="269">
        <v>12</v>
      </c>
      <c r="AK301" s="270">
        <v>16</v>
      </c>
      <c r="AL301" s="270">
        <v>8</v>
      </c>
      <c r="AM301" s="270">
        <v>8</v>
      </c>
      <c r="AN301" s="270" t="s">
        <v>34</v>
      </c>
      <c r="AO301" s="270">
        <v>50</v>
      </c>
      <c r="AP301" s="270">
        <v>15</v>
      </c>
      <c r="AQ301" s="270">
        <v>7</v>
      </c>
      <c r="AR301" s="270">
        <v>18</v>
      </c>
      <c r="AS301" s="270">
        <v>50</v>
      </c>
      <c r="AT301" s="269">
        <v>15.5</v>
      </c>
      <c r="AU301" s="269">
        <v>7.5</v>
      </c>
      <c r="AV301" s="269">
        <v>13</v>
      </c>
    </row>
    <row r="302" spans="1:48" s="271" customFormat="1" ht="23.5" customHeight="1">
      <c r="A302" s="258"/>
      <c r="B302" s="258">
        <v>62</v>
      </c>
      <c r="C302" s="259" t="s">
        <v>57</v>
      </c>
      <c r="D302" s="260">
        <v>105</v>
      </c>
      <c r="E302" s="261">
        <f>VLOOKUP(D302,รายแปลง!E:G,3,FALSE)</f>
        <v>900120</v>
      </c>
      <c r="F302" s="262">
        <v>6.4550000000000001</v>
      </c>
      <c r="G302" s="263" t="s">
        <v>28</v>
      </c>
      <c r="H302" s="264">
        <v>0.50028399999999995</v>
      </c>
      <c r="I302" s="265">
        <v>0.55695693513163524</v>
      </c>
      <c r="J302" s="263" t="s">
        <v>37</v>
      </c>
      <c r="K302" s="266">
        <v>59.528716507925303</v>
      </c>
      <c r="L302" s="267" t="s">
        <v>29</v>
      </c>
      <c r="M302" s="262">
        <v>253.82783321894215</v>
      </c>
      <c r="N302" s="263" t="s">
        <v>30</v>
      </c>
      <c r="O302" s="268"/>
      <c r="P302" s="268"/>
      <c r="Q302" s="268"/>
      <c r="R302" s="269">
        <v>18</v>
      </c>
      <c r="S302" s="269">
        <v>6</v>
      </c>
      <c r="T302" s="269">
        <v>10</v>
      </c>
      <c r="U302" s="270">
        <v>16</v>
      </c>
      <c r="V302" s="270">
        <v>8</v>
      </c>
      <c r="W302" s="270">
        <v>8</v>
      </c>
      <c r="X302" s="270" t="s">
        <v>34</v>
      </c>
      <c r="Y302" s="270">
        <v>50</v>
      </c>
      <c r="Z302" s="270">
        <v>21</v>
      </c>
      <c r="AA302" s="270">
        <v>7</v>
      </c>
      <c r="AB302" s="270">
        <v>18</v>
      </c>
      <c r="AC302" s="270" t="s">
        <v>35</v>
      </c>
      <c r="AD302" s="269">
        <v>50</v>
      </c>
      <c r="AE302" s="269">
        <v>18.5</v>
      </c>
      <c r="AF302" s="269">
        <v>7.5</v>
      </c>
      <c r="AG302" s="269">
        <v>13</v>
      </c>
      <c r="AH302" s="269">
        <v>24</v>
      </c>
      <c r="AI302" s="269">
        <v>6</v>
      </c>
      <c r="AJ302" s="269">
        <v>12</v>
      </c>
      <c r="AK302" s="270">
        <v>25</v>
      </c>
      <c r="AL302" s="270">
        <v>7</v>
      </c>
      <c r="AM302" s="270">
        <v>7</v>
      </c>
      <c r="AN302" s="270" t="s">
        <v>90</v>
      </c>
      <c r="AO302" s="270">
        <v>50</v>
      </c>
      <c r="AP302" s="270">
        <v>21</v>
      </c>
      <c r="AQ302" s="270">
        <v>7</v>
      </c>
      <c r="AR302" s="270">
        <v>18</v>
      </c>
      <c r="AS302" s="270">
        <v>50</v>
      </c>
      <c r="AT302" s="269">
        <v>23</v>
      </c>
      <c r="AU302" s="269">
        <v>7</v>
      </c>
      <c r="AV302" s="269">
        <v>12.5</v>
      </c>
    </row>
    <row r="303" spans="1:48" s="271" customFormat="1" ht="23.5" customHeight="1">
      <c r="A303" s="258"/>
      <c r="B303" s="258">
        <v>62</v>
      </c>
      <c r="C303" s="259" t="s">
        <v>57</v>
      </c>
      <c r="D303" s="260">
        <v>406</v>
      </c>
      <c r="E303" s="261">
        <f>VLOOKUP(D303,รายแปลง!E:G,3,FALSE)</f>
        <v>900113</v>
      </c>
      <c r="F303" s="262">
        <v>6.16</v>
      </c>
      <c r="G303" s="263" t="s">
        <v>28</v>
      </c>
      <c r="H303" s="264">
        <v>0.59553999999999996</v>
      </c>
      <c r="I303" s="265">
        <v>0.55904121860759615</v>
      </c>
      <c r="J303" s="263" t="s">
        <v>37</v>
      </c>
      <c r="K303" s="266">
        <v>65.429489260882121</v>
      </c>
      <c r="L303" s="267" t="s">
        <v>29</v>
      </c>
      <c r="M303" s="262">
        <v>238.40047597136882</v>
      </c>
      <c r="N303" s="263" t="s">
        <v>30</v>
      </c>
      <c r="O303" s="268"/>
      <c r="P303" s="268"/>
      <c r="Q303" s="268"/>
      <c r="R303" s="269">
        <v>18</v>
      </c>
      <c r="S303" s="269">
        <v>6</v>
      </c>
      <c r="T303" s="269">
        <v>10</v>
      </c>
      <c r="U303" s="270">
        <v>16</v>
      </c>
      <c r="V303" s="270">
        <v>8</v>
      </c>
      <c r="W303" s="270">
        <v>8</v>
      </c>
      <c r="X303" s="270" t="s">
        <v>34</v>
      </c>
      <c r="Y303" s="270">
        <v>50</v>
      </c>
      <c r="Z303" s="270">
        <v>21</v>
      </c>
      <c r="AA303" s="270">
        <v>7</v>
      </c>
      <c r="AB303" s="270">
        <v>18</v>
      </c>
      <c r="AC303" s="270" t="s">
        <v>35</v>
      </c>
      <c r="AD303" s="269">
        <v>50</v>
      </c>
      <c r="AE303" s="269">
        <v>18.5</v>
      </c>
      <c r="AF303" s="269">
        <v>7.5</v>
      </c>
      <c r="AG303" s="269">
        <v>13</v>
      </c>
      <c r="AH303" s="269">
        <v>24</v>
      </c>
      <c r="AI303" s="269">
        <v>6</v>
      </c>
      <c r="AJ303" s="269">
        <v>12</v>
      </c>
      <c r="AK303" s="270">
        <v>25</v>
      </c>
      <c r="AL303" s="270">
        <v>7</v>
      </c>
      <c r="AM303" s="270">
        <v>7</v>
      </c>
      <c r="AN303" s="270" t="s">
        <v>90</v>
      </c>
      <c r="AO303" s="270">
        <v>50</v>
      </c>
      <c r="AP303" s="270">
        <v>21</v>
      </c>
      <c r="AQ303" s="270">
        <v>7</v>
      </c>
      <c r="AR303" s="270">
        <v>18</v>
      </c>
      <c r="AS303" s="270">
        <v>50</v>
      </c>
      <c r="AT303" s="269">
        <v>23</v>
      </c>
      <c r="AU303" s="269">
        <v>7</v>
      </c>
      <c r="AV303" s="269">
        <v>12.5</v>
      </c>
    </row>
    <row r="304" spans="1:48" s="271" customFormat="1" ht="23.5" customHeight="1">
      <c r="A304" s="258"/>
      <c r="B304" s="258">
        <v>62</v>
      </c>
      <c r="C304" s="259" t="s">
        <v>57</v>
      </c>
      <c r="D304" s="260">
        <v>125</v>
      </c>
      <c r="E304" s="261">
        <f>VLOOKUP(D304,รายแปลง!E:G,3,FALSE)</f>
        <v>900102</v>
      </c>
      <c r="F304" s="262">
        <v>5.7</v>
      </c>
      <c r="G304" s="263" t="s">
        <v>28</v>
      </c>
      <c r="H304" s="264">
        <v>1.0530040000000001</v>
      </c>
      <c r="I304" s="265">
        <v>0.52818139337764802</v>
      </c>
      <c r="J304" s="263" t="s">
        <v>37</v>
      </c>
      <c r="K304" s="266">
        <v>85.228916033939754</v>
      </c>
      <c r="L304" s="267" t="s">
        <v>29</v>
      </c>
      <c r="M304" s="262">
        <v>278.82822000606052</v>
      </c>
      <c r="N304" s="263" t="s">
        <v>30</v>
      </c>
      <c r="O304" s="268"/>
      <c r="P304" s="268"/>
      <c r="Q304" s="268"/>
      <c r="R304" s="269">
        <v>18</v>
      </c>
      <c r="S304" s="269">
        <v>6</v>
      </c>
      <c r="T304" s="269">
        <v>10</v>
      </c>
      <c r="U304" s="270">
        <v>16</v>
      </c>
      <c r="V304" s="270">
        <v>8</v>
      </c>
      <c r="W304" s="270">
        <v>8</v>
      </c>
      <c r="X304" s="270" t="s">
        <v>34</v>
      </c>
      <c r="Y304" s="270">
        <v>50</v>
      </c>
      <c r="Z304" s="270">
        <v>21</v>
      </c>
      <c r="AA304" s="270">
        <v>7</v>
      </c>
      <c r="AB304" s="270">
        <v>18</v>
      </c>
      <c r="AC304" s="270" t="s">
        <v>35</v>
      </c>
      <c r="AD304" s="269">
        <v>50</v>
      </c>
      <c r="AE304" s="269">
        <v>18.5</v>
      </c>
      <c r="AF304" s="269">
        <v>7.5</v>
      </c>
      <c r="AG304" s="269">
        <v>13</v>
      </c>
      <c r="AH304" s="269">
        <v>24</v>
      </c>
      <c r="AI304" s="269">
        <v>6</v>
      </c>
      <c r="AJ304" s="269">
        <v>12</v>
      </c>
      <c r="AK304" s="270">
        <v>25</v>
      </c>
      <c r="AL304" s="270">
        <v>7</v>
      </c>
      <c r="AM304" s="270">
        <v>7</v>
      </c>
      <c r="AN304" s="270" t="s">
        <v>90</v>
      </c>
      <c r="AO304" s="270">
        <v>50</v>
      </c>
      <c r="AP304" s="270">
        <v>21</v>
      </c>
      <c r="AQ304" s="270">
        <v>7</v>
      </c>
      <c r="AR304" s="270">
        <v>18</v>
      </c>
      <c r="AS304" s="270">
        <v>50</v>
      </c>
      <c r="AT304" s="269">
        <v>23</v>
      </c>
      <c r="AU304" s="269">
        <v>7</v>
      </c>
      <c r="AV304" s="269">
        <v>12.5</v>
      </c>
    </row>
    <row r="305" spans="1:48" s="271" customFormat="1" ht="23.5" customHeight="1">
      <c r="A305" s="258"/>
      <c r="B305" s="258">
        <v>62</v>
      </c>
      <c r="C305" s="259" t="s">
        <v>57</v>
      </c>
      <c r="D305" s="260">
        <v>128</v>
      </c>
      <c r="E305" s="261">
        <f>VLOOKUP(D305,รายแปลง!E:G,3,FALSE)</f>
        <v>900104</v>
      </c>
      <c r="F305" s="262">
        <v>5.6050000000000004</v>
      </c>
      <c r="G305" s="263" t="s">
        <v>28</v>
      </c>
      <c r="H305" s="264">
        <v>1.1047480000000001</v>
      </c>
      <c r="I305" s="265">
        <v>0.55464786462672366</v>
      </c>
      <c r="J305" s="263" t="s">
        <v>37</v>
      </c>
      <c r="K305" s="266">
        <v>77.075771906960966</v>
      </c>
      <c r="L305" s="267" t="s">
        <v>29</v>
      </c>
      <c r="M305" s="262">
        <v>172.91220505701008</v>
      </c>
      <c r="N305" s="263" t="s">
        <v>30</v>
      </c>
      <c r="O305" s="268"/>
      <c r="P305" s="268"/>
      <c r="Q305" s="268"/>
      <c r="R305" s="269">
        <v>18</v>
      </c>
      <c r="S305" s="269">
        <v>6</v>
      </c>
      <c r="T305" s="269">
        <v>10</v>
      </c>
      <c r="U305" s="270">
        <v>16</v>
      </c>
      <c r="V305" s="270">
        <v>8</v>
      </c>
      <c r="W305" s="270">
        <v>8</v>
      </c>
      <c r="X305" s="270" t="s">
        <v>34</v>
      </c>
      <c r="Y305" s="270">
        <v>50</v>
      </c>
      <c r="Z305" s="270">
        <v>21</v>
      </c>
      <c r="AA305" s="270">
        <v>7</v>
      </c>
      <c r="AB305" s="270">
        <v>18</v>
      </c>
      <c r="AC305" s="270" t="s">
        <v>35</v>
      </c>
      <c r="AD305" s="269">
        <v>50</v>
      </c>
      <c r="AE305" s="269">
        <v>18.5</v>
      </c>
      <c r="AF305" s="269">
        <v>7.5</v>
      </c>
      <c r="AG305" s="269">
        <v>13</v>
      </c>
      <c r="AH305" s="269">
        <v>24</v>
      </c>
      <c r="AI305" s="269">
        <v>6</v>
      </c>
      <c r="AJ305" s="269">
        <v>12</v>
      </c>
      <c r="AK305" s="270">
        <v>25</v>
      </c>
      <c r="AL305" s="270">
        <v>7</v>
      </c>
      <c r="AM305" s="270">
        <v>7</v>
      </c>
      <c r="AN305" s="270" t="s">
        <v>90</v>
      </c>
      <c r="AO305" s="270">
        <v>50</v>
      </c>
      <c r="AP305" s="270">
        <v>21</v>
      </c>
      <c r="AQ305" s="270">
        <v>7</v>
      </c>
      <c r="AR305" s="270">
        <v>18</v>
      </c>
      <c r="AS305" s="270">
        <v>50</v>
      </c>
      <c r="AT305" s="269">
        <v>23</v>
      </c>
      <c r="AU305" s="269">
        <v>7</v>
      </c>
      <c r="AV305" s="269">
        <v>12.5</v>
      </c>
    </row>
    <row r="306" spans="1:48" s="271" customFormat="1" ht="23.5" customHeight="1">
      <c r="A306" s="258"/>
      <c r="B306" s="258">
        <v>62</v>
      </c>
      <c r="C306" s="259" t="s">
        <v>44</v>
      </c>
      <c r="D306" s="260">
        <v>211</v>
      </c>
      <c r="E306" s="261">
        <f>VLOOKUP(D306,รายแปลง!E:G,3,FALSE)</f>
        <v>911105</v>
      </c>
      <c r="F306" s="262">
        <v>5.92</v>
      </c>
      <c r="G306" s="263" t="s">
        <v>28</v>
      </c>
      <c r="H306" s="264">
        <v>0.87778</v>
      </c>
      <c r="I306" s="265">
        <v>1.2220491162174283</v>
      </c>
      <c r="J306" s="263" t="s">
        <v>41</v>
      </c>
      <c r="K306" s="266">
        <v>154.63648164427769</v>
      </c>
      <c r="L306" s="267" t="s">
        <v>29</v>
      </c>
      <c r="M306" s="262">
        <v>296.12310287911646</v>
      </c>
      <c r="N306" s="263" t="s">
        <v>30</v>
      </c>
      <c r="O306" s="268"/>
      <c r="P306" s="268"/>
      <c r="Q306" s="268"/>
      <c r="R306" s="269">
        <v>15</v>
      </c>
      <c r="S306" s="269">
        <v>6</v>
      </c>
      <c r="T306" s="269">
        <v>10</v>
      </c>
      <c r="U306" s="270">
        <v>16</v>
      </c>
      <c r="V306" s="270">
        <v>8</v>
      </c>
      <c r="W306" s="270">
        <v>8</v>
      </c>
      <c r="X306" s="270" t="s">
        <v>34</v>
      </c>
      <c r="Y306" s="270">
        <v>50</v>
      </c>
      <c r="Z306" s="270">
        <v>15</v>
      </c>
      <c r="AA306" s="270">
        <v>7</v>
      </c>
      <c r="AB306" s="270">
        <v>18</v>
      </c>
      <c r="AC306" s="270" t="s">
        <v>51</v>
      </c>
      <c r="AD306" s="270">
        <v>50</v>
      </c>
      <c r="AE306" s="269">
        <v>15.5</v>
      </c>
      <c r="AF306" s="269">
        <v>7.5</v>
      </c>
      <c r="AG306" s="269">
        <v>13</v>
      </c>
      <c r="AH306" s="269">
        <v>18</v>
      </c>
      <c r="AI306" s="269">
        <v>6</v>
      </c>
      <c r="AJ306" s="269">
        <v>12</v>
      </c>
      <c r="AK306" s="270">
        <v>16</v>
      </c>
      <c r="AL306" s="270">
        <v>8</v>
      </c>
      <c r="AM306" s="270">
        <v>8</v>
      </c>
      <c r="AN306" s="270" t="s">
        <v>34</v>
      </c>
      <c r="AO306" s="270">
        <v>50</v>
      </c>
      <c r="AP306" s="270">
        <v>21</v>
      </c>
      <c r="AQ306" s="270">
        <v>7</v>
      </c>
      <c r="AR306" s="270">
        <v>18</v>
      </c>
      <c r="AS306" s="270">
        <v>50</v>
      </c>
      <c r="AT306" s="269">
        <v>18.5</v>
      </c>
      <c r="AU306" s="269">
        <v>7.5</v>
      </c>
      <c r="AV306" s="269">
        <v>13</v>
      </c>
    </row>
    <row r="307" spans="1:48" s="271" customFormat="1" ht="23.5" customHeight="1">
      <c r="A307" s="258"/>
      <c r="B307" s="258">
        <v>62</v>
      </c>
      <c r="C307" s="259" t="s">
        <v>44</v>
      </c>
      <c r="D307" s="260">
        <v>212</v>
      </c>
      <c r="E307" s="261">
        <f>VLOOKUP(D307,รายแปลง!E:G,3,FALSE)</f>
        <v>911106</v>
      </c>
      <c r="F307" s="262">
        <v>7.3249999999999993</v>
      </c>
      <c r="G307" s="263" t="s">
        <v>40</v>
      </c>
      <c r="H307" s="264">
        <v>2.4154</v>
      </c>
      <c r="I307" s="265">
        <v>1.3750809394317987</v>
      </c>
      <c r="J307" s="263" t="s">
        <v>41</v>
      </c>
      <c r="K307" s="266">
        <v>50.940275850570231</v>
      </c>
      <c r="L307" s="267" t="s">
        <v>29</v>
      </c>
      <c r="M307" s="262">
        <v>175.0854335498876</v>
      </c>
      <c r="N307" s="263" t="s">
        <v>30</v>
      </c>
      <c r="O307" s="268"/>
      <c r="P307" s="268"/>
      <c r="Q307" s="268"/>
      <c r="R307" s="269">
        <v>15</v>
      </c>
      <c r="S307" s="269">
        <v>6</v>
      </c>
      <c r="T307" s="269">
        <v>10</v>
      </c>
      <c r="U307" s="270">
        <v>16</v>
      </c>
      <c r="V307" s="270">
        <v>8</v>
      </c>
      <c r="W307" s="270">
        <v>8</v>
      </c>
      <c r="X307" s="270" t="s">
        <v>34</v>
      </c>
      <c r="Y307" s="270">
        <v>50</v>
      </c>
      <c r="Z307" s="270">
        <v>15</v>
      </c>
      <c r="AA307" s="270">
        <v>7</v>
      </c>
      <c r="AB307" s="270">
        <v>18</v>
      </c>
      <c r="AC307" s="270" t="s">
        <v>51</v>
      </c>
      <c r="AD307" s="270">
        <v>50</v>
      </c>
      <c r="AE307" s="269">
        <v>15.5</v>
      </c>
      <c r="AF307" s="269">
        <v>7.5</v>
      </c>
      <c r="AG307" s="269">
        <v>13</v>
      </c>
      <c r="AH307" s="269">
        <v>18</v>
      </c>
      <c r="AI307" s="269">
        <v>6</v>
      </c>
      <c r="AJ307" s="269">
        <v>12</v>
      </c>
      <c r="AK307" s="270">
        <v>16</v>
      </c>
      <c r="AL307" s="270">
        <v>8</v>
      </c>
      <c r="AM307" s="270">
        <v>8</v>
      </c>
      <c r="AN307" s="270" t="s">
        <v>34</v>
      </c>
      <c r="AO307" s="270">
        <v>50</v>
      </c>
      <c r="AP307" s="270">
        <v>21</v>
      </c>
      <c r="AQ307" s="270">
        <v>7</v>
      </c>
      <c r="AR307" s="270">
        <v>18</v>
      </c>
      <c r="AS307" s="270">
        <v>50</v>
      </c>
      <c r="AT307" s="269">
        <v>18.5</v>
      </c>
      <c r="AU307" s="269">
        <v>7.5</v>
      </c>
      <c r="AV307" s="269">
        <v>13</v>
      </c>
    </row>
    <row r="308" spans="1:48" s="271" customFormat="1" ht="23.5" customHeight="1">
      <c r="A308" s="258"/>
      <c r="B308" s="258">
        <v>62</v>
      </c>
      <c r="C308" s="259" t="s">
        <v>44</v>
      </c>
      <c r="D308" s="260">
        <v>209</v>
      </c>
      <c r="E308" s="261">
        <f>VLOOKUP(D308,รายแปลง!E:G,3,FALSE)</f>
        <v>911103</v>
      </c>
      <c r="F308" s="262">
        <v>7.1850000000000005</v>
      </c>
      <c r="G308" s="263" t="s">
        <v>28</v>
      </c>
      <c r="H308" s="264">
        <v>2.9445999999999994</v>
      </c>
      <c r="I308" s="265">
        <v>2.0989226393582001</v>
      </c>
      <c r="J308" s="263" t="s">
        <v>28</v>
      </c>
      <c r="K308" s="266">
        <v>741.89668866259422</v>
      </c>
      <c r="L308" s="267" t="s">
        <v>29</v>
      </c>
      <c r="M308" s="262">
        <v>371.33496234524148</v>
      </c>
      <c r="N308" s="263" t="s">
        <v>30</v>
      </c>
      <c r="O308" s="268"/>
      <c r="P308" s="268"/>
      <c r="Q308" s="268"/>
      <c r="R308" s="269">
        <v>12</v>
      </c>
      <c r="S308" s="269">
        <v>6</v>
      </c>
      <c r="T308" s="269">
        <v>10</v>
      </c>
      <c r="U308" s="270">
        <v>16</v>
      </c>
      <c r="V308" s="270">
        <v>8</v>
      </c>
      <c r="W308" s="270">
        <v>8</v>
      </c>
      <c r="X308" s="270" t="s">
        <v>34</v>
      </c>
      <c r="Y308" s="270">
        <v>50</v>
      </c>
      <c r="Z308" s="270">
        <v>15</v>
      </c>
      <c r="AA308" s="270">
        <v>7</v>
      </c>
      <c r="AB308" s="270">
        <v>18</v>
      </c>
      <c r="AC308" s="270" t="s">
        <v>51</v>
      </c>
      <c r="AD308" s="270">
        <v>50</v>
      </c>
      <c r="AE308" s="269">
        <v>15.5</v>
      </c>
      <c r="AF308" s="269">
        <v>7.5</v>
      </c>
      <c r="AG308" s="269">
        <v>13</v>
      </c>
      <c r="AH308" s="269">
        <v>15</v>
      </c>
      <c r="AI308" s="269">
        <v>6</v>
      </c>
      <c r="AJ308" s="269">
        <v>12</v>
      </c>
      <c r="AK308" s="270">
        <v>16</v>
      </c>
      <c r="AL308" s="270">
        <v>8</v>
      </c>
      <c r="AM308" s="270">
        <v>8</v>
      </c>
      <c r="AN308" s="270" t="s">
        <v>34</v>
      </c>
      <c r="AO308" s="270">
        <v>50</v>
      </c>
      <c r="AP308" s="270">
        <v>15</v>
      </c>
      <c r="AQ308" s="270">
        <v>7</v>
      </c>
      <c r="AR308" s="270">
        <v>18</v>
      </c>
      <c r="AS308" s="270">
        <v>50</v>
      </c>
      <c r="AT308" s="269">
        <v>15.5</v>
      </c>
      <c r="AU308" s="269">
        <v>7.5</v>
      </c>
      <c r="AV308" s="269">
        <v>13</v>
      </c>
    </row>
    <row r="309" spans="1:48" s="271" customFormat="1" ht="23.5" customHeight="1">
      <c r="A309" s="258"/>
      <c r="B309" s="258">
        <v>62</v>
      </c>
      <c r="C309" s="259" t="s">
        <v>44</v>
      </c>
      <c r="D309" s="260">
        <v>218</v>
      </c>
      <c r="E309" s="261">
        <f>VLOOKUP(D309,รายแปลง!E:G,3,FALSE)</f>
        <v>911109</v>
      </c>
      <c r="F309" s="262">
        <v>7.01</v>
      </c>
      <c r="G309" s="263" t="s">
        <v>28</v>
      </c>
      <c r="H309" s="264">
        <v>1.1059239999999999</v>
      </c>
      <c r="I309" s="265">
        <v>1.6180864924604133</v>
      </c>
      <c r="J309" s="263" t="s">
        <v>28</v>
      </c>
      <c r="K309" s="266">
        <v>103.52097802274477</v>
      </c>
      <c r="L309" s="267" t="s">
        <v>29</v>
      </c>
      <c r="M309" s="262">
        <v>167.22826819393575</v>
      </c>
      <c r="N309" s="263" t="s">
        <v>30</v>
      </c>
      <c r="O309" s="268"/>
      <c r="P309" s="268"/>
      <c r="Q309" s="268"/>
      <c r="R309" s="269">
        <v>15</v>
      </c>
      <c r="S309" s="269">
        <v>6</v>
      </c>
      <c r="T309" s="269">
        <v>10</v>
      </c>
      <c r="U309" s="270">
        <v>16</v>
      </c>
      <c r="V309" s="270">
        <v>8</v>
      </c>
      <c r="W309" s="270">
        <v>8</v>
      </c>
      <c r="X309" s="270" t="s">
        <v>34</v>
      </c>
      <c r="Y309" s="270">
        <v>50</v>
      </c>
      <c r="Z309" s="270">
        <v>15</v>
      </c>
      <c r="AA309" s="270">
        <v>7</v>
      </c>
      <c r="AB309" s="270">
        <v>18</v>
      </c>
      <c r="AC309" s="270" t="s">
        <v>51</v>
      </c>
      <c r="AD309" s="270">
        <v>50</v>
      </c>
      <c r="AE309" s="269">
        <v>15.5</v>
      </c>
      <c r="AF309" s="269">
        <v>7.5</v>
      </c>
      <c r="AG309" s="269">
        <v>13</v>
      </c>
      <c r="AH309" s="269">
        <v>18</v>
      </c>
      <c r="AI309" s="269">
        <v>6</v>
      </c>
      <c r="AJ309" s="269">
        <v>12</v>
      </c>
      <c r="AK309" s="270">
        <v>16</v>
      </c>
      <c r="AL309" s="270">
        <v>8</v>
      </c>
      <c r="AM309" s="270">
        <v>8</v>
      </c>
      <c r="AN309" s="270" t="s">
        <v>34</v>
      </c>
      <c r="AO309" s="270">
        <v>50</v>
      </c>
      <c r="AP309" s="270">
        <v>21</v>
      </c>
      <c r="AQ309" s="270">
        <v>7</v>
      </c>
      <c r="AR309" s="270">
        <v>18</v>
      </c>
      <c r="AS309" s="270">
        <v>50</v>
      </c>
      <c r="AT309" s="269">
        <v>18.5</v>
      </c>
      <c r="AU309" s="269">
        <v>7.5</v>
      </c>
      <c r="AV309" s="269">
        <v>13</v>
      </c>
    </row>
    <row r="310" spans="1:48" s="271" customFormat="1" ht="23.5" customHeight="1">
      <c r="A310" s="258"/>
      <c r="B310" s="258">
        <v>62</v>
      </c>
      <c r="C310" s="259" t="s">
        <v>44</v>
      </c>
      <c r="D310" s="260">
        <v>210</v>
      </c>
      <c r="E310" s="261">
        <f>VLOOKUP(D310,รายแปลง!E:G,3,FALSE)</f>
        <v>911104</v>
      </c>
      <c r="F310" s="262">
        <v>7.2</v>
      </c>
      <c r="G310" s="263" t="s">
        <v>28</v>
      </c>
      <c r="H310" s="264">
        <v>0.74724400000000002</v>
      </c>
      <c r="I310" s="265">
        <v>1.3418314906911704</v>
      </c>
      <c r="J310" s="263" t="s">
        <v>41</v>
      </c>
      <c r="K310" s="266">
        <v>136.82153907355612</v>
      </c>
      <c r="L310" s="267" t="s">
        <v>29</v>
      </c>
      <c r="M310" s="262">
        <v>275.05013152297914</v>
      </c>
      <c r="N310" s="263" t="s">
        <v>30</v>
      </c>
      <c r="O310" s="268"/>
      <c r="P310" s="268"/>
      <c r="Q310" s="268"/>
      <c r="R310" s="269">
        <v>15</v>
      </c>
      <c r="S310" s="269">
        <v>6</v>
      </c>
      <c r="T310" s="269">
        <v>10</v>
      </c>
      <c r="U310" s="270">
        <v>16</v>
      </c>
      <c r="V310" s="270">
        <v>8</v>
      </c>
      <c r="W310" s="270">
        <v>8</v>
      </c>
      <c r="X310" s="270" t="s">
        <v>34</v>
      </c>
      <c r="Y310" s="270">
        <v>50</v>
      </c>
      <c r="Z310" s="270">
        <v>15</v>
      </c>
      <c r="AA310" s="270">
        <v>7</v>
      </c>
      <c r="AB310" s="270">
        <v>18</v>
      </c>
      <c r="AC310" s="270" t="s">
        <v>51</v>
      </c>
      <c r="AD310" s="270">
        <v>50</v>
      </c>
      <c r="AE310" s="269">
        <v>15.5</v>
      </c>
      <c r="AF310" s="269">
        <v>7.5</v>
      </c>
      <c r="AG310" s="269">
        <v>13</v>
      </c>
      <c r="AH310" s="269">
        <v>18</v>
      </c>
      <c r="AI310" s="269">
        <v>6</v>
      </c>
      <c r="AJ310" s="269">
        <v>12</v>
      </c>
      <c r="AK310" s="270">
        <v>16</v>
      </c>
      <c r="AL310" s="270">
        <v>8</v>
      </c>
      <c r="AM310" s="270">
        <v>8</v>
      </c>
      <c r="AN310" s="270" t="s">
        <v>34</v>
      </c>
      <c r="AO310" s="270">
        <v>50</v>
      </c>
      <c r="AP310" s="270">
        <v>21</v>
      </c>
      <c r="AQ310" s="270">
        <v>7</v>
      </c>
      <c r="AR310" s="270">
        <v>18</v>
      </c>
      <c r="AS310" s="270">
        <v>50</v>
      </c>
      <c r="AT310" s="269">
        <v>18.5</v>
      </c>
      <c r="AU310" s="269">
        <v>7.5</v>
      </c>
      <c r="AV310" s="269">
        <v>13</v>
      </c>
    </row>
    <row r="311" spans="1:48" s="271" customFormat="1" ht="23.5" customHeight="1">
      <c r="A311" s="258"/>
      <c r="B311" s="258">
        <v>62</v>
      </c>
      <c r="C311" s="259" t="s">
        <v>44</v>
      </c>
      <c r="D311" s="260">
        <v>246</v>
      </c>
      <c r="E311" s="261">
        <f>VLOOKUP(D311,รายแปลง!E:G,3,FALSE)</f>
        <v>911114</v>
      </c>
      <c r="F311" s="262">
        <v>7.32</v>
      </c>
      <c r="G311" s="263" t="s">
        <v>40</v>
      </c>
      <c r="H311" s="264">
        <v>0.91952800000000001</v>
      </c>
      <c r="I311" s="265">
        <v>2.4730478296867209</v>
      </c>
      <c r="J311" s="263" t="s">
        <v>28</v>
      </c>
      <c r="K311" s="266">
        <v>69.39691872938306</v>
      </c>
      <c r="L311" s="267" t="s">
        <v>29</v>
      </c>
      <c r="M311" s="262">
        <v>234.04960242332453</v>
      </c>
      <c r="N311" s="263" t="s">
        <v>30</v>
      </c>
      <c r="O311" s="268"/>
      <c r="P311" s="268"/>
      <c r="Q311" s="268"/>
      <c r="R311" s="269">
        <v>12</v>
      </c>
      <c r="S311" s="269">
        <v>6</v>
      </c>
      <c r="T311" s="269">
        <v>10</v>
      </c>
      <c r="U311" s="270">
        <v>16</v>
      </c>
      <c r="V311" s="270">
        <v>8</v>
      </c>
      <c r="W311" s="270">
        <v>8</v>
      </c>
      <c r="X311" s="270" t="s">
        <v>34</v>
      </c>
      <c r="Y311" s="270">
        <v>50</v>
      </c>
      <c r="Z311" s="270">
        <v>15</v>
      </c>
      <c r="AA311" s="270">
        <v>7</v>
      </c>
      <c r="AB311" s="270">
        <v>18</v>
      </c>
      <c r="AC311" s="270" t="s">
        <v>51</v>
      </c>
      <c r="AD311" s="270">
        <v>50</v>
      </c>
      <c r="AE311" s="269">
        <v>15.5</v>
      </c>
      <c r="AF311" s="269">
        <v>7.5</v>
      </c>
      <c r="AG311" s="269">
        <v>13</v>
      </c>
      <c r="AH311" s="269">
        <v>15</v>
      </c>
      <c r="AI311" s="269">
        <v>6</v>
      </c>
      <c r="AJ311" s="269">
        <v>12</v>
      </c>
      <c r="AK311" s="270">
        <v>16</v>
      </c>
      <c r="AL311" s="270">
        <v>8</v>
      </c>
      <c r="AM311" s="270">
        <v>8</v>
      </c>
      <c r="AN311" s="270" t="s">
        <v>34</v>
      </c>
      <c r="AO311" s="270">
        <v>50</v>
      </c>
      <c r="AP311" s="270">
        <v>15</v>
      </c>
      <c r="AQ311" s="270">
        <v>7</v>
      </c>
      <c r="AR311" s="270">
        <v>18</v>
      </c>
      <c r="AS311" s="270">
        <v>50</v>
      </c>
      <c r="AT311" s="269">
        <v>15.5</v>
      </c>
      <c r="AU311" s="269">
        <v>7.5</v>
      </c>
      <c r="AV311" s="269">
        <v>13</v>
      </c>
    </row>
    <row r="312" spans="1:48" s="271" customFormat="1" ht="23.5" customHeight="1">
      <c r="A312" s="258"/>
      <c r="B312" s="258">
        <v>62</v>
      </c>
      <c r="C312" s="259" t="s">
        <v>55</v>
      </c>
      <c r="D312" s="260">
        <v>525</v>
      </c>
      <c r="E312" s="261">
        <f>VLOOKUP(D312,รายแปลง!E:G,3,FALSE)</f>
        <v>917129</v>
      </c>
      <c r="F312" s="262">
        <v>6.59</v>
      </c>
      <c r="G312" s="263" t="s">
        <v>28</v>
      </c>
      <c r="H312" s="264">
        <v>1.3681719999999999</v>
      </c>
      <c r="I312" s="265">
        <v>0.81685184863761973</v>
      </c>
      <c r="J312" s="263" t="s">
        <v>37</v>
      </c>
      <c r="K312" s="266">
        <v>56.484788136026395</v>
      </c>
      <c r="L312" s="267" t="s">
        <v>29</v>
      </c>
      <c r="M312" s="262">
        <v>126.75966520526106</v>
      </c>
      <c r="N312" s="263" t="s">
        <v>30</v>
      </c>
      <c r="O312" s="268"/>
      <c r="P312" s="268"/>
      <c r="Q312" s="268"/>
      <c r="R312" s="269">
        <v>18</v>
      </c>
      <c r="S312" s="269">
        <v>6</v>
      </c>
      <c r="T312" s="269">
        <v>10</v>
      </c>
      <c r="U312" s="270">
        <v>16</v>
      </c>
      <c r="V312" s="270">
        <v>8</v>
      </c>
      <c r="W312" s="270">
        <v>8</v>
      </c>
      <c r="X312" s="270" t="s">
        <v>34</v>
      </c>
      <c r="Y312" s="270">
        <v>50</v>
      </c>
      <c r="Z312" s="270">
        <v>21</v>
      </c>
      <c r="AA312" s="270">
        <v>7</v>
      </c>
      <c r="AB312" s="270">
        <v>18</v>
      </c>
      <c r="AC312" s="270" t="s">
        <v>35</v>
      </c>
      <c r="AD312" s="269">
        <v>50</v>
      </c>
      <c r="AE312" s="269">
        <v>18.5</v>
      </c>
      <c r="AF312" s="269">
        <v>7.5</v>
      </c>
      <c r="AG312" s="269">
        <v>13</v>
      </c>
      <c r="AH312" s="269">
        <v>24</v>
      </c>
      <c r="AI312" s="269">
        <v>6</v>
      </c>
      <c r="AJ312" s="269">
        <v>12</v>
      </c>
      <c r="AK312" s="270">
        <v>25</v>
      </c>
      <c r="AL312" s="270">
        <v>7</v>
      </c>
      <c r="AM312" s="270">
        <v>7</v>
      </c>
      <c r="AN312" s="270" t="s">
        <v>90</v>
      </c>
      <c r="AO312" s="270">
        <v>50</v>
      </c>
      <c r="AP312" s="270">
        <v>21</v>
      </c>
      <c r="AQ312" s="270">
        <v>7</v>
      </c>
      <c r="AR312" s="270">
        <v>18</v>
      </c>
      <c r="AS312" s="270">
        <v>50</v>
      </c>
      <c r="AT312" s="269">
        <v>23</v>
      </c>
      <c r="AU312" s="269">
        <v>7</v>
      </c>
      <c r="AV312" s="269">
        <v>12.5</v>
      </c>
    </row>
    <row r="313" spans="1:48" s="271" customFormat="1" ht="23.5" customHeight="1">
      <c r="A313" s="258"/>
      <c r="B313" s="258">
        <v>62</v>
      </c>
      <c r="C313" s="259" t="s">
        <v>74</v>
      </c>
      <c r="D313" s="260">
        <v>154</v>
      </c>
      <c r="E313" s="261">
        <f>VLOOKUP(D313,รายแปลง!E:G,3,FALSE)</f>
        <v>928121</v>
      </c>
      <c r="F313" s="262">
        <v>6.01</v>
      </c>
      <c r="G313" s="263" t="s">
        <v>28</v>
      </c>
      <c r="H313" s="264">
        <v>1.064764</v>
      </c>
      <c r="I313" s="265">
        <v>1.3524682683413116</v>
      </c>
      <c r="J313" s="263" t="s">
        <v>41</v>
      </c>
      <c r="K313" s="266">
        <v>52.868152357384616</v>
      </c>
      <c r="L313" s="267" t="s">
        <v>29</v>
      </c>
      <c r="M313" s="262">
        <v>270.74192261667326</v>
      </c>
      <c r="N313" s="263" t="s">
        <v>30</v>
      </c>
      <c r="O313" s="268"/>
      <c r="P313" s="268"/>
      <c r="Q313" s="268"/>
      <c r="R313" s="269">
        <v>15</v>
      </c>
      <c r="S313" s="269">
        <v>6</v>
      </c>
      <c r="T313" s="269">
        <v>10</v>
      </c>
      <c r="U313" s="270">
        <v>16</v>
      </c>
      <c r="V313" s="270">
        <v>8</v>
      </c>
      <c r="W313" s="270">
        <v>8</v>
      </c>
      <c r="X313" s="270" t="s">
        <v>34</v>
      </c>
      <c r="Y313" s="270">
        <v>50</v>
      </c>
      <c r="Z313" s="270">
        <v>15</v>
      </c>
      <c r="AA313" s="270">
        <v>7</v>
      </c>
      <c r="AB313" s="270">
        <v>18</v>
      </c>
      <c r="AC313" s="270" t="s">
        <v>51</v>
      </c>
      <c r="AD313" s="270">
        <v>50</v>
      </c>
      <c r="AE313" s="269">
        <v>15.5</v>
      </c>
      <c r="AF313" s="269">
        <v>7.5</v>
      </c>
      <c r="AG313" s="269">
        <v>13</v>
      </c>
      <c r="AH313" s="269">
        <v>18</v>
      </c>
      <c r="AI313" s="269">
        <v>6</v>
      </c>
      <c r="AJ313" s="269">
        <v>12</v>
      </c>
      <c r="AK313" s="270">
        <v>16</v>
      </c>
      <c r="AL313" s="270">
        <v>8</v>
      </c>
      <c r="AM313" s="270">
        <v>8</v>
      </c>
      <c r="AN313" s="270" t="s">
        <v>34</v>
      </c>
      <c r="AO313" s="270">
        <v>50</v>
      </c>
      <c r="AP313" s="270">
        <v>21</v>
      </c>
      <c r="AQ313" s="270">
        <v>7</v>
      </c>
      <c r="AR313" s="270">
        <v>18</v>
      </c>
      <c r="AS313" s="270">
        <v>50</v>
      </c>
      <c r="AT313" s="269">
        <v>18.5</v>
      </c>
      <c r="AU313" s="269">
        <v>7.5</v>
      </c>
      <c r="AV313" s="269">
        <v>13</v>
      </c>
    </row>
    <row r="314" spans="1:48" s="271" customFormat="1" ht="23.5" customHeight="1">
      <c r="A314" s="258"/>
      <c r="B314" s="258">
        <v>62</v>
      </c>
      <c r="C314" s="259" t="s">
        <v>74</v>
      </c>
      <c r="D314" s="260">
        <v>806842</v>
      </c>
      <c r="E314" s="261">
        <f>VLOOKUP(D314,รายแปลง!E:G,3,FALSE)</f>
        <v>928133</v>
      </c>
      <c r="F314" s="262">
        <v>6.3449999999999998</v>
      </c>
      <c r="G314" s="263" t="s">
        <v>28</v>
      </c>
      <c r="H314" s="264">
        <v>0.73960000000000004</v>
      </c>
      <c r="I314" s="265">
        <v>0.88098874633141699</v>
      </c>
      <c r="J314" s="263" t="s">
        <v>37</v>
      </c>
      <c r="K314" s="266">
        <v>287.60481450469945</v>
      </c>
      <c r="L314" s="267" t="s">
        <v>29</v>
      </c>
      <c r="M314" s="262">
        <v>234.48934643658868</v>
      </c>
      <c r="N314" s="263" t="s">
        <v>30</v>
      </c>
      <c r="O314" s="268"/>
      <c r="P314" s="268"/>
      <c r="Q314" s="268"/>
      <c r="R314" s="269">
        <v>18</v>
      </c>
      <c r="S314" s="269">
        <v>6</v>
      </c>
      <c r="T314" s="269">
        <v>10</v>
      </c>
      <c r="U314" s="270">
        <v>16</v>
      </c>
      <c r="V314" s="270">
        <v>8</v>
      </c>
      <c r="W314" s="270">
        <v>8</v>
      </c>
      <c r="X314" s="270" t="s">
        <v>34</v>
      </c>
      <c r="Y314" s="270">
        <v>50</v>
      </c>
      <c r="Z314" s="270">
        <v>21</v>
      </c>
      <c r="AA314" s="270">
        <v>7</v>
      </c>
      <c r="AB314" s="270">
        <v>18</v>
      </c>
      <c r="AC314" s="270" t="s">
        <v>35</v>
      </c>
      <c r="AD314" s="269">
        <v>50</v>
      </c>
      <c r="AE314" s="269">
        <v>18.5</v>
      </c>
      <c r="AF314" s="269">
        <v>7.5</v>
      </c>
      <c r="AG314" s="269">
        <v>13</v>
      </c>
      <c r="AH314" s="269">
        <v>24</v>
      </c>
      <c r="AI314" s="269">
        <v>6</v>
      </c>
      <c r="AJ314" s="269">
        <v>12</v>
      </c>
      <c r="AK314" s="270">
        <v>25</v>
      </c>
      <c r="AL314" s="270">
        <v>7</v>
      </c>
      <c r="AM314" s="270">
        <v>7</v>
      </c>
      <c r="AN314" s="270" t="s">
        <v>90</v>
      </c>
      <c r="AO314" s="270">
        <v>50</v>
      </c>
      <c r="AP314" s="270">
        <v>21</v>
      </c>
      <c r="AQ314" s="270">
        <v>7</v>
      </c>
      <c r="AR314" s="270">
        <v>18</v>
      </c>
      <c r="AS314" s="270">
        <v>50</v>
      </c>
      <c r="AT314" s="269">
        <v>23</v>
      </c>
      <c r="AU314" s="269">
        <v>7</v>
      </c>
      <c r="AV314" s="269">
        <v>12.5</v>
      </c>
    </row>
    <row r="315" spans="1:48" s="271" customFormat="1" ht="23.5" customHeight="1">
      <c r="A315" s="258"/>
      <c r="B315" s="258">
        <v>62</v>
      </c>
      <c r="C315" s="259" t="s">
        <v>74</v>
      </c>
      <c r="D315" s="260">
        <v>806833</v>
      </c>
      <c r="E315" s="261">
        <f>VLOOKUP(D315,รายแปลง!E:G,3,FALSE)</f>
        <v>928113</v>
      </c>
      <c r="F315" s="262">
        <v>7.0299999999999994</v>
      </c>
      <c r="G315" s="263" t="s">
        <v>28</v>
      </c>
      <c r="H315" s="264">
        <v>1.8485679999999998</v>
      </c>
      <c r="I315" s="265">
        <v>1.6478229182210131</v>
      </c>
      <c r="J315" s="263" t="s">
        <v>28</v>
      </c>
      <c r="K315" s="266">
        <v>23.191294399597144</v>
      </c>
      <c r="L315" s="267" t="s">
        <v>28</v>
      </c>
      <c r="M315" s="262">
        <v>295.78989406423409</v>
      </c>
      <c r="N315" s="263" t="s">
        <v>30</v>
      </c>
      <c r="O315" s="268"/>
      <c r="P315" s="268"/>
      <c r="Q315" s="268"/>
      <c r="R315" s="269">
        <v>15</v>
      </c>
      <c r="S315" s="269">
        <v>9</v>
      </c>
      <c r="T315" s="269">
        <v>10</v>
      </c>
      <c r="U315" s="270">
        <v>16</v>
      </c>
      <c r="V315" s="270">
        <v>16</v>
      </c>
      <c r="W315" s="270">
        <v>8</v>
      </c>
      <c r="X315" s="270" t="s">
        <v>39</v>
      </c>
      <c r="Y315" s="269">
        <v>50</v>
      </c>
      <c r="Z315" s="270">
        <v>15</v>
      </c>
      <c r="AA315" s="270">
        <v>7</v>
      </c>
      <c r="AB315" s="270">
        <v>18</v>
      </c>
      <c r="AC315" s="270" t="s">
        <v>51</v>
      </c>
      <c r="AD315" s="269">
        <v>50</v>
      </c>
      <c r="AE315" s="269">
        <v>15.5</v>
      </c>
      <c r="AF315" s="269">
        <v>11.5</v>
      </c>
      <c r="AG315" s="269">
        <v>13</v>
      </c>
      <c r="AH315" s="269">
        <v>18</v>
      </c>
      <c r="AI315" s="269">
        <v>9</v>
      </c>
      <c r="AJ315" s="269">
        <v>12</v>
      </c>
      <c r="AK315" s="270">
        <v>16</v>
      </c>
      <c r="AL315" s="270">
        <v>16</v>
      </c>
      <c r="AM315" s="270">
        <v>8</v>
      </c>
      <c r="AN315" s="270" t="s">
        <v>39</v>
      </c>
      <c r="AO315" s="269">
        <v>50</v>
      </c>
      <c r="AP315" s="270">
        <v>21</v>
      </c>
      <c r="AQ315" s="270">
        <v>7</v>
      </c>
      <c r="AR315" s="270">
        <v>18</v>
      </c>
      <c r="AS315" s="269">
        <v>50</v>
      </c>
      <c r="AT315" s="269">
        <v>18.5</v>
      </c>
      <c r="AU315" s="269">
        <v>11.5</v>
      </c>
      <c r="AV315" s="269">
        <v>13</v>
      </c>
    </row>
    <row r="316" spans="1:48" s="271" customFormat="1" ht="23.5" customHeight="1">
      <c r="A316" s="258"/>
      <c r="B316" s="258">
        <v>62</v>
      </c>
      <c r="C316" s="259" t="s">
        <v>74</v>
      </c>
      <c r="D316" s="260">
        <v>806834</v>
      </c>
      <c r="E316" s="261">
        <f>VLOOKUP(D316,รายแปลง!E:G,3,FALSE)</f>
        <v>928114</v>
      </c>
      <c r="F316" s="262">
        <v>7.15</v>
      </c>
      <c r="G316" s="263" t="s">
        <v>28</v>
      </c>
      <c r="H316" s="264">
        <v>1.2687999999999999</v>
      </c>
      <c r="I316" s="265">
        <v>1.7422106745683559</v>
      </c>
      <c r="J316" s="263" t="s">
        <v>28</v>
      </c>
      <c r="K316" s="266">
        <v>77.016661889943308</v>
      </c>
      <c r="L316" s="267" t="s">
        <v>29</v>
      </c>
      <c r="M316" s="262">
        <v>176.53715939279238</v>
      </c>
      <c r="N316" s="263" t="s">
        <v>30</v>
      </c>
      <c r="O316" s="268"/>
      <c r="P316" s="268"/>
      <c r="Q316" s="268"/>
      <c r="R316" s="269">
        <v>15</v>
      </c>
      <c r="S316" s="269">
        <v>6</v>
      </c>
      <c r="T316" s="269">
        <v>10</v>
      </c>
      <c r="U316" s="270">
        <v>16</v>
      </c>
      <c r="V316" s="270">
        <v>8</v>
      </c>
      <c r="W316" s="270">
        <v>8</v>
      </c>
      <c r="X316" s="270" t="s">
        <v>34</v>
      </c>
      <c r="Y316" s="270">
        <v>50</v>
      </c>
      <c r="Z316" s="270">
        <v>15</v>
      </c>
      <c r="AA316" s="270">
        <v>7</v>
      </c>
      <c r="AB316" s="270">
        <v>18</v>
      </c>
      <c r="AC316" s="270" t="s">
        <v>51</v>
      </c>
      <c r="AD316" s="270">
        <v>50</v>
      </c>
      <c r="AE316" s="269">
        <v>15.5</v>
      </c>
      <c r="AF316" s="269">
        <v>7.5</v>
      </c>
      <c r="AG316" s="269">
        <v>13</v>
      </c>
      <c r="AH316" s="269">
        <v>18</v>
      </c>
      <c r="AI316" s="269">
        <v>6</v>
      </c>
      <c r="AJ316" s="269">
        <v>12</v>
      </c>
      <c r="AK316" s="270">
        <v>16</v>
      </c>
      <c r="AL316" s="270">
        <v>8</v>
      </c>
      <c r="AM316" s="270">
        <v>8</v>
      </c>
      <c r="AN316" s="270" t="s">
        <v>34</v>
      </c>
      <c r="AO316" s="270">
        <v>50</v>
      </c>
      <c r="AP316" s="270">
        <v>21</v>
      </c>
      <c r="AQ316" s="270">
        <v>7</v>
      </c>
      <c r="AR316" s="270">
        <v>18</v>
      </c>
      <c r="AS316" s="270">
        <v>50</v>
      </c>
      <c r="AT316" s="269">
        <v>18.5</v>
      </c>
      <c r="AU316" s="269">
        <v>7.5</v>
      </c>
      <c r="AV316" s="269">
        <v>13</v>
      </c>
    </row>
    <row r="317" spans="1:48" s="271" customFormat="1" ht="23.5" customHeight="1">
      <c r="A317" s="258"/>
      <c r="B317" s="258">
        <v>62</v>
      </c>
      <c r="C317" s="259" t="s">
        <v>74</v>
      </c>
      <c r="D317" s="260">
        <v>806844</v>
      </c>
      <c r="E317" s="261">
        <f>VLOOKUP(D317,รายแปลง!E:G,3,FALSE)</f>
        <v>928135</v>
      </c>
      <c r="F317" s="262">
        <v>6.5149999999999997</v>
      </c>
      <c r="G317" s="263" t="s">
        <v>28</v>
      </c>
      <c r="H317" s="264">
        <v>1.1594319999999998</v>
      </c>
      <c r="I317" s="265">
        <v>1.0433055364873907</v>
      </c>
      <c r="J317" s="263" t="s">
        <v>41</v>
      </c>
      <c r="K317" s="266">
        <v>27.567544741359448</v>
      </c>
      <c r="L317" s="267" t="s">
        <v>28</v>
      </c>
      <c r="M317" s="262">
        <v>193.41776041438041</v>
      </c>
      <c r="N317" s="263" t="s">
        <v>30</v>
      </c>
      <c r="O317" s="268"/>
      <c r="P317" s="268"/>
      <c r="Q317" s="268"/>
      <c r="R317" s="269">
        <v>15</v>
      </c>
      <c r="S317" s="269">
        <v>9</v>
      </c>
      <c r="T317" s="269">
        <v>10</v>
      </c>
      <c r="U317" s="270">
        <v>16</v>
      </c>
      <c r="V317" s="270">
        <v>16</v>
      </c>
      <c r="W317" s="270">
        <v>8</v>
      </c>
      <c r="X317" s="270" t="s">
        <v>39</v>
      </c>
      <c r="Y317" s="269">
        <v>50</v>
      </c>
      <c r="Z317" s="270">
        <v>15</v>
      </c>
      <c r="AA317" s="270">
        <v>7</v>
      </c>
      <c r="AB317" s="270">
        <v>18</v>
      </c>
      <c r="AC317" s="270" t="s">
        <v>51</v>
      </c>
      <c r="AD317" s="269">
        <v>50</v>
      </c>
      <c r="AE317" s="269">
        <v>15.5</v>
      </c>
      <c r="AF317" s="269">
        <v>11.5</v>
      </c>
      <c r="AG317" s="269">
        <v>13</v>
      </c>
      <c r="AH317" s="269">
        <v>18</v>
      </c>
      <c r="AI317" s="269">
        <v>9</v>
      </c>
      <c r="AJ317" s="269">
        <v>12</v>
      </c>
      <c r="AK317" s="270">
        <v>16</v>
      </c>
      <c r="AL317" s="270">
        <v>16</v>
      </c>
      <c r="AM317" s="270">
        <v>8</v>
      </c>
      <c r="AN317" s="270" t="s">
        <v>39</v>
      </c>
      <c r="AO317" s="269">
        <v>50</v>
      </c>
      <c r="AP317" s="270">
        <v>21</v>
      </c>
      <c r="AQ317" s="270">
        <v>7</v>
      </c>
      <c r="AR317" s="270">
        <v>18</v>
      </c>
      <c r="AS317" s="269">
        <v>50</v>
      </c>
      <c r="AT317" s="269">
        <v>18.5</v>
      </c>
      <c r="AU317" s="269">
        <v>11.5</v>
      </c>
      <c r="AV317" s="269">
        <v>13</v>
      </c>
    </row>
    <row r="318" spans="1:48" s="271" customFormat="1" ht="23.5" customHeight="1">
      <c r="A318" s="258"/>
      <c r="B318" s="258">
        <v>62</v>
      </c>
      <c r="C318" s="259" t="s">
        <v>74</v>
      </c>
      <c r="D318" s="260">
        <v>806849</v>
      </c>
      <c r="E318" s="261">
        <f>VLOOKUP(D318,รายแปลง!E:G,3,FALSE)</f>
        <v>928140</v>
      </c>
      <c r="F318" s="262">
        <v>6.6099999999999994</v>
      </c>
      <c r="G318" s="263" t="s">
        <v>28</v>
      </c>
      <c r="H318" s="264">
        <v>1.2846760000000002</v>
      </c>
      <c r="I318" s="265">
        <v>1.5013612438080881</v>
      </c>
      <c r="J318" s="263" t="s">
        <v>41</v>
      </c>
      <c r="K318" s="266">
        <v>168.83314923560164</v>
      </c>
      <c r="L318" s="267" t="s">
        <v>29</v>
      </c>
      <c r="M318" s="262">
        <v>287.30824938471653</v>
      </c>
      <c r="N318" s="263" t="s">
        <v>30</v>
      </c>
      <c r="O318" s="268"/>
      <c r="P318" s="268"/>
      <c r="Q318" s="268"/>
      <c r="R318" s="269">
        <v>15</v>
      </c>
      <c r="S318" s="269">
        <v>6</v>
      </c>
      <c r="T318" s="269">
        <v>10</v>
      </c>
      <c r="U318" s="270">
        <v>16</v>
      </c>
      <c r="V318" s="270">
        <v>8</v>
      </c>
      <c r="W318" s="270">
        <v>8</v>
      </c>
      <c r="X318" s="270" t="s">
        <v>34</v>
      </c>
      <c r="Y318" s="270">
        <v>50</v>
      </c>
      <c r="Z318" s="270">
        <v>15</v>
      </c>
      <c r="AA318" s="270">
        <v>7</v>
      </c>
      <c r="AB318" s="270">
        <v>18</v>
      </c>
      <c r="AC318" s="270" t="s">
        <v>51</v>
      </c>
      <c r="AD318" s="270">
        <v>50</v>
      </c>
      <c r="AE318" s="269">
        <v>15.5</v>
      </c>
      <c r="AF318" s="269">
        <v>7.5</v>
      </c>
      <c r="AG318" s="269">
        <v>13</v>
      </c>
      <c r="AH318" s="269">
        <v>18</v>
      </c>
      <c r="AI318" s="269">
        <v>6</v>
      </c>
      <c r="AJ318" s="269">
        <v>12</v>
      </c>
      <c r="AK318" s="270">
        <v>16</v>
      </c>
      <c r="AL318" s="270">
        <v>8</v>
      </c>
      <c r="AM318" s="270">
        <v>8</v>
      </c>
      <c r="AN318" s="270" t="s">
        <v>34</v>
      </c>
      <c r="AO318" s="270">
        <v>50</v>
      </c>
      <c r="AP318" s="270">
        <v>21</v>
      </c>
      <c r="AQ318" s="270">
        <v>7</v>
      </c>
      <c r="AR318" s="270">
        <v>18</v>
      </c>
      <c r="AS318" s="270">
        <v>50</v>
      </c>
      <c r="AT318" s="269">
        <v>18.5</v>
      </c>
      <c r="AU318" s="269">
        <v>7.5</v>
      </c>
      <c r="AV318" s="269">
        <v>13</v>
      </c>
    </row>
    <row r="319" spans="1:48" s="271" customFormat="1" ht="23.5" customHeight="1">
      <c r="A319" s="258"/>
      <c r="B319" s="258">
        <v>62</v>
      </c>
      <c r="C319" s="259" t="s">
        <v>74</v>
      </c>
      <c r="D319" s="260">
        <v>806845</v>
      </c>
      <c r="E319" s="261">
        <f>VLOOKUP(D319,รายแปลง!E:G,3,FALSE)</f>
        <v>928136</v>
      </c>
      <c r="F319" s="262">
        <v>7.04</v>
      </c>
      <c r="G319" s="263" t="s">
        <v>28</v>
      </c>
      <c r="H319" s="264">
        <v>0.59553999999999996</v>
      </c>
      <c r="I319" s="265">
        <v>1.4359629346212071</v>
      </c>
      <c r="J319" s="263" t="s">
        <v>41</v>
      </c>
      <c r="K319" s="266">
        <v>16.053003746658149</v>
      </c>
      <c r="L319" s="267" t="s">
        <v>41</v>
      </c>
      <c r="M319" s="262">
        <v>151.87220447284346</v>
      </c>
      <c r="N319" s="263" t="s">
        <v>30</v>
      </c>
      <c r="O319" s="268"/>
      <c r="P319" s="268"/>
      <c r="Q319" s="268"/>
      <c r="R319" s="269">
        <v>15</v>
      </c>
      <c r="S319" s="269">
        <v>9</v>
      </c>
      <c r="T319" s="269">
        <v>10</v>
      </c>
      <c r="U319" s="270">
        <v>16</v>
      </c>
      <c r="V319" s="270">
        <v>16</v>
      </c>
      <c r="W319" s="270">
        <v>8</v>
      </c>
      <c r="X319" s="270" t="s">
        <v>39</v>
      </c>
      <c r="Y319" s="269">
        <v>50</v>
      </c>
      <c r="Z319" s="270">
        <v>15</v>
      </c>
      <c r="AA319" s="270">
        <v>7</v>
      </c>
      <c r="AB319" s="270">
        <v>18</v>
      </c>
      <c r="AC319" s="270" t="s">
        <v>51</v>
      </c>
      <c r="AD319" s="269">
        <v>50</v>
      </c>
      <c r="AE319" s="269">
        <v>15.5</v>
      </c>
      <c r="AF319" s="269">
        <v>11.5</v>
      </c>
      <c r="AG319" s="269">
        <v>13</v>
      </c>
      <c r="AH319" s="269">
        <v>18</v>
      </c>
      <c r="AI319" s="269">
        <v>9</v>
      </c>
      <c r="AJ319" s="269">
        <v>12</v>
      </c>
      <c r="AK319" s="270">
        <v>16</v>
      </c>
      <c r="AL319" s="270">
        <v>16</v>
      </c>
      <c r="AM319" s="270">
        <v>8</v>
      </c>
      <c r="AN319" s="270" t="s">
        <v>39</v>
      </c>
      <c r="AO319" s="269">
        <v>50</v>
      </c>
      <c r="AP319" s="270">
        <v>21</v>
      </c>
      <c r="AQ319" s="270">
        <v>7</v>
      </c>
      <c r="AR319" s="270">
        <v>18</v>
      </c>
      <c r="AS319" s="269">
        <v>50</v>
      </c>
      <c r="AT319" s="269">
        <v>18.5</v>
      </c>
      <c r="AU319" s="269">
        <v>11.5</v>
      </c>
      <c r="AV319" s="269">
        <v>13</v>
      </c>
    </row>
    <row r="320" spans="1:48" s="271" customFormat="1" ht="23.5" customHeight="1">
      <c r="A320" s="258"/>
      <c r="B320" s="258">
        <v>62</v>
      </c>
      <c r="C320" s="224" t="s">
        <v>66</v>
      </c>
      <c r="D320" s="258">
        <v>1708</v>
      </c>
      <c r="E320" s="261">
        <f>VLOOKUP(D320,รายแปลง!E:G,3,FALSE)</f>
        <v>910109</v>
      </c>
      <c r="F320" s="273">
        <v>7.2649999999999997</v>
      </c>
      <c r="G320" s="272" t="s">
        <v>28</v>
      </c>
      <c r="H320" s="274">
        <v>1.3511199999999999</v>
      </c>
      <c r="I320" s="265">
        <v>1.3855595496385327</v>
      </c>
      <c r="J320" s="272" t="s">
        <v>41</v>
      </c>
      <c r="K320" s="275">
        <v>56.125204970870179</v>
      </c>
      <c r="L320" s="272" t="s">
        <v>29</v>
      </c>
      <c r="M320" s="276">
        <v>284.26816814101824</v>
      </c>
      <c r="N320" s="272" t="s">
        <v>30</v>
      </c>
      <c r="O320" s="275"/>
      <c r="P320" s="275"/>
      <c r="Q320" s="275"/>
      <c r="R320" s="269">
        <v>15</v>
      </c>
      <c r="S320" s="269">
        <v>6</v>
      </c>
      <c r="T320" s="269">
        <v>10</v>
      </c>
      <c r="U320" s="270">
        <v>16</v>
      </c>
      <c r="V320" s="270">
        <v>8</v>
      </c>
      <c r="W320" s="270">
        <v>8</v>
      </c>
      <c r="X320" s="270" t="s">
        <v>34</v>
      </c>
      <c r="Y320" s="270">
        <v>50</v>
      </c>
      <c r="Z320" s="270">
        <v>15</v>
      </c>
      <c r="AA320" s="270">
        <v>7</v>
      </c>
      <c r="AB320" s="270">
        <v>18</v>
      </c>
      <c r="AC320" s="270" t="s">
        <v>51</v>
      </c>
      <c r="AD320" s="270">
        <v>50</v>
      </c>
      <c r="AE320" s="269">
        <v>15.5</v>
      </c>
      <c r="AF320" s="269">
        <v>7.5</v>
      </c>
      <c r="AG320" s="269">
        <v>13</v>
      </c>
      <c r="AH320" s="269">
        <v>18</v>
      </c>
      <c r="AI320" s="269">
        <v>6</v>
      </c>
      <c r="AJ320" s="269">
        <v>12</v>
      </c>
      <c r="AK320" s="270">
        <v>16</v>
      </c>
      <c r="AL320" s="270">
        <v>8</v>
      </c>
      <c r="AM320" s="270">
        <v>8</v>
      </c>
      <c r="AN320" s="270" t="s">
        <v>34</v>
      </c>
      <c r="AO320" s="270">
        <v>50</v>
      </c>
      <c r="AP320" s="270">
        <v>21</v>
      </c>
      <c r="AQ320" s="270">
        <v>7</v>
      </c>
      <c r="AR320" s="270">
        <v>18</v>
      </c>
      <c r="AS320" s="270">
        <v>50</v>
      </c>
      <c r="AT320" s="269">
        <v>18.5</v>
      </c>
      <c r="AU320" s="269">
        <v>7.5</v>
      </c>
      <c r="AV320" s="269">
        <v>13</v>
      </c>
    </row>
    <row r="321" spans="1:48" s="271" customFormat="1" ht="23.5" customHeight="1">
      <c r="A321" s="258"/>
      <c r="B321" s="258">
        <v>62</v>
      </c>
      <c r="C321" s="277" t="s">
        <v>59</v>
      </c>
      <c r="D321" s="258">
        <v>1814</v>
      </c>
      <c r="E321" s="261">
        <f>VLOOKUP(D321,รายแปลง!E:G,3,FALSE)</f>
        <v>920101</v>
      </c>
      <c r="F321" s="273">
        <v>5.8250000000000002</v>
      </c>
      <c r="G321" s="272" t="s">
        <v>28</v>
      </c>
      <c r="H321" s="274">
        <v>0.32858799999999999</v>
      </c>
      <c r="I321" s="265">
        <v>1.1092633854966563</v>
      </c>
      <c r="J321" s="272" t="s">
        <v>41</v>
      </c>
      <c r="K321" s="275">
        <v>9.9646402661485265</v>
      </c>
      <c r="L321" s="272" t="s">
        <v>37</v>
      </c>
      <c r="M321" s="276">
        <v>125.35085766092766</v>
      </c>
      <c r="N321" s="272" t="s">
        <v>30</v>
      </c>
      <c r="O321" s="275"/>
      <c r="P321" s="275"/>
      <c r="Q321" s="275"/>
      <c r="R321" s="269">
        <v>15</v>
      </c>
      <c r="S321" s="269">
        <v>12</v>
      </c>
      <c r="T321" s="269">
        <v>10</v>
      </c>
      <c r="U321" s="270">
        <v>16</v>
      </c>
      <c r="V321" s="270">
        <v>16</v>
      </c>
      <c r="W321" s="270">
        <v>8</v>
      </c>
      <c r="X321" s="270" t="s">
        <v>39</v>
      </c>
      <c r="Y321" s="269">
        <v>50</v>
      </c>
      <c r="Z321" s="270">
        <v>15</v>
      </c>
      <c r="AA321" s="270">
        <v>7</v>
      </c>
      <c r="AB321" s="270">
        <v>18</v>
      </c>
      <c r="AC321" s="270" t="s">
        <v>51</v>
      </c>
      <c r="AD321" s="269">
        <v>50</v>
      </c>
      <c r="AE321" s="269">
        <v>15.5</v>
      </c>
      <c r="AF321" s="269">
        <v>11.5</v>
      </c>
      <c r="AG321" s="269">
        <v>13</v>
      </c>
      <c r="AH321" s="269">
        <v>18</v>
      </c>
      <c r="AI321" s="269">
        <v>12</v>
      </c>
      <c r="AJ321" s="269">
        <v>12</v>
      </c>
      <c r="AK321" s="270">
        <v>16</v>
      </c>
      <c r="AL321" s="270">
        <v>16</v>
      </c>
      <c r="AM321" s="270">
        <v>8</v>
      </c>
      <c r="AN321" s="270" t="s">
        <v>39</v>
      </c>
      <c r="AO321" s="269">
        <v>50</v>
      </c>
      <c r="AP321" s="270">
        <v>21</v>
      </c>
      <c r="AQ321" s="270">
        <v>7</v>
      </c>
      <c r="AR321" s="270">
        <v>18</v>
      </c>
      <c r="AS321" s="269">
        <v>50</v>
      </c>
      <c r="AT321" s="269">
        <v>18.5</v>
      </c>
      <c r="AU321" s="269">
        <v>11.5</v>
      </c>
      <c r="AV321" s="269">
        <v>13</v>
      </c>
    </row>
    <row r="322" spans="1:48" s="271" customFormat="1" ht="23.5" customHeight="1">
      <c r="A322" s="258"/>
      <c r="B322" s="258">
        <v>62</v>
      </c>
      <c r="C322" s="277" t="s">
        <v>59</v>
      </c>
      <c r="D322" s="258">
        <v>1817</v>
      </c>
      <c r="E322" s="261">
        <f>VLOOKUP(D322,รายแปลง!E:G,3,FALSE)</f>
        <v>920104</v>
      </c>
      <c r="F322" s="273">
        <v>5.4849999999999994</v>
      </c>
      <c r="G322" s="272" t="s">
        <v>56</v>
      </c>
      <c r="H322" s="274">
        <v>0.24620920000000002</v>
      </c>
      <c r="I322" s="265">
        <v>0.72094926781317148</v>
      </c>
      <c r="J322" s="272" t="s">
        <v>37</v>
      </c>
      <c r="K322" s="275">
        <v>134.29466738914888</v>
      </c>
      <c r="L322" s="272" t="s">
        <v>29</v>
      </c>
      <c r="M322" s="276">
        <v>126.34939971345608</v>
      </c>
      <c r="N322" s="272" t="s">
        <v>30</v>
      </c>
      <c r="O322" s="275"/>
      <c r="P322" s="275"/>
      <c r="Q322" s="275"/>
      <c r="R322" s="269">
        <v>18</v>
      </c>
      <c r="S322" s="269">
        <v>6</v>
      </c>
      <c r="T322" s="269">
        <v>10</v>
      </c>
      <c r="U322" s="270">
        <v>16</v>
      </c>
      <c r="V322" s="270">
        <v>8</v>
      </c>
      <c r="W322" s="270">
        <v>8</v>
      </c>
      <c r="X322" s="270" t="s">
        <v>34</v>
      </c>
      <c r="Y322" s="270">
        <v>50</v>
      </c>
      <c r="Z322" s="270">
        <v>21</v>
      </c>
      <c r="AA322" s="270">
        <v>7</v>
      </c>
      <c r="AB322" s="270">
        <v>18</v>
      </c>
      <c r="AC322" s="270" t="s">
        <v>35</v>
      </c>
      <c r="AD322" s="269">
        <v>50</v>
      </c>
      <c r="AE322" s="269">
        <v>18.5</v>
      </c>
      <c r="AF322" s="269">
        <v>7.5</v>
      </c>
      <c r="AG322" s="269">
        <v>13</v>
      </c>
      <c r="AH322" s="269">
        <v>24</v>
      </c>
      <c r="AI322" s="269">
        <v>6</v>
      </c>
      <c r="AJ322" s="269">
        <v>12</v>
      </c>
      <c r="AK322" s="270">
        <v>25</v>
      </c>
      <c r="AL322" s="270">
        <v>7</v>
      </c>
      <c r="AM322" s="270">
        <v>7</v>
      </c>
      <c r="AN322" s="270" t="s">
        <v>90</v>
      </c>
      <c r="AO322" s="270">
        <v>50</v>
      </c>
      <c r="AP322" s="270">
        <v>21</v>
      </c>
      <c r="AQ322" s="270">
        <v>7</v>
      </c>
      <c r="AR322" s="270">
        <v>18</v>
      </c>
      <c r="AS322" s="270">
        <v>50</v>
      </c>
      <c r="AT322" s="269">
        <v>23</v>
      </c>
      <c r="AU322" s="269">
        <v>7</v>
      </c>
      <c r="AV322" s="269">
        <v>12.5</v>
      </c>
    </row>
    <row r="323" spans="1:48" s="271" customFormat="1" ht="23.5" customHeight="1">
      <c r="A323" s="258"/>
      <c r="B323" s="258">
        <v>62</v>
      </c>
      <c r="C323" s="277" t="s">
        <v>60</v>
      </c>
      <c r="D323" s="258" t="s">
        <v>91</v>
      </c>
      <c r="E323" s="261">
        <f>VLOOKUP(D323,รายแปลง!E:G,3,FALSE)</f>
        <v>913102</v>
      </c>
      <c r="F323" s="273">
        <v>6.2799999999999994</v>
      </c>
      <c r="G323" s="272" t="s">
        <v>28</v>
      </c>
      <c r="H323" s="274">
        <v>1.1071</v>
      </c>
      <c r="I323" s="265">
        <v>1.1124841529288558</v>
      </c>
      <c r="J323" s="272" t="s">
        <v>41</v>
      </c>
      <c r="K323" s="275">
        <v>30.230237899194769</v>
      </c>
      <c r="L323" s="272" t="s">
        <v>28</v>
      </c>
      <c r="M323" s="276">
        <v>202.43318707618667</v>
      </c>
      <c r="N323" s="272" t="s">
        <v>30</v>
      </c>
      <c r="O323" s="275"/>
      <c r="P323" s="275"/>
      <c r="Q323" s="275"/>
      <c r="R323" s="269">
        <v>15</v>
      </c>
      <c r="S323" s="269">
        <v>6</v>
      </c>
      <c r="T323" s="269">
        <v>10</v>
      </c>
      <c r="U323" s="270">
        <v>16</v>
      </c>
      <c r="V323" s="270">
        <v>8</v>
      </c>
      <c r="W323" s="270">
        <v>8</v>
      </c>
      <c r="X323" s="270" t="s">
        <v>34</v>
      </c>
      <c r="Y323" s="270">
        <v>50</v>
      </c>
      <c r="Z323" s="270">
        <v>15</v>
      </c>
      <c r="AA323" s="270">
        <v>7</v>
      </c>
      <c r="AB323" s="270">
        <v>18</v>
      </c>
      <c r="AC323" s="270" t="s">
        <v>51</v>
      </c>
      <c r="AD323" s="270">
        <v>50</v>
      </c>
      <c r="AE323" s="269">
        <v>15.5</v>
      </c>
      <c r="AF323" s="269">
        <v>7.5</v>
      </c>
      <c r="AG323" s="269">
        <v>13</v>
      </c>
      <c r="AH323" s="269">
        <v>18</v>
      </c>
      <c r="AI323" s="269">
        <v>6</v>
      </c>
      <c r="AJ323" s="269">
        <v>12</v>
      </c>
      <c r="AK323" s="270">
        <v>16</v>
      </c>
      <c r="AL323" s="270">
        <v>8</v>
      </c>
      <c r="AM323" s="270">
        <v>8</v>
      </c>
      <c r="AN323" s="270" t="s">
        <v>34</v>
      </c>
      <c r="AO323" s="270">
        <v>50</v>
      </c>
      <c r="AP323" s="270">
        <v>21</v>
      </c>
      <c r="AQ323" s="270">
        <v>7</v>
      </c>
      <c r="AR323" s="270">
        <v>18</v>
      </c>
      <c r="AS323" s="270">
        <v>50</v>
      </c>
      <c r="AT323" s="269">
        <v>18.5</v>
      </c>
      <c r="AU323" s="269">
        <v>7.5</v>
      </c>
      <c r="AV323" s="269">
        <v>13</v>
      </c>
    </row>
    <row r="324" spans="1:48" s="271" customFormat="1" ht="23.5" customHeight="1">
      <c r="A324" s="258"/>
      <c r="B324" s="258">
        <v>62</v>
      </c>
      <c r="C324" s="277" t="s">
        <v>60</v>
      </c>
      <c r="D324" s="258">
        <v>1723</v>
      </c>
      <c r="E324" s="261">
        <f>VLOOKUP(D324,รายแปลง!E:G,3,FALSE)</f>
        <v>913112</v>
      </c>
      <c r="F324" s="273">
        <v>6.6999999999999993</v>
      </c>
      <c r="G324" s="272" t="s">
        <v>28</v>
      </c>
      <c r="H324" s="274">
        <v>1.543984</v>
      </c>
      <c r="I324" s="265">
        <v>1.2012712589024792</v>
      </c>
      <c r="J324" s="272" t="s">
        <v>41</v>
      </c>
      <c r="K324" s="275">
        <v>32.669045997529956</v>
      </c>
      <c r="L324" s="272" t="s">
        <v>28</v>
      </c>
      <c r="M324" s="276">
        <v>205.76227784237852</v>
      </c>
      <c r="N324" s="272" t="s">
        <v>30</v>
      </c>
      <c r="O324" s="275"/>
      <c r="P324" s="275"/>
      <c r="Q324" s="275"/>
      <c r="R324" s="269">
        <v>15</v>
      </c>
      <c r="S324" s="269">
        <v>6</v>
      </c>
      <c r="T324" s="269">
        <v>10</v>
      </c>
      <c r="U324" s="270">
        <v>16</v>
      </c>
      <c r="V324" s="270">
        <v>8</v>
      </c>
      <c r="W324" s="270">
        <v>8</v>
      </c>
      <c r="X324" s="270" t="s">
        <v>34</v>
      </c>
      <c r="Y324" s="270">
        <v>50</v>
      </c>
      <c r="Z324" s="270">
        <v>15</v>
      </c>
      <c r="AA324" s="270">
        <v>7</v>
      </c>
      <c r="AB324" s="270">
        <v>18</v>
      </c>
      <c r="AC324" s="270" t="s">
        <v>51</v>
      </c>
      <c r="AD324" s="270">
        <v>50</v>
      </c>
      <c r="AE324" s="269">
        <v>15.5</v>
      </c>
      <c r="AF324" s="269">
        <v>7.5</v>
      </c>
      <c r="AG324" s="269">
        <v>13</v>
      </c>
      <c r="AH324" s="269">
        <v>18</v>
      </c>
      <c r="AI324" s="269">
        <v>6</v>
      </c>
      <c r="AJ324" s="269">
        <v>12</v>
      </c>
      <c r="AK324" s="270">
        <v>16</v>
      </c>
      <c r="AL324" s="270">
        <v>8</v>
      </c>
      <c r="AM324" s="270">
        <v>8</v>
      </c>
      <c r="AN324" s="270" t="s">
        <v>34</v>
      </c>
      <c r="AO324" s="270">
        <v>50</v>
      </c>
      <c r="AP324" s="270">
        <v>21</v>
      </c>
      <c r="AQ324" s="270">
        <v>7</v>
      </c>
      <c r="AR324" s="270">
        <v>18</v>
      </c>
      <c r="AS324" s="270">
        <v>50</v>
      </c>
      <c r="AT324" s="269">
        <v>18.5</v>
      </c>
      <c r="AU324" s="269">
        <v>7.5</v>
      </c>
      <c r="AV324" s="269">
        <v>13</v>
      </c>
    </row>
    <row r="325" spans="1:48" s="271" customFormat="1" ht="23.5" customHeight="1">
      <c r="A325" s="258"/>
      <c r="B325" s="258">
        <v>62</v>
      </c>
      <c r="C325" s="277" t="s">
        <v>60</v>
      </c>
      <c r="D325" s="258" t="s">
        <v>92</v>
      </c>
      <c r="E325" s="261">
        <f>VLOOKUP(D325,รายแปลง!E:G,3,FALSE)</f>
        <v>913103</v>
      </c>
      <c r="F325" s="273">
        <v>6.78</v>
      </c>
      <c r="G325" s="272" t="s">
        <v>28</v>
      </c>
      <c r="H325" s="274">
        <v>1.53634</v>
      </c>
      <c r="I325" s="265">
        <v>1.2675954829946194</v>
      </c>
      <c r="J325" s="272" t="s">
        <v>41</v>
      </c>
      <c r="K325" s="275">
        <v>33.308579027756842</v>
      </c>
      <c r="L325" s="272" t="s">
        <v>28</v>
      </c>
      <c r="M325" s="276">
        <v>208.5020226798099</v>
      </c>
      <c r="N325" s="272" t="s">
        <v>30</v>
      </c>
      <c r="O325" s="275"/>
      <c r="P325" s="275"/>
      <c r="Q325" s="275"/>
      <c r="R325" s="269">
        <v>15</v>
      </c>
      <c r="S325" s="269">
        <v>6</v>
      </c>
      <c r="T325" s="269">
        <v>10</v>
      </c>
      <c r="U325" s="270">
        <v>16</v>
      </c>
      <c r="V325" s="270">
        <v>8</v>
      </c>
      <c r="W325" s="270">
        <v>8</v>
      </c>
      <c r="X325" s="270" t="s">
        <v>34</v>
      </c>
      <c r="Y325" s="270">
        <v>50</v>
      </c>
      <c r="Z325" s="270">
        <v>15</v>
      </c>
      <c r="AA325" s="270">
        <v>7</v>
      </c>
      <c r="AB325" s="270">
        <v>18</v>
      </c>
      <c r="AC325" s="270" t="s">
        <v>51</v>
      </c>
      <c r="AD325" s="270">
        <v>50</v>
      </c>
      <c r="AE325" s="269">
        <v>15.5</v>
      </c>
      <c r="AF325" s="269">
        <v>7.5</v>
      </c>
      <c r="AG325" s="269">
        <v>13</v>
      </c>
      <c r="AH325" s="269">
        <v>18</v>
      </c>
      <c r="AI325" s="269">
        <v>6</v>
      </c>
      <c r="AJ325" s="269">
        <v>12</v>
      </c>
      <c r="AK325" s="270">
        <v>16</v>
      </c>
      <c r="AL325" s="270">
        <v>8</v>
      </c>
      <c r="AM325" s="270">
        <v>8</v>
      </c>
      <c r="AN325" s="270" t="s">
        <v>34</v>
      </c>
      <c r="AO325" s="270">
        <v>50</v>
      </c>
      <c r="AP325" s="270">
        <v>21</v>
      </c>
      <c r="AQ325" s="270">
        <v>7</v>
      </c>
      <c r="AR325" s="270">
        <v>18</v>
      </c>
      <c r="AS325" s="270">
        <v>50</v>
      </c>
      <c r="AT325" s="269">
        <v>18.5</v>
      </c>
      <c r="AU325" s="269">
        <v>7.5</v>
      </c>
      <c r="AV325" s="269">
        <v>13</v>
      </c>
    </row>
    <row r="326" spans="1:48" s="271" customFormat="1" ht="23.5" customHeight="1">
      <c r="A326" s="258"/>
      <c r="B326" s="258">
        <v>62</v>
      </c>
      <c r="C326" s="277" t="s">
        <v>60</v>
      </c>
      <c r="D326" s="258" t="s">
        <v>93</v>
      </c>
      <c r="E326" s="261">
        <f>VLOOKUP(D326,รายแปลง!E:G,3,FALSE)</f>
        <v>913116</v>
      </c>
      <c r="F326" s="273">
        <v>6.1150000000000002</v>
      </c>
      <c r="G326" s="272" t="s">
        <v>28</v>
      </c>
      <c r="H326" s="274">
        <v>0.32329599999999997</v>
      </c>
      <c r="I326" s="265">
        <v>0.75778255977512654</v>
      </c>
      <c r="J326" s="272" t="s">
        <v>37</v>
      </c>
      <c r="K326" s="275">
        <v>18.151450013754634</v>
      </c>
      <c r="L326" s="272" t="s">
        <v>41</v>
      </c>
      <c r="M326" s="276">
        <v>123.08142838890043</v>
      </c>
      <c r="N326" s="272" t="s">
        <v>30</v>
      </c>
      <c r="O326" s="275"/>
      <c r="P326" s="275"/>
      <c r="Q326" s="275"/>
      <c r="R326" s="269">
        <v>18</v>
      </c>
      <c r="S326" s="269">
        <v>9</v>
      </c>
      <c r="T326" s="269">
        <v>10</v>
      </c>
      <c r="U326" s="270">
        <v>16</v>
      </c>
      <c r="V326" s="270">
        <v>16</v>
      </c>
      <c r="W326" s="270">
        <v>8</v>
      </c>
      <c r="X326" s="270" t="s">
        <v>39</v>
      </c>
      <c r="Y326" s="269">
        <v>50</v>
      </c>
      <c r="Z326" s="270">
        <v>21</v>
      </c>
      <c r="AA326" s="270">
        <v>7</v>
      </c>
      <c r="AB326" s="270">
        <v>18</v>
      </c>
      <c r="AC326" s="270" t="s">
        <v>35</v>
      </c>
      <c r="AD326" s="269">
        <v>50</v>
      </c>
      <c r="AE326" s="269">
        <v>18.5</v>
      </c>
      <c r="AF326" s="269">
        <v>11.5</v>
      </c>
      <c r="AG326" s="269">
        <v>13</v>
      </c>
      <c r="AH326" s="269">
        <v>24</v>
      </c>
      <c r="AI326" s="269">
        <v>9</v>
      </c>
      <c r="AJ326" s="269">
        <v>12</v>
      </c>
      <c r="AK326" s="270">
        <v>25</v>
      </c>
      <c r="AL326" s="270">
        <v>7</v>
      </c>
      <c r="AM326" s="270">
        <v>7</v>
      </c>
      <c r="AN326" s="270" t="s">
        <v>90</v>
      </c>
      <c r="AO326" s="269">
        <v>50</v>
      </c>
      <c r="AP326" s="270">
        <v>20</v>
      </c>
      <c r="AQ326" s="270">
        <v>8</v>
      </c>
      <c r="AR326" s="270">
        <v>20</v>
      </c>
      <c r="AS326" s="269">
        <v>50</v>
      </c>
      <c r="AT326" s="269">
        <v>22.5</v>
      </c>
      <c r="AU326" s="269">
        <v>7.5</v>
      </c>
      <c r="AV326" s="269">
        <v>13.5</v>
      </c>
    </row>
    <row r="327" spans="1:48" s="271" customFormat="1" ht="23.5" customHeight="1">
      <c r="A327" s="258"/>
      <c r="B327" s="258">
        <v>62</v>
      </c>
      <c r="C327" s="277" t="s">
        <v>60</v>
      </c>
      <c r="D327" s="258">
        <v>1724</v>
      </c>
      <c r="E327" s="261">
        <f>VLOOKUP(D327,รายแปลง!E:G,3,FALSE)</f>
        <v>913113</v>
      </c>
      <c r="F327" s="273">
        <v>6.49</v>
      </c>
      <c r="G327" s="272" t="s">
        <v>28</v>
      </c>
      <c r="H327" s="274">
        <v>0.63611200000000001</v>
      </c>
      <c r="I327" s="265">
        <v>0.71357937777857394</v>
      </c>
      <c r="J327" s="272" t="s">
        <v>37</v>
      </c>
      <c r="K327" s="275">
        <v>30.718729168040589</v>
      </c>
      <c r="L327" s="272" t="s">
        <v>28</v>
      </c>
      <c r="M327" s="276">
        <v>163.10995878207686</v>
      </c>
      <c r="N327" s="272" t="s">
        <v>30</v>
      </c>
      <c r="O327" s="275"/>
      <c r="P327" s="275"/>
      <c r="Q327" s="275"/>
      <c r="R327" s="269">
        <v>18</v>
      </c>
      <c r="S327" s="269">
        <v>6</v>
      </c>
      <c r="T327" s="269">
        <v>10</v>
      </c>
      <c r="U327" s="270">
        <v>16</v>
      </c>
      <c r="V327" s="270">
        <v>8</v>
      </c>
      <c r="W327" s="270">
        <v>8</v>
      </c>
      <c r="X327" s="270" t="s">
        <v>34</v>
      </c>
      <c r="Y327" s="270">
        <v>50</v>
      </c>
      <c r="Z327" s="270">
        <v>21</v>
      </c>
      <c r="AA327" s="270">
        <v>7</v>
      </c>
      <c r="AB327" s="270">
        <v>18</v>
      </c>
      <c r="AC327" s="270" t="s">
        <v>35</v>
      </c>
      <c r="AD327" s="269">
        <v>50</v>
      </c>
      <c r="AE327" s="269">
        <v>18.5</v>
      </c>
      <c r="AF327" s="269">
        <v>7.5</v>
      </c>
      <c r="AG327" s="269">
        <v>13</v>
      </c>
      <c r="AH327" s="269">
        <v>24</v>
      </c>
      <c r="AI327" s="269">
        <v>6</v>
      </c>
      <c r="AJ327" s="269">
        <v>12</v>
      </c>
      <c r="AK327" s="270">
        <v>25</v>
      </c>
      <c r="AL327" s="270">
        <v>7</v>
      </c>
      <c r="AM327" s="270">
        <v>7</v>
      </c>
      <c r="AN327" s="270" t="s">
        <v>90</v>
      </c>
      <c r="AO327" s="270">
        <v>50</v>
      </c>
      <c r="AP327" s="270">
        <v>21</v>
      </c>
      <c r="AQ327" s="270">
        <v>7</v>
      </c>
      <c r="AR327" s="270">
        <v>18</v>
      </c>
      <c r="AS327" s="270">
        <v>50</v>
      </c>
      <c r="AT327" s="269">
        <v>23</v>
      </c>
      <c r="AU327" s="269">
        <v>7</v>
      </c>
      <c r="AV327" s="269">
        <v>12.5</v>
      </c>
    </row>
    <row r="328" spans="1:48" s="271" customFormat="1" ht="23.5" customHeight="1">
      <c r="A328" s="258"/>
      <c r="B328" s="258">
        <v>62</v>
      </c>
      <c r="C328" s="277" t="s">
        <v>60</v>
      </c>
      <c r="D328" s="258" t="s">
        <v>94</v>
      </c>
      <c r="E328" s="261">
        <f>VLOOKUP(D328,รายแปลง!E:G,3,FALSE)</f>
        <v>913110</v>
      </c>
      <c r="F328" s="273">
        <v>6.415</v>
      </c>
      <c r="G328" s="272" t="s">
        <v>28</v>
      </c>
      <c r="H328" s="274">
        <v>0.81192400000000009</v>
      </c>
      <c r="I328" s="265">
        <v>0.62235524431851752</v>
      </c>
      <c r="J328" s="272" t="s">
        <v>37</v>
      </c>
      <c r="K328" s="275">
        <v>34.023889006640573</v>
      </c>
      <c r="L328" s="272" t="s">
        <v>28</v>
      </c>
      <c r="M328" s="276">
        <v>175.01201265226635</v>
      </c>
      <c r="N328" s="272" t="s">
        <v>30</v>
      </c>
      <c r="O328" s="275"/>
      <c r="P328" s="275"/>
      <c r="Q328" s="275"/>
      <c r="R328" s="269">
        <v>18</v>
      </c>
      <c r="S328" s="269">
        <v>6</v>
      </c>
      <c r="T328" s="269">
        <v>10</v>
      </c>
      <c r="U328" s="270">
        <v>16</v>
      </c>
      <c r="V328" s="270">
        <v>8</v>
      </c>
      <c r="W328" s="270">
        <v>8</v>
      </c>
      <c r="X328" s="270" t="s">
        <v>34</v>
      </c>
      <c r="Y328" s="270">
        <v>50</v>
      </c>
      <c r="Z328" s="270">
        <v>21</v>
      </c>
      <c r="AA328" s="270">
        <v>7</v>
      </c>
      <c r="AB328" s="270">
        <v>18</v>
      </c>
      <c r="AC328" s="270" t="s">
        <v>35</v>
      </c>
      <c r="AD328" s="269">
        <v>50</v>
      </c>
      <c r="AE328" s="269">
        <v>18.5</v>
      </c>
      <c r="AF328" s="269">
        <v>7.5</v>
      </c>
      <c r="AG328" s="269">
        <v>13</v>
      </c>
      <c r="AH328" s="269">
        <v>24</v>
      </c>
      <c r="AI328" s="269">
        <v>6</v>
      </c>
      <c r="AJ328" s="269">
        <v>12</v>
      </c>
      <c r="AK328" s="270">
        <v>25</v>
      </c>
      <c r="AL328" s="270">
        <v>7</v>
      </c>
      <c r="AM328" s="270">
        <v>7</v>
      </c>
      <c r="AN328" s="270" t="s">
        <v>90</v>
      </c>
      <c r="AO328" s="270">
        <v>50</v>
      </c>
      <c r="AP328" s="270">
        <v>21</v>
      </c>
      <c r="AQ328" s="270">
        <v>7</v>
      </c>
      <c r="AR328" s="270">
        <v>18</v>
      </c>
      <c r="AS328" s="270">
        <v>50</v>
      </c>
      <c r="AT328" s="269">
        <v>23</v>
      </c>
      <c r="AU328" s="269">
        <v>7</v>
      </c>
      <c r="AV328" s="269">
        <v>12.5</v>
      </c>
    </row>
    <row r="329" spans="1:48" s="271" customFormat="1" ht="23.5" customHeight="1">
      <c r="A329" s="258"/>
      <c r="B329" s="258">
        <v>63</v>
      </c>
      <c r="C329" s="272" t="s">
        <v>53</v>
      </c>
      <c r="D329" s="258">
        <v>1202</v>
      </c>
      <c r="E329" s="261">
        <f>VLOOKUP(D329,รายแปลง!E:G,3,FALSE)</f>
        <v>907102</v>
      </c>
      <c r="F329" s="273">
        <v>7.94</v>
      </c>
      <c r="G329" s="272" t="s">
        <v>40</v>
      </c>
      <c r="H329" s="278">
        <v>7.3849999999999999E-2</v>
      </c>
      <c r="I329" s="265">
        <v>1.2612466618438649</v>
      </c>
      <c r="J329" s="272" t="s">
        <v>41</v>
      </c>
      <c r="K329" s="279">
        <v>18.486429037015</v>
      </c>
      <c r="L329" s="272" t="s">
        <v>41</v>
      </c>
      <c r="M329" s="280">
        <v>53.881675707556759</v>
      </c>
      <c r="N329" s="272" t="s">
        <v>41</v>
      </c>
      <c r="O329" s="281">
        <v>5047.5903699899063</v>
      </c>
      <c r="P329" s="279">
        <v>140.2079662355863</v>
      </c>
      <c r="Q329" s="279">
        <v>100.703042816353</v>
      </c>
      <c r="R329" s="269">
        <v>15</v>
      </c>
      <c r="S329" s="269">
        <v>9</v>
      </c>
      <c r="T329" s="269">
        <v>15</v>
      </c>
      <c r="U329" s="270">
        <v>16</v>
      </c>
      <c r="V329" s="270">
        <v>16</v>
      </c>
      <c r="W329" s="270">
        <v>16</v>
      </c>
      <c r="X329" s="270" t="s">
        <v>95</v>
      </c>
      <c r="Y329" s="269">
        <v>50</v>
      </c>
      <c r="Z329" s="270">
        <v>15</v>
      </c>
      <c r="AA329" s="270">
        <v>7</v>
      </c>
      <c r="AB329" s="270">
        <v>18</v>
      </c>
      <c r="AC329" s="270" t="s">
        <v>51</v>
      </c>
      <c r="AD329" s="269">
        <v>50</v>
      </c>
      <c r="AE329" s="269">
        <v>15.5</v>
      </c>
      <c r="AF329" s="269">
        <v>11.5</v>
      </c>
      <c r="AG329" s="269">
        <v>17</v>
      </c>
      <c r="AH329" s="269">
        <v>18</v>
      </c>
      <c r="AI329" s="269">
        <v>9</v>
      </c>
      <c r="AJ329" s="269">
        <v>24</v>
      </c>
      <c r="AK329" s="270">
        <v>16</v>
      </c>
      <c r="AL329" s="270">
        <v>16</v>
      </c>
      <c r="AM329" s="270">
        <v>16</v>
      </c>
      <c r="AN329" s="270" t="s">
        <v>95</v>
      </c>
      <c r="AO329" s="269">
        <v>50</v>
      </c>
      <c r="AP329" s="270">
        <v>20</v>
      </c>
      <c r="AQ329" s="270">
        <v>5</v>
      </c>
      <c r="AR329" s="270">
        <v>28</v>
      </c>
      <c r="AS329" s="269">
        <v>50</v>
      </c>
      <c r="AT329" s="269">
        <v>18</v>
      </c>
      <c r="AU329" s="269">
        <v>10.5</v>
      </c>
      <c r="AV329" s="269">
        <v>22</v>
      </c>
    </row>
    <row r="330" spans="1:48" s="271" customFormat="1" ht="23.5" customHeight="1">
      <c r="A330" s="258"/>
      <c r="B330" s="258">
        <v>63</v>
      </c>
      <c r="C330" s="272" t="s">
        <v>53</v>
      </c>
      <c r="D330" s="258">
        <v>1206</v>
      </c>
      <c r="E330" s="261">
        <f>VLOOKUP(D330,รายแปลง!E:G,3,FALSE)</f>
        <v>907105</v>
      </c>
      <c r="F330" s="273">
        <v>7.8149999999999995</v>
      </c>
      <c r="G330" s="272" t="s">
        <v>40</v>
      </c>
      <c r="H330" s="278">
        <v>8.4549999999999986E-2</v>
      </c>
      <c r="I330" s="265">
        <v>1.8558995358632004</v>
      </c>
      <c r="J330" s="272" t="s">
        <v>28</v>
      </c>
      <c r="K330" s="279">
        <v>29.93350192069957</v>
      </c>
      <c r="L330" s="272" t="s">
        <v>28</v>
      </c>
      <c r="M330" s="280">
        <v>99.722232319193537</v>
      </c>
      <c r="N330" s="272" t="s">
        <v>29</v>
      </c>
      <c r="O330" s="281">
        <v>5702.6067164840606</v>
      </c>
      <c r="P330" s="279">
        <v>182.6715486054382</v>
      </c>
      <c r="Q330" s="279">
        <v>19.964103672725596</v>
      </c>
      <c r="R330" s="269">
        <v>15</v>
      </c>
      <c r="S330" s="269">
        <v>9</v>
      </c>
      <c r="T330" s="269">
        <v>10</v>
      </c>
      <c r="U330" s="270">
        <v>16</v>
      </c>
      <c r="V330" s="270">
        <v>16</v>
      </c>
      <c r="W330" s="270">
        <v>8</v>
      </c>
      <c r="X330" s="270" t="s">
        <v>39</v>
      </c>
      <c r="Y330" s="269">
        <v>50</v>
      </c>
      <c r="Z330" s="270">
        <v>15</v>
      </c>
      <c r="AA330" s="270">
        <v>7</v>
      </c>
      <c r="AB330" s="270">
        <v>18</v>
      </c>
      <c r="AC330" s="270" t="s">
        <v>51</v>
      </c>
      <c r="AD330" s="269">
        <v>50</v>
      </c>
      <c r="AE330" s="269">
        <v>15.5</v>
      </c>
      <c r="AF330" s="269">
        <v>11.5</v>
      </c>
      <c r="AG330" s="269">
        <v>13</v>
      </c>
      <c r="AH330" s="269">
        <v>18</v>
      </c>
      <c r="AI330" s="269">
        <v>9</v>
      </c>
      <c r="AJ330" s="269">
        <v>12</v>
      </c>
      <c r="AK330" s="270">
        <v>16</v>
      </c>
      <c r="AL330" s="270">
        <v>16</v>
      </c>
      <c r="AM330" s="270">
        <v>8</v>
      </c>
      <c r="AN330" s="270" t="s">
        <v>39</v>
      </c>
      <c r="AO330" s="269">
        <v>50</v>
      </c>
      <c r="AP330" s="270">
        <v>21</v>
      </c>
      <c r="AQ330" s="270">
        <v>7</v>
      </c>
      <c r="AR330" s="270">
        <v>18</v>
      </c>
      <c r="AS330" s="269">
        <v>50</v>
      </c>
      <c r="AT330" s="269">
        <v>18.5</v>
      </c>
      <c r="AU330" s="269">
        <v>11.5</v>
      </c>
      <c r="AV330" s="269">
        <v>13</v>
      </c>
    </row>
    <row r="331" spans="1:48" s="271" customFormat="1" ht="23.5" customHeight="1">
      <c r="A331" s="258"/>
      <c r="B331" s="258">
        <v>63</v>
      </c>
      <c r="C331" s="272" t="s">
        <v>53</v>
      </c>
      <c r="D331" s="258">
        <v>1207</v>
      </c>
      <c r="E331" s="261">
        <f>VLOOKUP(D331,รายแปลง!E:G,3,FALSE)</f>
        <v>907108</v>
      </c>
      <c r="F331" s="273">
        <v>7.99</v>
      </c>
      <c r="G331" s="272" t="s">
        <v>40</v>
      </c>
      <c r="H331" s="278">
        <v>7.0899999999999991E-2</v>
      </c>
      <c r="I331" s="265">
        <v>2.1939276374544088</v>
      </c>
      <c r="J331" s="272" t="s">
        <v>28</v>
      </c>
      <c r="K331" s="279">
        <v>19.263532699830627</v>
      </c>
      <c r="L331" s="272" t="s">
        <v>41</v>
      </c>
      <c r="M331" s="280">
        <v>53.517399121054737</v>
      </c>
      <c r="N331" s="272" t="s">
        <v>41</v>
      </c>
      <c r="O331" s="281">
        <v>3990.678985217739</v>
      </c>
      <c r="P331" s="279">
        <v>147.41250499400718</v>
      </c>
      <c r="Q331" s="279">
        <v>19.495205753096315</v>
      </c>
      <c r="R331" s="269">
        <v>12</v>
      </c>
      <c r="S331" s="269">
        <v>9</v>
      </c>
      <c r="T331" s="269">
        <v>15</v>
      </c>
      <c r="U331" s="270">
        <v>16</v>
      </c>
      <c r="V331" s="270">
        <v>16</v>
      </c>
      <c r="W331" s="270">
        <v>8</v>
      </c>
      <c r="X331" s="270" t="s">
        <v>39</v>
      </c>
      <c r="Y331" s="269">
        <v>50</v>
      </c>
      <c r="Z331" s="270">
        <v>15</v>
      </c>
      <c r="AA331" s="270">
        <v>7</v>
      </c>
      <c r="AB331" s="270">
        <v>18</v>
      </c>
      <c r="AC331" s="270" t="s">
        <v>51</v>
      </c>
      <c r="AD331" s="269">
        <v>50</v>
      </c>
      <c r="AE331" s="269">
        <v>15.5</v>
      </c>
      <c r="AF331" s="269">
        <v>11.5</v>
      </c>
      <c r="AG331" s="269">
        <v>13</v>
      </c>
      <c r="AH331" s="269">
        <v>15</v>
      </c>
      <c r="AI331" s="269">
        <v>9</v>
      </c>
      <c r="AJ331" s="269">
        <v>24</v>
      </c>
      <c r="AK331" s="270">
        <v>16</v>
      </c>
      <c r="AL331" s="270">
        <v>16</v>
      </c>
      <c r="AM331" s="270">
        <v>8</v>
      </c>
      <c r="AN331" s="270" t="s">
        <v>39</v>
      </c>
      <c r="AO331" s="269">
        <v>50</v>
      </c>
      <c r="AP331" s="270">
        <v>15</v>
      </c>
      <c r="AQ331" s="270">
        <v>7</v>
      </c>
      <c r="AR331" s="270">
        <v>18</v>
      </c>
      <c r="AS331" s="269">
        <v>50</v>
      </c>
      <c r="AT331" s="269">
        <v>15.5</v>
      </c>
      <c r="AU331" s="269">
        <v>11.5</v>
      </c>
      <c r="AV331" s="269">
        <v>13</v>
      </c>
    </row>
    <row r="332" spans="1:48" s="271" customFormat="1" ht="23.5" customHeight="1">
      <c r="A332" s="258"/>
      <c r="B332" s="258">
        <v>63</v>
      </c>
      <c r="C332" s="272" t="s">
        <v>53</v>
      </c>
      <c r="D332" s="258" t="s">
        <v>96</v>
      </c>
      <c r="E332" s="261">
        <f>VLOOKUP(D332,รายแปลง!E:G,3,FALSE)</f>
        <v>907110</v>
      </c>
      <c r="F332" s="273">
        <v>8.0549999999999997</v>
      </c>
      <c r="G332" s="272" t="s">
        <v>40</v>
      </c>
      <c r="H332" s="278">
        <v>8.3900000000000002E-2</v>
      </c>
      <c r="I332" s="265">
        <v>2.7089431808098947</v>
      </c>
      <c r="J332" s="272" t="s">
        <v>29</v>
      </c>
      <c r="K332" s="279">
        <v>16.9372736258535</v>
      </c>
      <c r="L332" s="272" t="s">
        <v>41</v>
      </c>
      <c r="M332" s="280">
        <v>80.325241748352596</v>
      </c>
      <c r="N332" s="272" t="s">
        <v>28</v>
      </c>
      <c r="O332" s="281">
        <v>4510.3279243054312</v>
      </c>
      <c r="P332" s="279">
        <v>85.111163828820395</v>
      </c>
      <c r="Q332" s="279">
        <v>1.9940181841092901</v>
      </c>
      <c r="R332" s="269">
        <v>12</v>
      </c>
      <c r="S332" s="269">
        <v>9</v>
      </c>
      <c r="T332" s="269">
        <v>12</v>
      </c>
      <c r="U332" s="270">
        <v>16</v>
      </c>
      <c r="V332" s="270">
        <v>16</v>
      </c>
      <c r="W332" s="270">
        <v>8</v>
      </c>
      <c r="X332" s="270" t="s">
        <v>39</v>
      </c>
      <c r="Y332" s="269">
        <v>50</v>
      </c>
      <c r="Z332" s="270">
        <v>15</v>
      </c>
      <c r="AA332" s="270">
        <v>7</v>
      </c>
      <c r="AB332" s="270">
        <v>18</v>
      </c>
      <c r="AC332" s="270" t="s">
        <v>51</v>
      </c>
      <c r="AD332" s="269">
        <v>50</v>
      </c>
      <c r="AE332" s="269">
        <v>15.5</v>
      </c>
      <c r="AF332" s="269">
        <v>11.5</v>
      </c>
      <c r="AG332" s="269">
        <v>13</v>
      </c>
      <c r="AH332" s="269">
        <v>15</v>
      </c>
      <c r="AI332" s="269">
        <v>9</v>
      </c>
      <c r="AJ332" s="269">
        <v>18</v>
      </c>
      <c r="AK332" s="270">
        <v>16</v>
      </c>
      <c r="AL332" s="270">
        <v>16</v>
      </c>
      <c r="AM332" s="270">
        <v>8</v>
      </c>
      <c r="AN332" s="270" t="s">
        <v>39</v>
      </c>
      <c r="AO332" s="269">
        <v>50</v>
      </c>
      <c r="AP332" s="270">
        <v>15</v>
      </c>
      <c r="AQ332" s="270">
        <v>7</v>
      </c>
      <c r="AR332" s="270">
        <v>18</v>
      </c>
      <c r="AS332" s="269">
        <v>50</v>
      </c>
      <c r="AT332" s="269">
        <v>15.5</v>
      </c>
      <c r="AU332" s="269">
        <v>11.5</v>
      </c>
      <c r="AV332" s="269">
        <v>13</v>
      </c>
    </row>
    <row r="333" spans="1:48" s="271" customFormat="1" ht="23.5" customHeight="1">
      <c r="A333" s="258"/>
      <c r="B333" s="258">
        <v>63</v>
      </c>
      <c r="C333" s="272" t="s">
        <v>53</v>
      </c>
      <c r="D333" s="258">
        <v>1201</v>
      </c>
      <c r="E333" s="261">
        <f>VLOOKUP(D333,รายแปลง!E:G,3,FALSE)</f>
        <v>907101</v>
      </c>
      <c r="F333" s="273">
        <v>7.9</v>
      </c>
      <c r="G333" s="272" t="s">
        <v>40</v>
      </c>
      <c r="H333" s="278">
        <v>0.12585000000000002</v>
      </c>
      <c r="I333" s="265">
        <v>1.300973127936738</v>
      </c>
      <c r="J333" s="272" t="s">
        <v>41</v>
      </c>
      <c r="K333" s="279">
        <v>7.2863589768763788</v>
      </c>
      <c r="L333" s="272" t="s">
        <v>37</v>
      </c>
      <c r="M333" s="280">
        <v>46.121286583650601</v>
      </c>
      <c r="N333" s="272" t="s">
        <v>41</v>
      </c>
      <c r="O333" s="281">
        <v>1738.1175927375575</v>
      </c>
      <c r="P333" s="279">
        <v>121.15977475430577</v>
      </c>
      <c r="Q333" s="279">
        <v>14.466078858904547</v>
      </c>
      <c r="R333" s="269">
        <v>15</v>
      </c>
      <c r="S333" s="269">
        <v>12</v>
      </c>
      <c r="T333" s="269">
        <v>15</v>
      </c>
      <c r="U333" s="270">
        <v>16</v>
      </c>
      <c r="V333" s="270">
        <v>16</v>
      </c>
      <c r="W333" s="270">
        <v>16</v>
      </c>
      <c r="X333" s="270" t="s">
        <v>95</v>
      </c>
      <c r="Y333" s="269">
        <v>50</v>
      </c>
      <c r="Z333" s="270">
        <v>15</v>
      </c>
      <c r="AA333" s="270">
        <v>7</v>
      </c>
      <c r="AB333" s="270">
        <v>18</v>
      </c>
      <c r="AC333" s="270" t="s">
        <v>51</v>
      </c>
      <c r="AD333" s="269">
        <v>50</v>
      </c>
      <c r="AE333" s="269">
        <v>15.5</v>
      </c>
      <c r="AF333" s="269">
        <v>11.5</v>
      </c>
      <c r="AG333" s="269">
        <v>17</v>
      </c>
      <c r="AH333" s="269">
        <v>18</v>
      </c>
      <c r="AI333" s="269">
        <v>12</v>
      </c>
      <c r="AJ333" s="269">
        <v>24</v>
      </c>
      <c r="AK333" s="270">
        <v>16</v>
      </c>
      <c r="AL333" s="270">
        <v>16</v>
      </c>
      <c r="AM333" s="270">
        <v>16</v>
      </c>
      <c r="AN333" s="270" t="s">
        <v>95</v>
      </c>
      <c r="AO333" s="269">
        <v>50</v>
      </c>
      <c r="AP333" s="270">
        <v>20</v>
      </c>
      <c r="AQ333" s="270">
        <v>8</v>
      </c>
      <c r="AR333" s="270">
        <v>20</v>
      </c>
      <c r="AS333" s="269">
        <v>50</v>
      </c>
      <c r="AT333" s="269">
        <v>18</v>
      </c>
      <c r="AU333" s="269">
        <v>12</v>
      </c>
      <c r="AV333" s="269">
        <v>18</v>
      </c>
    </row>
    <row r="334" spans="1:48" s="271" customFormat="1" ht="23.5" customHeight="1">
      <c r="A334" s="258"/>
      <c r="B334" s="258">
        <v>63</v>
      </c>
      <c r="C334" s="272" t="s">
        <v>53</v>
      </c>
      <c r="D334" s="258">
        <v>1203</v>
      </c>
      <c r="E334" s="261">
        <f>VLOOKUP(D334,รายแปลง!E:G,3,FALSE)</f>
        <v>907106</v>
      </c>
      <c r="F334" s="273">
        <v>8.15</v>
      </c>
      <c r="G334" s="272" t="s">
        <v>40</v>
      </c>
      <c r="H334" s="278">
        <v>8.9549999999999991E-2</v>
      </c>
      <c r="I334" s="265">
        <v>2.5699332472982066</v>
      </c>
      <c r="J334" s="272" t="s">
        <v>29</v>
      </c>
      <c r="K334" s="279">
        <v>16.26926187083502</v>
      </c>
      <c r="L334" s="272" t="s">
        <v>41</v>
      </c>
      <c r="M334" s="280">
        <v>65.970506342529802</v>
      </c>
      <c r="N334" s="272" t="s">
        <v>28</v>
      </c>
      <c r="O334" s="281">
        <v>4542.5396902924949</v>
      </c>
      <c r="P334" s="279">
        <v>90.091824304134974</v>
      </c>
      <c r="Q334" s="279">
        <v>65.930881492888773</v>
      </c>
      <c r="R334" s="269">
        <v>12</v>
      </c>
      <c r="S334" s="269">
        <v>9</v>
      </c>
      <c r="T334" s="269">
        <v>12</v>
      </c>
      <c r="U334" s="270">
        <v>16</v>
      </c>
      <c r="V334" s="270">
        <v>16</v>
      </c>
      <c r="W334" s="270">
        <v>8</v>
      </c>
      <c r="X334" s="270" t="s">
        <v>39</v>
      </c>
      <c r="Y334" s="269">
        <v>50</v>
      </c>
      <c r="Z334" s="270">
        <v>15</v>
      </c>
      <c r="AA334" s="270">
        <v>7</v>
      </c>
      <c r="AB334" s="270">
        <v>18</v>
      </c>
      <c r="AC334" s="270" t="s">
        <v>51</v>
      </c>
      <c r="AD334" s="269">
        <v>50</v>
      </c>
      <c r="AE334" s="269">
        <v>15.5</v>
      </c>
      <c r="AF334" s="269">
        <v>11.5</v>
      </c>
      <c r="AG334" s="269">
        <v>13</v>
      </c>
      <c r="AH334" s="269">
        <v>15</v>
      </c>
      <c r="AI334" s="269">
        <v>9</v>
      </c>
      <c r="AJ334" s="269">
        <v>18</v>
      </c>
      <c r="AK334" s="270">
        <v>16</v>
      </c>
      <c r="AL334" s="270">
        <v>16</v>
      </c>
      <c r="AM334" s="270">
        <v>8</v>
      </c>
      <c r="AN334" s="270" t="s">
        <v>39</v>
      </c>
      <c r="AO334" s="269">
        <v>50</v>
      </c>
      <c r="AP334" s="270">
        <v>15</v>
      </c>
      <c r="AQ334" s="270">
        <v>7</v>
      </c>
      <c r="AR334" s="270">
        <v>18</v>
      </c>
      <c r="AS334" s="269">
        <v>50</v>
      </c>
      <c r="AT334" s="269">
        <v>15.5</v>
      </c>
      <c r="AU334" s="269">
        <v>11.5</v>
      </c>
      <c r="AV334" s="269">
        <v>13</v>
      </c>
    </row>
    <row r="335" spans="1:48" s="271" customFormat="1" ht="23.5" customHeight="1">
      <c r="A335" s="258"/>
      <c r="B335" s="258">
        <v>63</v>
      </c>
      <c r="C335" s="289" t="s">
        <v>48</v>
      </c>
      <c r="D335" s="270">
        <v>601</v>
      </c>
      <c r="E335" s="261">
        <f>VLOOKUP(D335,รายแปลง!E:G,3,FALSE)</f>
        <v>902115</v>
      </c>
      <c r="F335" s="265">
        <v>7.7100000000000009</v>
      </c>
      <c r="G335" s="282" t="s">
        <v>40</v>
      </c>
      <c r="H335" s="283">
        <v>1.631596</v>
      </c>
      <c r="I335" s="283">
        <v>1.1017638014278854</v>
      </c>
      <c r="J335" s="282" t="s">
        <v>41</v>
      </c>
      <c r="K335" s="279">
        <v>23.221571451875128</v>
      </c>
      <c r="L335" s="282" t="s">
        <v>28</v>
      </c>
      <c r="M335" s="283">
        <v>70.951120636067387</v>
      </c>
      <c r="N335" s="282" t="s">
        <v>28</v>
      </c>
      <c r="O335" s="284"/>
      <c r="P335" s="284"/>
      <c r="Q335" s="284"/>
      <c r="R335" s="269">
        <v>15</v>
      </c>
      <c r="S335" s="269">
        <v>9</v>
      </c>
      <c r="T335" s="269">
        <v>12</v>
      </c>
      <c r="U335" s="270">
        <v>16</v>
      </c>
      <c r="V335" s="270">
        <v>16</v>
      </c>
      <c r="W335" s="270">
        <v>8</v>
      </c>
      <c r="X335" s="270" t="s">
        <v>39</v>
      </c>
      <c r="Y335" s="269">
        <v>50</v>
      </c>
      <c r="Z335" s="270">
        <v>15</v>
      </c>
      <c r="AA335" s="270">
        <v>7</v>
      </c>
      <c r="AB335" s="270">
        <v>18</v>
      </c>
      <c r="AC335" s="270" t="s">
        <v>51</v>
      </c>
      <c r="AD335" s="269">
        <v>50</v>
      </c>
      <c r="AE335" s="269">
        <v>15.5</v>
      </c>
      <c r="AF335" s="269">
        <v>11.5</v>
      </c>
      <c r="AG335" s="269">
        <v>13</v>
      </c>
      <c r="AH335" s="269">
        <v>18</v>
      </c>
      <c r="AI335" s="269">
        <v>9</v>
      </c>
      <c r="AJ335" s="269">
        <v>18</v>
      </c>
      <c r="AK335" s="270">
        <v>16</v>
      </c>
      <c r="AL335" s="270">
        <v>16</v>
      </c>
      <c r="AM335" s="270">
        <v>16</v>
      </c>
      <c r="AN335" s="270" t="s">
        <v>95</v>
      </c>
      <c r="AO335" s="269">
        <v>50</v>
      </c>
      <c r="AP335" s="270">
        <v>21</v>
      </c>
      <c r="AQ335" s="270">
        <v>7</v>
      </c>
      <c r="AR335" s="270">
        <v>18</v>
      </c>
      <c r="AS335" s="269">
        <v>50</v>
      </c>
      <c r="AT335" s="269">
        <v>18.5</v>
      </c>
      <c r="AU335" s="269">
        <v>11.5</v>
      </c>
      <c r="AV335" s="269">
        <v>17</v>
      </c>
    </row>
    <row r="336" spans="1:48" s="271" customFormat="1" ht="23.5" customHeight="1">
      <c r="A336" s="258"/>
      <c r="B336" s="258">
        <v>63</v>
      </c>
      <c r="C336" s="289" t="s">
        <v>48</v>
      </c>
      <c r="D336" s="270">
        <v>604</v>
      </c>
      <c r="E336" s="261">
        <f>VLOOKUP(D336,รายแปลง!E:G,3,FALSE)</f>
        <v>902114</v>
      </c>
      <c r="F336" s="285">
        <v>7.2949999999999999</v>
      </c>
      <c r="G336" s="286" t="s">
        <v>28</v>
      </c>
      <c r="H336" s="287">
        <v>1.352884</v>
      </c>
      <c r="I336" s="287">
        <v>0.89603649495447668</v>
      </c>
      <c r="J336" s="286" t="s">
        <v>37</v>
      </c>
      <c r="K336" s="288">
        <v>95.140203884235973</v>
      </c>
      <c r="L336" s="286" t="s">
        <v>29</v>
      </c>
      <c r="M336" s="287">
        <v>117.60318121212794</v>
      </c>
      <c r="N336" s="286" t="s">
        <v>29</v>
      </c>
      <c r="O336" s="284"/>
      <c r="P336" s="284"/>
      <c r="Q336" s="284"/>
      <c r="R336" s="269">
        <v>18</v>
      </c>
      <c r="S336" s="269">
        <v>6</v>
      </c>
      <c r="T336" s="269">
        <v>10</v>
      </c>
      <c r="U336" s="270">
        <v>16</v>
      </c>
      <c r="V336" s="270">
        <v>8</v>
      </c>
      <c r="W336" s="270">
        <v>8</v>
      </c>
      <c r="X336" s="270" t="s">
        <v>34</v>
      </c>
      <c r="Y336" s="270">
        <v>50</v>
      </c>
      <c r="Z336" s="270">
        <v>21</v>
      </c>
      <c r="AA336" s="270">
        <v>7</v>
      </c>
      <c r="AB336" s="270">
        <v>18</v>
      </c>
      <c r="AC336" s="270" t="s">
        <v>35</v>
      </c>
      <c r="AD336" s="269">
        <v>50</v>
      </c>
      <c r="AE336" s="269">
        <v>18.5</v>
      </c>
      <c r="AF336" s="269">
        <v>7.5</v>
      </c>
      <c r="AG336" s="269">
        <v>13</v>
      </c>
      <c r="AH336" s="269">
        <v>24</v>
      </c>
      <c r="AI336" s="269">
        <v>6</v>
      </c>
      <c r="AJ336" s="269">
        <v>12</v>
      </c>
      <c r="AK336" s="270">
        <v>25</v>
      </c>
      <c r="AL336" s="270">
        <v>7</v>
      </c>
      <c r="AM336" s="270">
        <v>7</v>
      </c>
      <c r="AN336" s="270" t="s">
        <v>90</v>
      </c>
      <c r="AO336" s="270">
        <v>50</v>
      </c>
      <c r="AP336" s="270">
        <v>21</v>
      </c>
      <c r="AQ336" s="270">
        <v>7</v>
      </c>
      <c r="AR336" s="270">
        <v>18</v>
      </c>
      <c r="AS336" s="270">
        <v>50</v>
      </c>
      <c r="AT336" s="269">
        <v>23</v>
      </c>
      <c r="AU336" s="269">
        <v>7</v>
      </c>
      <c r="AV336" s="269">
        <v>12.5</v>
      </c>
    </row>
    <row r="337" spans="1:48" s="271" customFormat="1" ht="23.5" customHeight="1">
      <c r="A337" s="258"/>
      <c r="B337" s="258">
        <v>63</v>
      </c>
      <c r="C337" s="289" t="s">
        <v>48</v>
      </c>
      <c r="D337" s="270">
        <v>605</v>
      </c>
      <c r="E337" s="261">
        <f>VLOOKUP(D337,รายแปลง!E:G,3,FALSE)</f>
        <v>902113</v>
      </c>
      <c r="F337" s="265">
        <v>8.120000000000001</v>
      </c>
      <c r="G337" s="282" t="s">
        <v>40</v>
      </c>
      <c r="H337" s="283">
        <v>1.43344</v>
      </c>
      <c r="I337" s="283">
        <v>1.2701709369949232</v>
      </c>
      <c r="J337" s="282" t="s">
        <v>41</v>
      </c>
      <c r="K337" s="279">
        <v>34.711514710778289</v>
      </c>
      <c r="L337" s="282" t="s">
        <v>28</v>
      </c>
      <c r="M337" s="283">
        <v>106.89321357285429</v>
      </c>
      <c r="N337" s="282" t="s">
        <v>29</v>
      </c>
      <c r="O337" s="284"/>
      <c r="P337" s="284"/>
      <c r="Q337" s="284"/>
      <c r="R337" s="269">
        <v>15</v>
      </c>
      <c r="S337" s="269">
        <v>6</v>
      </c>
      <c r="T337" s="269">
        <v>10</v>
      </c>
      <c r="U337" s="270">
        <v>16</v>
      </c>
      <c r="V337" s="270">
        <v>8</v>
      </c>
      <c r="W337" s="270">
        <v>8</v>
      </c>
      <c r="X337" s="270" t="s">
        <v>34</v>
      </c>
      <c r="Y337" s="270">
        <v>50</v>
      </c>
      <c r="Z337" s="270">
        <v>15</v>
      </c>
      <c r="AA337" s="270">
        <v>7</v>
      </c>
      <c r="AB337" s="270">
        <v>18</v>
      </c>
      <c r="AC337" s="270" t="s">
        <v>51</v>
      </c>
      <c r="AD337" s="270">
        <v>50</v>
      </c>
      <c r="AE337" s="269">
        <v>15.5</v>
      </c>
      <c r="AF337" s="269">
        <v>7.5</v>
      </c>
      <c r="AG337" s="269">
        <v>13</v>
      </c>
      <c r="AH337" s="269">
        <v>18</v>
      </c>
      <c r="AI337" s="269">
        <v>6</v>
      </c>
      <c r="AJ337" s="269">
        <v>12</v>
      </c>
      <c r="AK337" s="270">
        <v>16</v>
      </c>
      <c r="AL337" s="270">
        <v>8</v>
      </c>
      <c r="AM337" s="270">
        <v>8</v>
      </c>
      <c r="AN337" s="270" t="s">
        <v>34</v>
      </c>
      <c r="AO337" s="270">
        <v>50</v>
      </c>
      <c r="AP337" s="270">
        <v>21</v>
      </c>
      <c r="AQ337" s="270">
        <v>7</v>
      </c>
      <c r="AR337" s="270">
        <v>18</v>
      </c>
      <c r="AS337" s="270">
        <v>50</v>
      </c>
      <c r="AT337" s="269">
        <v>18.5</v>
      </c>
      <c r="AU337" s="269">
        <v>7.5</v>
      </c>
      <c r="AV337" s="269">
        <v>13</v>
      </c>
    </row>
    <row r="338" spans="1:48" s="271" customFormat="1" ht="23.5" customHeight="1">
      <c r="A338" s="258"/>
      <c r="B338" s="258">
        <v>63</v>
      </c>
      <c r="C338" s="289" t="s">
        <v>48</v>
      </c>
      <c r="D338" s="270">
        <v>606</v>
      </c>
      <c r="E338" s="261">
        <f>VLOOKUP(D338,รายแปลง!E:G,3,FALSE)</f>
        <v>902112</v>
      </c>
      <c r="F338" s="265">
        <v>8.7349999999999994</v>
      </c>
      <c r="G338" s="282" t="s">
        <v>36</v>
      </c>
      <c r="H338" s="283">
        <v>1.3346560000000001</v>
      </c>
      <c r="I338" s="283">
        <v>0.99345538994171689</v>
      </c>
      <c r="J338" s="282" t="s">
        <v>37</v>
      </c>
      <c r="K338" s="279">
        <v>48.352539757124902</v>
      </c>
      <c r="L338" s="282" t="s">
        <v>29</v>
      </c>
      <c r="M338" s="283">
        <v>71.201933480136944</v>
      </c>
      <c r="N338" s="282" t="s">
        <v>28</v>
      </c>
      <c r="O338" s="284"/>
      <c r="P338" s="284"/>
      <c r="Q338" s="284"/>
      <c r="R338" s="269">
        <v>18</v>
      </c>
      <c r="S338" s="269">
        <v>6</v>
      </c>
      <c r="T338" s="269">
        <v>12</v>
      </c>
      <c r="U338" s="270">
        <v>16</v>
      </c>
      <c r="V338" s="270">
        <v>8</v>
      </c>
      <c r="W338" s="270">
        <v>8</v>
      </c>
      <c r="X338" s="270" t="s">
        <v>34</v>
      </c>
      <c r="Y338" s="270">
        <v>50</v>
      </c>
      <c r="Z338" s="270">
        <v>21</v>
      </c>
      <c r="AA338" s="270">
        <v>7</v>
      </c>
      <c r="AB338" s="270">
        <v>18</v>
      </c>
      <c r="AC338" s="270" t="s">
        <v>35</v>
      </c>
      <c r="AD338" s="269">
        <v>50</v>
      </c>
      <c r="AE338" s="269">
        <v>18.5</v>
      </c>
      <c r="AF338" s="269">
        <v>7.5</v>
      </c>
      <c r="AG338" s="269">
        <v>13</v>
      </c>
      <c r="AH338" s="269">
        <v>24</v>
      </c>
      <c r="AI338" s="269">
        <v>6</v>
      </c>
      <c r="AJ338" s="269">
        <v>18</v>
      </c>
      <c r="AK338" s="270">
        <v>25</v>
      </c>
      <c r="AL338" s="270">
        <v>7</v>
      </c>
      <c r="AM338" s="270">
        <v>7</v>
      </c>
      <c r="AN338" s="270" t="s">
        <v>90</v>
      </c>
      <c r="AO338" s="270">
        <v>50</v>
      </c>
      <c r="AP338" s="270">
        <v>20</v>
      </c>
      <c r="AQ338" s="270">
        <v>5</v>
      </c>
      <c r="AR338" s="270">
        <v>28</v>
      </c>
      <c r="AS338" s="269">
        <v>50</v>
      </c>
      <c r="AT338" s="269">
        <v>22.5</v>
      </c>
      <c r="AU338" s="269">
        <v>6</v>
      </c>
      <c r="AV338" s="269">
        <v>17.5</v>
      </c>
    </row>
    <row r="339" spans="1:48" s="271" customFormat="1" ht="23.5" customHeight="1">
      <c r="A339" s="258"/>
      <c r="B339" s="258">
        <v>63</v>
      </c>
      <c r="C339" s="289" t="s">
        <v>48</v>
      </c>
      <c r="D339" s="270">
        <v>612</v>
      </c>
      <c r="E339" s="261">
        <f>VLOOKUP(D339,รายแปลง!E:G,3,FALSE)</f>
        <v>902107</v>
      </c>
      <c r="F339" s="265">
        <v>7.6349999999999998</v>
      </c>
      <c r="G339" s="282" t="s">
        <v>40</v>
      </c>
      <c r="H339" s="283">
        <v>0.64904800000000007</v>
      </c>
      <c r="I339" s="283">
        <v>0.96359350688081746</v>
      </c>
      <c r="J339" s="282" t="s">
        <v>37</v>
      </c>
      <c r="K339" s="279">
        <v>8.5959147533888647</v>
      </c>
      <c r="L339" s="282" t="s">
        <v>37</v>
      </c>
      <c r="M339" s="283">
        <v>55.308825565246131</v>
      </c>
      <c r="N339" s="282" t="s">
        <v>41</v>
      </c>
      <c r="O339" s="284"/>
      <c r="P339" s="284"/>
      <c r="Q339" s="284"/>
      <c r="R339" s="269">
        <v>18</v>
      </c>
      <c r="S339" s="269">
        <v>12</v>
      </c>
      <c r="T339" s="269">
        <v>15</v>
      </c>
      <c r="U339" s="270">
        <v>16</v>
      </c>
      <c r="V339" s="270">
        <v>16</v>
      </c>
      <c r="W339" s="270">
        <v>16</v>
      </c>
      <c r="X339" s="270" t="s">
        <v>95</v>
      </c>
      <c r="Y339" s="269">
        <v>50</v>
      </c>
      <c r="Z339" s="270">
        <v>21</v>
      </c>
      <c r="AA339" s="270">
        <v>7</v>
      </c>
      <c r="AB339" s="270">
        <v>18</v>
      </c>
      <c r="AC339" s="270" t="s">
        <v>35</v>
      </c>
      <c r="AD339" s="269">
        <v>50</v>
      </c>
      <c r="AE339" s="269">
        <v>18.5</v>
      </c>
      <c r="AF339" s="269">
        <v>11.5</v>
      </c>
      <c r="AG339" s="269">
        <v>17</v>
      </c>
      <c r="AH339" s="269">
        <v>24</v>
      </c>
      <c r="AI339" s="269">
        <v>12</v>
      </c>
      <c r="AJ339" s="269">
        <v>24</v>
      </c>
      <c r="AK339" s="270">
        <v>20</v>
      </c>
      <c r="AL339" s="270">
        <v>8</v>
      </c>
      <c r="AM339" s="270">
        <v>20</v>
      </c>
      <c r="AN339" s="270" t="s">
        <v>45</v>
      </c>
      <c r="AO339" s="269">
        <v>50</v>
      </c>
      <c r="AP339" s="270">
        <v>20</v>
      </c>
      <c r="AQ339" s="270">
        <v>8</v>
      </c>
      <c r="AR339" s="270">
        <v>20</v>
      </c>
      <c r="AS339" s="269">
        <v>50</v>
      </c>
      <c r="AT339" s="269">
        <v>20</v>
      </c>
      <c r="AU339" s="269">
        <v>8</v>
      </c>
      <c r="AV339" s="269">
        <v>20</v>
      </c>
    </row>
    <row r="340" spans="1:48" s="271" customFormat="1" ht="23.5" customHeight="1">
      <c r="A340" s="258"/>
      <c r="B340" s="258">
        <v>63</v>
      </c>
      <c r="C340" s="272" t="s">
        <v>27</v>
      </c>
      <c r="D340" s="270">
        <v>802</v>
      </c>
      <c r="E340" s="261">
        <f>VLOOKUP(D340,รายแปลง!E:G,3,FALSE)</f>
        <v>903102</v>
      </c>
      <c r="F340" s="265">
        <v>7.1</v>
      </c>
      <c r="G340" s="282" t="s">
        <v>28</v>
      </c>
      <c r="H340" s="283">
        <v>0.96186400000000005</v>
      </c>
      <c r="I340" s="283">
        <v>1.3019316787887043</v>
      </c>
      <c r="J340" s="282" t="s">
        <v>41</v>
      </c>
      <c r="K340" s="279">
        <v>725.66408322529355</v>
      </c>
      <c r="L340" s="282" t="s">
        <v>29</v>
      </c>
      <c r="M340" s="283">
        <v>93.955320951296471</v>
      </c>
      <c r="N340" s="282" t="s">
        <v>29</v>
      </c>
      <c r="O340" s="284"/>
      <c r="P340" s="284"/>
      <c r="Q340" s="284"/>
      <c r="R340" s="269">
        <v>15</v>
      </c>
      <c r="S340" s="269">
        <v>6</v>
      </c>
      <c r="T340" s="269">
        <v>10</v>
      </c>
      <c r="U340" s="270">
        <v>16</v>
      </c>
      <c r="V340" s="270">
        <v>8</v>
      </c>
      <c r="W340" s="270">
        <v>8</v>
      </c>
      <c r="X340" s="270" t="s">
        <v>34</v>
      </c>
      <c r="Y340" s="270">
        <v>50</v>
      </c>
      <c r="Z340" s="270">
        <v>15</v>
      </c>
      <c r="AA340" s="270">
        <v>7</v>
      </c>
      <c r="AB340" s="270">
        <v>18</v>
      </c>
      <c r="AC340" s="270" t="s">
        <v>51</v>
      </c>
      <c r="AD340" s="270">
        <v>50</v>
      </c>
      <c r="AE340" s="269">
        <v>15.5</v>
      </c>
      <c r="AF340" s="269">
        <v>7.5</v>
      </c>
      <c r="AG340" s="269">
        <v>13</v>
      </c>
      <c r="AH340" s="269">
        <v>18</v>
      </c>
      <c r="AI340" s="269">
        <v>6</v>
      </c>
      <c r="AJ340" s="269">
        <v>12</v>
      </c>
      <c r="AK340" s="270">
        <v>16</v>
      </c>
      <c r="AL340" s="270">
        <v>8</v>
      </c>
      <c r="AM340" s="270">
        <v>8</v>
      </c>
      <c r="AN340" s="270" t="s">
        <v>34</v>
      </c>
      <c r="AO340" s="270">
        <v>50</v>
      </c>
      <c r="AP340" s="270">
        <v>21</v>
      </c>
      <c r="AQ340" s="270">
        <v>7</v>
      </c>
      <c r="AR340" s="270">
        <v>18</v>
      </c>
      <c r="AS340" s="270">
        <v>50</v>
      </c>
      <c r="AT340" s="269">
        <v>18.5</v>
      </c>
      <c r="AU340" s="269">
        <v>7.5</v>
      </c>
      <c r="AV340" s="269">
        <v>13</v>
      </c>
    </row>
    <row r="341" spans="1:48" s="271" customFormat="1" ht="23.5" customHeight="1">
      <c r="A341" s="258"/>
      <c r="B341" s="258">
        <v>63</v>
      </c>
      <c r="C341" s="272" t="s">
        <v>27</v>
      </c>
      <c r="D341" s="270">
        <v>804</v>
      </c>
      <c r="E341" s="261">
        <f>VLOOKUP(D341,รายแปลง!E:G,3,FALSE)</f>
        <v>903104</v>
      </c>
      <c r="F341" s="265">
        <v>7.51</v>
      </c>
      <c r="G341" s="282" t="s">
        <v>40</v>
      </c>
      <c r="H341" s="283">
        <v>1.852684</v>
      </c>
      <c r="I341" s="283">
        <v>0.96696567386018484</v>
      </c>
      <c r="J341" s="282" t="s">
        <v>37</v>
      </c>
      <c r="K341" s="279">
        <v>100.88393543428131</v>
      </c>
      <c r="L341" s="282" t="s">
        <v>29</v>
      </c>
      <c r="M341" s="283">
        <v>153.81683958499602</v>
      </c>
      <c r="N341" s="282" t="s">
        <v>30</v>
      </c>
      <c r="O341" s="284"/>
      <c r="P341" s="284"/>
      <c r="Q341" s="284"/>
      <c r="R341" s="269">
        <v>18</v>
      </c>
      <c r="S341" s="269">
        <v>6</v>
      </c>
      <c r="T341" s="269">
        <v>10</v>
      </c>
      <c r="U341" s="270">
        <v>16</v>
      </c>
      <c r="V341" s="270">
        <v>8</v>
      </c>
      <c r="W341" s="270">
        <v>8</v>
      </c>
      <c r="X341" s="270" t="s">
        <v>34</v>
      </c>
      <c r="Y341" s="270">
        <v>50</v>
      </c>
      <c r="Z341" s="270">
        <v>21</v>
      </c>
      <c r="AA341" s="270">
        <v>7</v>
      </c>
      <c r="AB341" s="270">
        <v>18</v>
      </c>
      <c r="AC341" s="270" t="s">
        <v>35</v>
      </c>
      <c r="AD341" s="269">
        <v>50</v>
      </c>
      <c r="AE341" s="269">
        <v>18.5</v>
      </c>
      <c r="AF341" s="269">
        <v>7.5</v>
      </c>
      <c r="AG341" s="269">
        <v>13</v>
      </c>
      <c r="AH341" s="269">
        <v>24</v>
      </c>
      <c r="AI341" s="269">
        <v>6</v>
      </c>
      <c r="AJ341" s="269">
        <v>12</v>
      </c>
      <c r="AK341" s="270">
        <v>25</v>
      </c>
      <c r="AL341" s="270">
        <v>7</v>
      </c>
      <c r="AM341" s="270">
        <v>7</v>
      </c>
      <c r="AN341" s="270" t="s">
        <v>90</v>
      </c>
      <c r="AO341" s="270">
        <v>50</v>
      </c>
      <c r="AP341" s="270">
        <v>21</v>
      </c>
      <c r="AQ341" s="270">
        <v>7</v>
      </c>
      <c r="AR341" s="270">
        <v>18</v>
      </c>
      <c r="AS341" s="270">
        <v>50</v>
      </c>
      <c r="AT341" s="269">
        <v>23</v>
      </c>
      <c r="AU341" s="269">
        <v>7</v>
      </c>
      <c r="AV341" s="269">
        <v>12.5</v>
      </c>
    </row>
    <row r="342" spans="1:48" s="271" customFormat="1" ht="23.5" customHeight="1">
      <c r="A342" s="258"/>
      <c r="B342" s="258">
        <v>63</v>
      </c>
      <c r="C342" s="272" t="s">
        <v>27</v>
      </c>
      <c r="D342" s="270">
        <v>856</v>
      </c>
      <c r="E342" s="261">
        <f>VLOOKUP(D342,รายแปลง!E:G,3,FALSE)</f>
        <v>903402</v>
      </c>
      <c r="F342" s="265">
        <v>7.335</v>
      </c>
      <c r="G342" s="282" t="s">
        <v>40</v>
      </c>
      <c r="H342" s="283">
        <v>1.4934159999999999</v>
      </c>
      <c r="I342" s="283">
        <v>1.133635923598642</v>
      </c>
      <c r="J342" s="282" t="s">
        <v>41</v>
      </c>
      <c r="K342" s="279">
        <v>19.578962741095928</v>
      </c>
      <c r="L342" s="282" t="s">
        <v>41</v>
      </c>
      <c r="M342" s="283">
        <v>107.69612628071877</v>
      </c>
      <c r="N342" s="282" t="s">
        <v>29</v>
      </c>
      <c r="O342" s="284"/>
      <c r="P342" s="284"/>
      <c r="Q342" s="284"/>
      <c r="R342" s="269">
        <v>15</v>
      </c>
      <c r="S342" s="269">
        <v>9</v>
      </c>
      <c r="T342" s="269">
        <v>10</v>
      </c>
      <c r="U342" s="270">
        <v>16</v>
      </c>
      <c r="V342" s="270">
        <v>16</v>
      </c>
      <c r="W342" s="270">
        <v>8</v>
      </c>
      <c r="X342" s="270" t="s">
        <v>39</v>
      </c>
      <c r="Y342" s="269">
        <v>50</v>
      </c>
      <c r="Z342" s="270">
        <v>15</v>
      </c>
      <c r="AA342" s="270">
        <v>7</v>
      </c>
      <c r="AB342" s="270">
        <v>18</v>
      </c>
      <c r="AC342" s="270" t="s">
        <v>51</v>
      </c>
      <c r="AD342" s="269">
        <v>50</v>
      </c>
      <c r="AE342" s="269">
        <v>15.5</v>
      </c>
      <c r="AF342" s="269">
        <v>11.5</v>
      </c>
      <c r="AG342" s="269">
        <v>13</v>
      </c>
      <c r="AH342" s="269">
        <v>18</v>
      </c>
      <c r="AI342" s="269">
        <v>9</v>
      </c>
      <c r="AJ342" s="269">
        <v>12</v>
      </c>
      <c r="AK342" s="270">
        <v>16</v>
      </c>
      <c r="AL342" s="270">
        <v>16</v>
      </c>
      <c r="AM342" s="270">
        <v>8</v>
      </c>
      <c r="AN342" s="270" t="s">
        <v>39</v>
      </c>
      <c r="AO342" s="269">
        <v>50</v>
      </c>
      <c r="AP342" s="270">
        <v>21</v>
      </c>
      <c r="AQ342" s="270">
        <v>7</v>
      </c>
      <c r="AR342" s="270">
        <v>18</v>
      </c>
      <c r="AS342" s="269">
        <v>50</v>
      </c>
      <c r="AT342" s="269">
        <v>18.5</v>
      </c>
      <c r="AU342" s="269">
        <v>11.5</v>
      </c>
      <c r="AV342" s="269">
        <v>13</v>
      </c>
    </row>
    <row r="343" spans="1:48" s="271" customFormat="1" ht="23.5" customHeight="1">
      <c r="A343" s="258"/>
      <c r="B343" s="258">
        <v>63</v>
      </c>
      <c r="C343" s="272" t="s">
        <v>27</v>
      </c>
      <c r="D343" s="270">
        <v>857</v>
      </c>
      <c r="E343" s="261">
        <f>VLOOKUP(D343,รายแปลง!E:G,3,FALSE)</f>
        <v>903133</v>
      </c>
      <c r="F343" s="265">
        <v>6.99</v>
      </c>
      <c r="G343" s="282" t="s">
        <v>28</v>
      </c>
      <c r="H343" s="283">
        <v>1.5216400000000001</v>
      </c>
      <c r="I343" s="283">
        <v>1.1996763240750323</v>
      </c>
      <c r="J343" s="282" t="s">
        <v>41</v>
      </c>
      <c r="K343" s="279">
        <v>31.463882644846883</v>
      </c>
      <c r="L343" s="282" t="s">
        <v>28</v>
      </c>
      <c r="M343" s="283">
        <v>83.883084792510545</v>
      </c>
      <c r="N343" s="282" t="s">
        <v>28</v>
      </c>
      <c r="O343" s="284"/>
      <c r="P343" s="284"/>
      <c r="Q343" s="284"/>
      <c r="R343" s="269">
        <v>15</v>
      </c>
      <c r="S343" s="269">
        <v>6</v>
      </c>
      <c r="T343" s="269">
        <v>12</v>
      </c>
      <c r="U343" s="270">
        <v>16</v>
      </c>
      <c r="V343" s="270">
        <v>8</v>
      </c>
      <c r="W343" s="270">
        <v>8</v>
      </c>
      <c r="X343" s="270" t="s">
        <v>34</v>
      </c>
      <c r="Y343" s="269">
        <v>50</v>
      </c>
      <c r="Z343" s="270">
        <v>15</v>
      </c>
      <c r="AA343" s="270">
        <v>7</v>
      </c>
      <c r="AB343" s="270">
        <v>18</v>
      </c>
      <c r="AC343" s="270" t="s">
        <v>51</v>
      </c>
      <c r="AD343" s="269">
        <v>50</v>
      </c>
      <c r="AE343" s="269">
        <v>15.5</v>
      </c>
      <c r="AF343" s="269">
        <v>7.5</v>
      </c>
      <c r="AG343" s="269">
        <v>13</v>
      </c>
      <c r="AH343" s="269">
        <v>18</v>
      </c>
      <c r="AI343" s="269">
        <v>6</v>
      </c>
      <c r="AJ343" s="269">
        <v>18</v>
      </c>
      <c r="AK343" s="270">
        <v>15</v>
      </c>
      <c r="AL343" s="270">
        <v>7</v>
      </c>
      <c r="AM343" s="270">
        <v>18</v>
      </c>
      <c r="AN343" s="270" t="s">
        <v>51</v>
      </c>
      <c r="AO343" s="269">
        <v>50</v>
      </c>
      <c r="AP343" s="270">
        <v>21</v>
      </c>
      <c r="AQ343" s="270">
        <v>7</v>
      </c>
      <c r="AR343" s="270">
        <v>18</v>
      </c>
      <c r="AS343" s="269">
        <v>50</v>
      </c>
      <c r="AT343" s="269">
        <v>18</v>
      </c>
      <c r="AU343" s="269">
        <v>7</v>
      </c>
      <c r="AV343" s="269">
        <v>18</v>
      </c>
    </row>
    <row r="344" spans="1:48" s="271" customFormat="1" ht="23.5" customHeight="1">
      <c r="A344" s="258"/>
      <c r="B344" s="258">
        <v>63</v>
      </c>
      <c r="C344" s="272" t="s">
        <v>27</v>
      </c>
      <c r="D344" s="270">
        <v>858</v>
      </c>
      <c r="E344" s="261">
        <f>VLOOKUP(D344,รายแปลง!E:G,3,FALSE)</f>
        <v>903132</v>
      </c>
      <c r="F344" s="265">
        <v>7.85</v>
      </c>
      <c r="G344" s="282" t="s">
        <v>40</v>
      </c>
      <c r="H344" s="283">
        <v>1.6951000000000001</v>
      </c>
      <c r="I344" s="283">
        <v>1.0348738481411344</v>
      </c>
      <c r="J344" s="282" t="s">
        <v>41</v>
      </c>
      <c r="K344" s="279">
        <v>13.818937254087581</v>
      </c>
      <c r="L344" s="282" t="s">
        <v>41</v>
      </c>
      <c r="M344" s="283">
        <v>77.396253678450876</v>
      </c>
      <c r="N344" s="282" t="s">
        <v>28</v>
      </c>
      <c r="O344" s="284"/>
      <c r="P344" s="284"/>
      <c r="Q344" s="284"/>
      <c r="R344" s="269">
        <v>15</v>
      </c>
      <c r="S344" s="269">
        <v>12</v>
      </c>
      <c r="T344" s="269">
        <v>12</v>
      </c>
      <c r="U344" s="270">
        <v>16</v>
      </c>
      <c r="V344" s="270">
        <v>16</v>
      </c>
      <c r="W344" s="270">
        <v>8</v>
      </c>
      <c r="X344" s="270" t="s">
        <v>39</v>
      </c>
      <c r="Y344" s="269">
        <v>50</v>
      </c>
      <c r="Z344" s="270">
        <v>15</v>
      </c>
      <c r="AA344" s="270">
        <v>7</v>
      </c>
      <c r="AB344" s="270">
        <v>18</v>
      </c>
      <c r="AC344" s="270" t="s">
        <v>51</v>
      </c>
      <c r="AD344" s="269">
        <v>50</v>
      </c>
      <c r="AE344" s="269">
        <v>15.5</v>
      </c>
      <c r="AF344" s="269">
        <v>11.5</v>
      </c>
      <c r="AG344" s="269">
        <v>13</v>
      </c>
      <c r="AH344" s="269">
        <v>18</v>
      </c>
      <c r="AI344" s="269">
        <v>12</v>
      </c>
      <c r="AJ344" s="269">
        <v>18</v>
      </c>
      <c r="AK344" s="270">
        <v>16</v>
      </c>
      <c r="AL344" s="270">
        <v>16</v>
      </c>
      <c r="AM344" s="270">
        <v>16</v>
      </c>
      <c r="AN344" s="270" t="s">
        <v>95</v>
      </c>
      <c r="AO344" s="269">
        <v>50</v>
      </c>
      <c r="AP344" s="270">
        <v>20</v>
      </c>
      <c r="AQ344" s="270">
        <v>8</v>
      </c>
      <c r="AR344" s="270">
        <v>20</v>
      </c>
      <c r="AS344" s="269">
        <v>50</v>
      </c>
      <c r="AT344" s="269">
        <v>18</v>
      </c>
      <c r="AU344" s="269">
        <v>12</v>
      </c>
      <c r="AV344" s="269">
        <v>18</v>
      </c>
    </row>
    <row r="345" spans="1:48" s="271" customFormat="1" ht="23.5" customHeight="1">
      <c r="A345" s="258"/>
      <c r="B345" s="258">
        <v>63</v>
      </c>
      <c r="C345" s="272" t="s">
        <v>27</v>
      </c>
      <c r="D345" s="270">
        <v>2001</v>
      </c>
      <c r="E345" s="261">
        <f>VLOOKUP(D345,รายแปลง!E:G,3,FALSE)</f>
        <v>901142</v>
      </c>
      <c r="F345" s="265">
        <v>7.5</v>
      </c>
      <c r="G345" s="282" t="s">
        <v>40</v>
      </c>
      <c r="H345" s="283">
        <v>1.46872</v>
      </c>
      <c r="I345" s="283">
        <v>1.0697736777717923</v>
      </c>
      <c r="J345" s="282" t="s">
        <v>41</v>
      </c>
      <c r="K345" s="279">
        <v>323.05123694967699</v>
      </c>
      <c r="L345" s="282" t="s">
        <v>29</v>
      </c>
      <c r="M345" s="283">
        <v>92.783243417318715</v>
      </c>
      <c r="N345" s="282" t="s">
        <v>29</v>
      </c>
      <c r="O345" s="284"/>
      <c r="P345" s="284"/>
      <c r="Q345" s="284"/>
      <c r="R345" s="269">
        <v>15</v>
      </c>
      <c r="S345" s="269">
        <v>6</v>
      </c>
      <c r="T345" s="269">
        <v>10</v>
      </c>
      <c r="U345" s="270">
        <v>16</v>
      </c>
      <c r="V345" s="270">
        <v>8</v>
      </c>
      <c r="W345" s="270">
        <v>8</v>
      </c>
      <c r="X345" s="270" t="s">
        <v>34</v>
      </c>
      <c r="Y345" s="270">
        <v>50</v>
      </c>
      <c r="Z345" s="270">
        <v>15</v>
      </c>
      <c r="AA345" s="270">
        <v>7</v>
      </c>
      <c r="AB345" s="270">
        <v>18</v>
      </c>
      <c r="AC345" s="270" t="s">
        <v>51</v>
      </c>
      <c r="AD345" s="270">
        <v>50</v>
      </c>
      <c r="AE345" s="269">
        <v>15.5</v>
      </c>
      <c r="AF345" s="269">
        <v>7.5</v>
      </c>
      <c r="AG345" s="269">
        <v>13</v>
      </c>
      <c r="AH345" s="269">
        <v>18</v>
      </c>
      <c r="AI345" s="269">
        <v>6</v>
      </c>
      <c r="AJ345" s="269">
        <v>12</v>
      </c>
      <c r="AK345" s="270">
        <v>16</v>
      </c>
      <c r="AL345" s="270">
        <v>8</v>
      </c>
      <c r="AM345" s="270">
        <v>8</v>
      </c>
      <c r="AN345" s="270" t="s">
        <v>34</v>
      </c>
      <c r="AO345" s="270">
        <v>50</v>
      </c>
      <c r="AP345" s="270">
        <v>21</v>
      </c>
      <c r="AQ345" s="270">
        <v>7</v>
      </c>
      <c r="AR345" s="270">
        <v>18</v>
      </c>
      <c r="AS345" s="270">
        <v>50</v>
      </c>
      <c r="AT345" s="269">
        <v>18.5</v>
      </c>
      <c r="AU345" s="269">
        <v>7.5</v>
      </c>
      <c r="AV345" s="269">
        <v>13</v>
      </c>
    </row>
    <row r="346" spans="1:48" s="271" customFormat="1" ht="23.5" customHeight="1">
      <c r="A346" s="258"/>
      <c r="B346" s="258">
        <v>63</v>
      </c>
      <c r="C346" s="272" t="s">
        <v>27</v>
      </c>
      <c r="D346" s="270">
        <v>2002</v>
      </c>
      <c r="E346" s="261">
        <f>VLOOKUP(D346,รายแปลง!E:G,3,FALSE)</f>
        <v>901141</v>
      </c>
      <c r="F346" s="265">
        <v>8.16</v>
      </c>
      <c r="G346" s="282" t="s">
        <v>40</v>
      </c>
      <c r="H346" s="283">
        <v>1.1006320000000001</v>
      </c>
      <c r="I346" s="283">
        <v>1.0954668838272974</v>
      </c>
      <c r="J346" s="282" t="s">
        <v>41</v>
      </c>
      <c r="K346" s="279">
        <v>5.3373489594210834</v>
      </c>
      <c r="L346" s="282" t="s">
        <v>47</v>
      </c>
      <c r="M346" s="283">
        <v>92.363948840927264</v>
      </c>
      <c r="N346" s="282" t="s">
        <v>29</v>
      </c>
      <c r="O346" s="284"/>
      <c r="P346" s="284"/>
      <c r="Q346" s="284"/>
      <c r="R346" s="269">
        <v>15</v>
      </c>
      <c r="S346" s="269">
        <v>12</v>
      </c>
      <c r="T346" s="269">
        <v>10</v>
      </c>
      <c r="U346" s="270">
        <v>16</v>
      </c>
      <c r="V346" s="270">
        <v>16</v>
      </c>
      <c r="W346" s="270">
        <v>8</v>
      </c>
      <c r="X346" s="270" t="s">
        <v>39</v>
      </c>
      <c r="Y346" s="269">
        <v>50</v>
      </c>
      <c r="Z346" s="270">
        <v>15</v>
      </c>
      <c r="AA346" s="270">
        <v>7</v>
      </c>
      <c r="AB346" s="270">
        <v>18</v>
      </c>
      <c r="AC346" s="270" t="s">
        <v>51</v>
      </c>
      <c r="AD346" s="269">
        <v>50</v>
      </c>
      <c r="AE346" s="269">
        <v>15.5</v>
      </c>
      <c r="AF346" s="269">
        <v>11.5</v>
      </c>
      <c r="AG346" s="269">
        <v>13</v>
      </c>
      <c r="AH346" s="269">
        <v>18</v>
      </c>
      <c r="AI346" s="269">
        <v>12</v>
      </c>
      <c r="AJ346" s="269">
        <v>12</v>
      </c>
      <c r="AK346" s="270">
        <v>16</v>
      </c>
      <c r="AL346" s="270">
        <v>16</v>
      </c>
      <c r="AM346" s="270">
        <v>8</v>
      </c>
      <c r="AN346" s="270" t="s">
        <v>39</v>
      </c>
      <c r="AO346" s="269">
        <v>50</v>
      </c>
      <c r="AP346" s="270">
        <v>21</v>
      </c>
      <c r="AQ346" s="270">
        <v>7</v>
      </c>
      <c r="AR346" s="270">
        <v>18</v>
      </c>
      <c r="AS346" s="269">
        <v>50</v>
      </c>
      <c r="AT346" s="269">
        <v>18.5</v>
      </c>
      <c r="AU346" s="269">
        <v>11.5</v>
      </c>
      <c r="AV346" s="269">
        <v>13</v>
      </c>
    </row>
    <row r="347" spans="1:48" s="271" customFormat="1" ht="23.5" customHeight="1">
      <c r="A347" s="258"/>
      <c r="B347" s="258">
        <v>63</v>
      </c>
      <c r="C347" s="282" t="s">
        <v>49</v>
      </c>
      <c r="D347" s="270">
        <v>801340</v>
      </c>
      <c r="E347" s="261">
        <f>VLOOKUP(D347,รายแปลง!E:G,3,FALSE)</f>
        <v>921122</v>
      </c>
      <c r="F347" s="265">
        <v>8.51</v>
      </c>
      <c r="G347" s="282" t="s">
        <v>36</v>
      </c>
      <c r="H347" s="283">
        <v>2.6153199999999996</v>
      </c>
      <c r="I347" s="283">
        <v>2.0741039424924574</v>
      </c>
      <c r="J347" s="282" t="s">
        <v>28</v>
      </c>
      <c r="K347" s="279">
        <v>112.09711552697907</v>
      </c>
      <c r="L347" s="282" t="s">
        <v>29</v>
      </c>
      <c r="M347" s="283">
        <v>190.73483727987673</v>
      </c>
      <c r="N347" s="282" t="s">
        <v>30</v>
      </c>
      <c r="O347" s="284"/>
      <c r="P347" s="284"/>
      <c r="Q347" s="284"/>
      <c r="R347" s="269">
        <v>12</v>
      </c>
      <c r="S347" s="269">
        <v>6</v>
      </c>
      <c r="T347" s="269">
        <v>10</v>
      </c>
      <c r="U347" s="270">
        <v>16</v>
      </c>
      <c r="V347" s="270">
        <v>8</v>
      </c>
      <c r="W347" s="270">
        <v>8</v>
      </c>
      <c r="X347" s="270" t="s">
        <v>34</v>
      </c>
      <c r="Y347" s="270">
        <v>50</v>
      </c>
      <c r="Z347" s="270">
        <v>15</v>
      </c>
      <c r="AA347" s="270">
        <v>7</v>
      </c>
      <c r="AB347" s="270">
        <v>18</v>
      </c>
      <c r="AC347" s="270" t="s">
        <v>51</v>
      </c>
      <c r="AD347" s="270">
        <v>50</v>
      </c>
      <c r="AE347" s="269">
        <v>15.5</v>
      </c>
      <c r="AF347" s="269">
        <v>7.5</v>
      </c>
      <c r="AG347" s="269">
        <v>13</v>
      </c>
      <c r="AH347" s="269">
        <v>15</v>
      </c>
      <c r="AI347" s="269">
        <v>6</v>
      </c>
      <c r="AJ347" s="269">
        <v>12</v>
      </c>
      <c r="AK347" s="270">
        <v>16</v>
      </c>
      <c r="AL347" s="270">
        <v>8</v>
      </c>
      <c r="AM347" s="270">
        <v>8</v>
      </c>
      <c r="AN347" s="270" t="s">
        <v>34</v>
      </c>
      <c r="AO347" s="270">
        <v>50</v>
      </c>
      <c r="AP347" s="270">
        <v>15</v>
      </c>
      <c r="AQ347" s="270">
        <v>7</v>
      </c>
      <c r="AR347" s="270">
        <v>18</v>
      </c>
      <c r="AS347" s="270">
        <v>50</v>
      </c>
      <c r="AT347" s="269">
        <v>15.5</v>
      </c>
      <c r="AU347" s="269">
        <v>7.5</v>
      </c>
      <c r="AV347" s="269">
        <v>13</v>
      </c>
    </row>
    <row r="348" spans="1:48" s="271" customFormat="1" ht="23.5" customHeight="1">
      <c r="A348" s="258"/>
      <c r="B348" s="258">
        <v>63</v>
      </c>
      <c r="C348" s="272" t="s">
        <v>50</v>
      </c>
      <c r="D348" s="270">
        <v>1501</v>
      </c>
      <c r="E348" s="261">
        <f>VLOOKUP(D348,รายแปลง!E:G,3,FALSE)</f>
        <v>908101</v>
      </c>
      <c r="F348" s="265">
        <v>7.53</v>
      </c>
      <c r="G348" s="282" t="s">
        <v>40</v>
      </c>
      <c r="H348" s="283">
        <v>0.38797599999999999</v>
      </c>
      <c r="I348" s="283">
        <v>0.69500944677305343</v>
      </c>
      <c r="J348" s="282" t="s">
        <v>37</v>
      </c>
      <c r="K348" s="279">
        <v>65.506540182023997</v>
      </c>
      <c r="L348" s="282" t="s">
        <v>29</v>
      </c>
      <c r="M348" s="283">
        <v>23.880739354278262</v>
      </c>
      <c r="N348" s="282" t="s">
        <v>37</v>
      </c>
      <c r="O348" s="284"/>
      <c r="P348" s="284"/>
      <c r="Q348" s="284"/>
      <c r="R348" s="269">
        <v>18</v>
      </c>
      <c r="S348" s="269">
        <v>6</v>
      </c>
      <c r="T348" s="269">
        <v>15</v>
      </c>
      <c r="U348" s="270">
        <v>15</v>
      </c>
      <c r="V348" s="270">
        <v>7</v>
      </c>
      <c r="W348" s="270">
        <v>15</v>
      </c>
      <c r="X348" s="270" t="s">
        <v>100</v>
      </c>
      <c r="Y348" s="270">
        <v>50</v>
      </c>
      <c r="Z348" s="270">
        <v>21</v>
      </c>
      <c r="AA348" s="270">
        <v>7</v>
      </c>
      <c r="AB348" s="270">
        <v>18</v>
      </c>
      <c r="AC348" s="270" t="s">
        <v>35</v>
      </c>
      <c r="AD348" s="269">
        <v>50</v>
      </c>
      <c r="AE348" s="269">
        <v>18</v>
      </c>
      <c r="AF348" s="269">
        <v>7</v>
      </c>
      <c r="AG348" s="269">
        <v>16.5</v>
      </c>
      <c r="AH348" s="269">
        <v>24</v>
      </c>
      <c r="AI348" s="269">
        <v>6</v>
      </c>
      <c r="AJ348" s="269">
        <v>24</v>
      </c>
      <c r="AK348" s="270">
        <v>21</v>
      </c>
      <c r="AL348" s="270">
        <v>7</v>
      </c>
      <c r="AM348" s="270">
        <v>18</v>
      </c>
      <c r="AN348" s="270" t="s">
        <v>35</v>
      </c>
      <c r="AO348" s="269">
        <v>50</v>
      </c>
      <c r="AP348" s="270">
        <v>20</v>
      </c>
      <c r="AQ348" s="270">
        <v>5</v>
      </c>
      <c r="AR348" s="270">
        <v>28</v>
      </c>
      <c r="AS348" s="269">
        <v>50</v>
      </c>
      <c r="AT348" s="269">
        <v>20.5</v>
      </c>
      <c r="AU348" s="269">
        <v>6</v>
      </c>
      <c r="AV348" s="269">
        <v>23</v>
      </c>
    </row>
    <row r="349" spans="1:48" s="271" customFormat="1" ht="23.5" customHeight="1">
      <c r="A349" s="258"/>
      <c r="B349" s="258">
        <v>63</v>
      </c>
      <c r="C349" s="272" t="s">
        <v>66</v>
      </c>
      <c r="D349" s="270">
        <v>1705</v>
      </c>
      <c r="E349" s="261">
        <f>VLOOKUP(D349,รายแปลง!E:G,3,FALSE)</f>
        <v>910104</v>
      </c>
      <c r="F349" s="265">
        <v>8.9450000000000003</v>
      </c>
      <c r="G349" s="282" t="s">
        <v>36</v>
      </c>
      <c r="H349" s="283">
        <v>1.6051359999999999</v>
      </c>
      <c r="I349" s="283">
        <v>1.4327831446058041</v>
      </c>
      <c r="J349" s="282" t="s">
        <v>41</v>
      </c>
      <c r="K349" s="279">
        <v>10.509342575417961</v>
      </c>
      <c r="L349" s="282" t="s">
        <v>41</v>
      </c>
      <c r="M349" s="283">
        <v>182.95480751644124</v>
      </c>
      <c r="N349" s="282" t="s">
        <v>30</v>
      </c>
      <c r="O349" s="284"/>
      <c r="P349" s="284"/>
      <c r="Q349" s="284"/>
      <c r="R349" s="269">
        <v>15</v>
      </c>
      <c r="S349" s="269">
        <v>12</v>
      </c>
      <c r="T349" s="269">
        <v>10</v>
      </c>
      <c r="U349" s="270">
        <v>16</v>
      </c>
      <c r="V349" s="270">
        <v>16</v>
      </c>
      <c r="W349" s="270">
        <v>8</v>
      </c>
      <c r="X349" s="270" t="s">
        <v>39</v>
      </c>
      <c r="Y349" s="269">
        <v>50</v>
      </c>
      <c r="Z349" s="270">
        <v>15</v>
      </c>
      <c r="AA349" s="270">
        <v>7</v>
      </c>
      <c r="AB349" s="270">
        <v>18</v>
      </c>
      <c r="AC349" s="270" t="s">
        <v>51</v>
      </c>
      <c r="AD349" s="269">
        <v>50</v>
      </c>
      <c r="AE349" s="269">
        <v>15.5</v>
      </c>
      <c r="AF349" s="269">
        <v>11.5</v>
      </c>
      <c r="AG349" s="269">
        <v>13</v>
      </c>
      <c r="AH349" s="269">
        <v>18</v>
      </c>
      <c r="AI349" s="269">
        <v>12</v>
      </c>
      <c r="AJ349" s="269">
        <v>12</v>
      </c>
      <c r="AK349" s="270">
        <v>16</v>
      </c>
      <c r="AL349" s="270">
        <v>16</v>
      </c>
      <c r="AM349" s="270">
        <v>8</v>
      </c>
      <c r="AN349" s="270" t="s">
        <v>39</v>
      </c>
      <c r="AO349" s="269">
        <v>50</v>
      </c>
      <c r="AP349" s="270">
        <v>21</v>
      </c>
      <c r="AQ349" s="270">
        <v>7</v>
      </c>
      <c r="AR349" s="270">
        <v>18</v>
      </c>
      <c r="AS349" s="269">
        <v>50</v>
      </c>
      <c r="AT349" s="269">
        <v>18.5</v>
      </c>
      <c r="AU349" s="269">
        <v>11.5</v>
      </c>
      <c r="AV349" s="269">
        <v>13</v>
      </c>
    </row>
    <row r="350" spans="1:48" s="271" customFormat="1" ht="23.5" customHeight="1">
      <c r="A350" s="258"/>
      <c r="B350" s="258">
        <v>63</v>
      </c>
      <c r="C350" s="272" t="s">
        <v>66</v>
      </c>
      <c r="D350" s="270">
        <v>1717</v>
      </c>
      <c r="E350" s="261">
        <f>VLOOKUP(D350,รายแปลง!E:G,3,FALSE)</f>
        <v>910118</v>
      </c>
      <c r="F350" s="265">
        <v>6.6749999999999998</v>
      </c>
      <c r="G350" s="282" t="s">
        <v>28</v>
      </c>
      <c r="H350" s="283">
        <v>0.43619200000000002</v>
      </c>
      <c r="I350" s="283">
        <v>1.1014362782168396</v>
      </c>
      <c r="J350" s="282" t="s">
        <v>41</v>
      </c>
      <c r="K350" s="279">
        <v>24.383043533823063</v>
      </c>
      <c r="L350" s="282" t="s">
        <v>28</v>
      </c>
      <c r="M350" s="283">
        <v>63.932879798638766</v>
      </c>
      <c r="N350" s="282" t="s">
        <v>28</v>
      </c>
      <c r="O350" s="284"/>
      <c r="P350" s="284"/>
      <c r="Q350" s="284"/>
      <c r="R350" s="269">
        <v>15</v>
      </c>
      <c r="S350" s="269">
        <v>9</v>
      </c>
      <c r="T350" s="269">
        <v>12</v>
      </c>
      <c r="U350" s="270">
        <v>16</v>
      </c>
      <c r="V350" s="270">
        <v>16</v>
      </c>
      <c r="W350" s="270">
        <v>8</v>
      </c>
      <c r="X350" s="270" t="s">
        <v>39</v>
      </c>
      <c r="Y350" s="269">
        <v>50</v>
      </c>
      <c r="Z350" s="270">
        <v>15</v>
      </c>
      <c r="AA350" s="270">
        <v>7</v>
      </c>
      <c r="AB350" s="270">
        <v>18</v>
      </c>
      <c r="AC350" s="270" t="s">
        <v>51</v>
      </c>
      <c r="AD350" s="269">
        <v>50</v>
      </c>
      <c r="AE350" s="269">
        <v>15.5</v>
      </c>
      <c r="AF350" s="269">
        <v>11.5</v>
      </c>
      <c r="AG350" s="269">
        <v>13</v>
      </c>
      <c r="AH350" s="269">
        <v>18</v>
      </c>
      <c r="AI350" s="269">
        <v>9</v>
      </c>
      <c r="AJ350" s="269">
        <v>18</v>
      </c>
      <c r="AK350" s="270">
        <v>16</v>
      </c>
      <c r="AL350" s="270">
        <v>16</v>
      </c>
      <c r="AM350" s="270">
        <v>16</v>
      </c>
      <c r="AN350" s="270" t="s">
        <v>95</v>
      </c>
      <c r="AO350" s="269">
        <v>50</v>
      </c>
      <c r="AP350" s="270">
        <v>21</v>
      </c>
      <c r="AQ350" s="270">
        <v>7</v>
      </c>
      <c r="AR350" s="270">
        <v>18</v>
      </c>
      <c r="AS350" s="269">
        <v>50</v>
      </c>
      <c r="AT350" s="269">
        <v>18.5</v>
      </c>
      <c r="AU350" s="269">
        <v>11.5</v>
      </c>
      <c r="AV350" s="269">
        <v>17</v>
      </c>
    </row>
    <row r="351" spans="1:48" s="271" customFormat="1" ht="23.5" customHeight="1">
      <c r="A351" s="258"/>
      <c r="B351" s="258">
        <v>63</v>
      </c>
      <c r="C351" s="289" t="s">
        <v>48</v>
      </c>
      <c r="D351" s="270">
        <v>725</v>
      </c>
      <c r="E351" s="261">
        <f>VLOOKUP(D351,รายแปลง!E:G,3,FALSE)</f>
        <v>902120</v>
      </c>
      <c r="F351" s="283">
        <v>7.8650000000000002</v>
      </c>
      <c r="G351" s="282" t="s">
        <v>40</v>
      </c>
      <c r="H351" s="283">
        <v>0.42249999999999999</v>
      </c>
      <c r="I351" s="283">
        <v>1.2699714128138069</v>
      </c>
      <c r="J351" s="282" t="s">
        <v>41</v>
      </c>
      <c r="K351" s="265">
        <v>38.581830017042435</v>
      </c>
      <c r="L351" s="282" t="s">
        <v>28</v>
      </c>
      <c r="M351" s="283">
        <v>266.93639478232035</v>
      </c>
      <c r="N351" s="282" t="s">
        <v>30</v>
      </c>
      <c r="O351" s="284"/>
      <c r="P351" s="284"/>
      <c r="Q351" s="284"/>
      <c r="R351" s="269">
        <v>15</v>
      </c>
      <c r="S351" s="269">
        <v>6</v>
      </c>
      <c r="T351" s="269">
        <v>10</v>
      </c>
      <c r="U351" s="270">
        <v>16</v>
      </c>
      <c r="V351" s="270">
        <v>8</v>
      </c>
      <c r="W351" s="270">
        <v>8</v>
      </c>
      <c r="X351" s="270" t="s">
        <v>34</v>
      </c>
      <c r="Y351" s="270">
        <v>50</v>
      </c>
      <c r="Z351" s="270">
        <v>15</v>
      </c>
      <c r="AA351" s="270">
        <v>7</v>
      </c>
      <c r="AB351" s="270">
        <v>18</v>
      </c>
      <c r="AC351" s="270" t="s">
        <v>51</v>
      </c>
      <c r="AD351" s="270">
        <v>50</v>
      </c>
      <c r="AE351" s="269">
        <v>15.5</v>
      </c>
      <c r="AF351" s="269">
        <v>7.5</v>
      </c>
      <c r="AG351" s="269">
        <v>13</v>
      </c>
      <c r="AH351" s="269">
        <v>18</v>
      </c>
      <c r="AI351" s="269">
        <v>6</v>
      </c>
      <c r="AJ351" s="269">
        <v>12</v>
      </c>
      <c r="AK351" s="270">
        <v>16</v>
      </c>
      <c r="AL351" s="270">
        <v>8</v>
      </c>
      <c r="AM351" s="270">
        <v>8</v>
      </c>
      <c r="AN351" s="270" t="s">
        <v>34</v>
      </c>
      <c r="AO351" s="270">
        <v>50</v>
      </c>
      <c r="AP351" s="270">
        <v>21</v>
      </c>
      <c r="AQ351" s="270">
        <v>7</v>
      </c>
      <c r="AR351" s="270">
        <v>18</v>
      </c>
      <c r="AS351" s="270">
        <v>50</v>
      </c>
      <c r="AT351" s="269">
        <v>18.5</v>
      </c>
      <c r="AU351" s="269">
        <v>7.5</v>
      </c>
      <c r="AV351" s="269">
        <v>13</v>
      </c>
    </row>
    <row r="352" spans="1:48" s="271" customFormat="1" ht="23.5" customHeight="1">
      <c r="A352" s="258"/>
      <c r="B352" s="258">
        <v>63</v>
      </c>
      <c r="C352" s="289" t="s">
        <v>48</v>
      </c>
      <c r="D352" s="270">
        <v>613</v>
      </c>
      <c r="E352" s="261">
        <f>VLOOKUP(D352,รายแปลง!E:G,3,FALSE)</f>
        <v>902108</v>
      </c>
      <c r="F352" s="283">
        <v>8.19</v>
      </c>
      <c r="G352" s="282" t="s">
        <v>40</v>
      </c>
      <c r="H352" s="283">
        <v>0.63400000000000001</v>
      </c>
      <c r="I352" s="283">
        <v>0.87058680066372585</v>
      </c>
      <c r="J352" s="282" t="s">
        <v>37</v>
      </c>
      <c r="K352" s="283">
        <v>191.79573554810935</v>
      </c>
      <c r="L352" s="282" t="s">
        <v>29</v>
      </c>
      <c r="M352" s="283">
        <v>412.7341726618705</v>
      </c>
      <c r="N352" s="282" t="s">
        <v>30</v>
      </c>
      <c r="O352" s="284"/>
      <c r="P352" s="284"/>
      <c r="Q352" s="284"/>
      <c r="R352" s="270">
        <v>18</v>
      </c>
      <c r="S352" s="270">
        <v>6</v>
      </c>
      <c r="T352" s="270">
        <v>10</v>
      </c>
      <c r="U352" s="270">
        <v>16</v>
      </c>
      <c r="V352" s="270">
        <v>8</v>
      </c>
      <c r="W352" s="270">
        <v>8</v>
      </c>
      <c r="X352" s="270" t="s">
        <v>34</v>
      </c>
      <c r="Y352" s="270">
        <v>50</v>
      </c>
      <c r="Z352" s="270">
        <v>21</v>
      </c>
      <c r="AA352" s="270">
        <v>7</v>
      </c>
      <c r="AB352" s="270">
        <v>18</v>
      </c>
      <c r="AC352" s="270" t="s">
        <v>35</v>
      </c>
      <c r="AD352" s="270">
        <v>50</v>
      </c>
      <c r="AE352" s="269">
        <v>18.5</v>
      </c>
      <c r="AF352" s="269">
        <v>7.5</v>
      </c>
      <c r="AG352" s="269">
        <v>13</v>
      </c>
      <c r="AH352" s="270">
        <v>24</v>
      </c>
      <c r="AI352" s="270">
        <v>6</v>
      </c>
      <c r="AJ352" s="270">
        <v>12</v>
      </c>
      <c r="AK352" s="270">
        <v>25</v>
      </c>
      <c r="AL352" s="270">
        <v>7</v>
      </c>
      <c r="AM352" s="270">
        <v>7</v>
      </c>
      <c r="AN352" s="270" t="s">
        <v>90</v>
      </c>
      <c r="AO352" s="270">
        <v>50</v>
      </c>
      <c r="AP352" s="270">
        <v>21</v>
      </c>
      <c r="AQ352" s="270">
        <v>7</v>
      </c>
      <c r="AR352" s="270">
        <v>18</v>
      </c>
      <c r="AS352" s="270">
        <v>50</v>
      </c>
      <c r="AT352" s="269">
        <v>23</v>
      </c>
      <c r="AU352" s="269">
        <v>7</v>
      </c>
      <c r="AV352" s="269">
        <v>12.5</v>
      </c>
    </row>
    <row r="353" spans="1:48" s="271" customFormat="1" ht="23.5" customHeight="1">
      <c r="A353" s="258"/>
      <c r="B353" s="258">
        <v>63</v>
      </c>
      <c r="C353" s="289" t="s">
        <v>48</v>
      </c>
      <c r="D353" s="270">
        <v>703</v>
      </c>
      <c r="E353" s="261">
        <f>VLOOKUP(D353,รายแปลง!E:G,3,FALSE)</f>
        <v>902140</v>
      </c>
      <c r="F353" s="283">
        <v>6.4550000000000001</v>
      </c>
      <c r="G353" s="282" t="s">
        <v>28</v>
      </c>
      <c r="H353" s="283">
        <v>2.66</v>
      </c>
      <c r="I353" s="283">
        <v>0.63205644018423324</v>
      </c>
      <c r="J353" s="282" t="s">
        <v>37</v>
      </c>
      <c r="K353" s="283">
        <v>228.60885383122343</v>
      </c>
      <c r="L353" s="282" t="s">
        <v>29</v>
      </c>
      <c r="M353" s="283">
        <v>1863.2813170968179</v>
      </c>
      <c r="N353" s="282" t="s">
        <v>30</v>
      </c>
      <c r="O353" s="284"/>
      <c r="P353" s="284"/>
      <c r="Q353" s="284"/>
      <c r="R353" s="270">
        <v>18</v>
      </c>
      <c r="S353" s="270">
        <v>6</v>
      </c>
      <c r="T353" s="270">
        <v>10</v>
      </c>
      <c r="U353" s="270">
        <v>16</v>
      </c>
      <c r="V353" s="270">
        <v>8</v>
      </c>
      <c r="W353" s="270">
        <v>8</v>
      </c>
      <c r="X353" s="270" t="s">
        <v>34</v>
      </c>
      <c r="Y353" s="270">
        <v>50</v>
      </c>
      <c r="Z353" s="270">
        <v>21</v>
      </c>
      <c r="AA353" s="270">
        <v>7</v>
      </c>
      <c r="AB353" s="270">
        <v>18</v>
      </c>
      <c r="AC353" s="270" t="s">
        <v>35</v>
      </c>
      <c r="AD353" s="270">
        <v>50</v>
      </c>
      <c r="AE353" s="269">
        <v>18.5</v>
      </c>
      <c r="AF353" s="269">
        <v>7.5</v>
      </c>
      <c r="AG353" s="269">
        <v>13</v>
      </c>
      <c r="AH353" s="270">
        <v>24</v>
      </c>
      <c r="AI353" s="270">
        <v>6</v>
      </c>
      <c r="AJ353" s="270">
        <v>12</v>
      </c>
      <c r="AK353" s="270">
        <v>25</v>
      </c>
      <c r="AL353" s="270">
        <v>7</v>
      </c>
      <c r="AM353" s="270">
        <v>7</v>
      </c>
      <c r="AN353" s="270" t="s">
        <v>90</v>
      </c>
      <c r="AO353" s="270">
        <v>50</v>
      </c>
      <c r="AP353" s="270">
        <v>21</v>
      </c>
      <c r="AQ353" s="270">
        <v>7</v>
      </c>
      <c r="AR353" s="270">
        <v>18</v>
      </c>
      <c r="AS353" s="270">
        <v>50</v>
      </c>
      <c r="AT353" s="269">
        <v>23</v>
      </c>
      <c r="AU353" s="269">
        <v>7</v>
      </c>
      <c r="AV353" s="269">
        <v>12.5</v>
      </c>
    </row>
    <row r="354" spans="1:48" s="271" customFormat="1" ht="23.5" customHeight="1">
      <c r="A354" s="258"/>
      <c r="B354" s="258">
        <v>63</v>
      </c>
      <c r="C354" s="289" t="s">
        <v>52</v>
      </c>
      <c r="D354" s="270">
        <v>1022</v>
      </c>
      <c r="E354" s="261">
        <f>VLOOKUP(D354,รายแปลง!E:G,3,FALSE)</f>
        <v>906142</v>
      </c>
      <c r="F354" s="283">
        <v>8.14</v>
      </c>
      <c r="G354" s="282" t="s">
        <v>40</v>
      </c>
      <c r="H354" s="283">
        <v>0.11035</v>
      </c>
      <c r="I354" s="283">
        <v>0.3000173314494286</v>
      </c>
      <c r="J354" s="282" t="s">
        <v>37</v>
      </c>
      <c r="K354" s="283">
        <v>109.12498514901169</v>
      </c>
      <c r="L354" s="282" t="s">
        <v>29</v>
      </c>
      <c r="M354" s="283">
        <v>68.246081506702069</v>
      </c>
      <c r="N354" s="282" t="s">
        <v>28</v>
      </c>
      <c r="O354" s="284"/>
      <c r="P354" s="284"/>
      <c r="Q354" s="284"/>
      <c r="R354" s="270">
        <v>18</v>
      </c>
      <c r="S354" s="270">
        <v>6</v>
      </c>
      <c r="T354" s="270">
        <v>12</v>
      </c>
      <c r="U354" s="270">
        <v>16</v>
      </c>
      <c r="V354" s="270">
        <v>8</v>
      </c>
      <c r="W354" s="270">
        <v>8</v>
      </c>
      <c r="X354" s="270" t="s">
        <v>34</v>
      </c>
      <c r="Y354" s="270">
        <v>50</v>
      </c>
      <c r="Z354" s="270">
        <v>21</v>
      </c>
      <c r="AA354" s="270">
        <v>7</v>
      </c>
      <c r="AB354" s="270">
        <v>18</v>
      </c>
      <c r="AC354" s="270" t="s">
        <v>35</v>
      </c>
      <c r="AD354" s="270">
        <v>50</v>
      </c>
      <c r="AE354" s="269">
        <v>18.5</v>
      </c>
      <c r="AF354" s="269">
        <v>7.5</v>
      </c>
      <c r="AG354" s="269">
        <v>13</v>
      </c>
      <c r="AH354" s="270">
        <v>24</v>
      </c>
      <c r="AI354" s="270">
        <v>6</v>
      </c>
      <c r="AJ354" s="270">
        <v>18</v>
      </c>
      <c r="AK354" s="270">
        <v>25</v>
      </c>
      <c r="AL354" s="270">
        <v>7</v>
      </c>
      <c r="AM354" s="270">
        <v>7</v>
      </c>
      <c r="AN354" s="270" t="s">
        <v>90</v>
      </c>
      <c r="AO354" s="270">
        <v>50</v>
      </c>
      <c r="AP354" s="270">
        <v>20</v>
      </c>
      <c r="AQ354" s="270">
        <v>5</v>
      </c>
      <c r="AR354" s="270">
        <v>28</v>
      </c>
      <c r="AS354" s="270">
        <v>50</v>
      </c>
      <c r="AT354" s="269">
        <v>22.5</v>
      </c>
      <c r="AU354" s="269">
        <v>6</v>
      </c>
      <c r="AV354" s="269">
        <v>17.5</v>
      </c>
    </row>
    <row r="355" spans="1:48" s="271" customFormat="1" ht="23.5" customHeight="1">
      <c r="A355" s="258"/>
      <c r="B355" s="258">
        <v>63</v>
      </c>
      <c r="C355" s="282" t="s">
        <v>53</v>
      </c>
      <c r="D355" s="270">
        <v>1204</v>
      </c>
      <c r="E355" s="261">
        <f>VLOOKUP(D355,รายแปลง!E:G,3,FALSE)</f>
        <v>907107</v>
      </c>
      <c r="F355" s="283">
        <v>8.59</v>
      </c>
      <c r="G355" s="282" t="s">
        <v>36</v>
      </c>
      <c r="H355" s="283">
        <v>8.7799999999999989E-2</v>
      </c>
      <c r="I355" s="283">
        <v>1.994948718372699</v>
      </c>
      <c r="J355" s="282" t="s">
        <v>28</v>
      </c>
      <c r="K355" s="283">
        <v>62.408001982255939</v>
      </c>
      <c r="L355" s="282" t="s">
        <v>29</v>
      </c>
      <c r="M355" s="283">
        <v>49.670474986382146</v>
      </c>
      <c r="N355" s="282" t="s">
        <v>41</v>
      </c>
      <c r="O355" s="284"/>
      <c r="P355" s="284"/>
      <c r="Q355" s="284"/>
      <c r="R355" s="270">
        <v>15</v>
      </c>
      <c r="S355" s="270">
        <v>6</v>
      </c>
      <c r="T355" s="270">
        <v>15</v>
      </c>
      <c r="U355" s="270">
        <v>15</v>
      </c>
      <c r="V355" s="270">
        <v>7</v>
      </c>
      <c r="W355" s="270">
        <v>18</v>
      </c>
      <c r="X355" s="270" t="s">
        <v>51</v>
      </c>
      <c r="Y355" s="270">
        <v>50</v>
      </c>
      <c r="Z355" s="270">
        <v>15</v>
      </c>
      <c r="AA355" s="270">
        <v>7</v>
      </c>
      <c r="AB355" s="270">
        <v>18</v>
      </c>
      <c r="AC355" s="270" t="s">
        <v>51</v>
      </c>
      <c r="AD355" s="270">
        <v>50</v>
      </c>
      <c r="AE355" s="269">
        <v>15</v>
      </c>
      <c r="AF355" s="269">
        <v>7</v>
      </c>
      <c r="AG355" s="269">
        <v>18</v>
      </c>
      <c r="AH355" s="270">
        <v>18</v>
      </c>
      <c r="AI355" s="270">
        <v>6</v>
      </c>
      <c r="AJ355" s="270">
        <v>24</v>
      </c>
      <c r="AK355" s="270">
        <v>20</v>
      </c>
      <c r="AL355" s="270">
        <v>8</v>
      </c>
      <c r="AM355" s="270">
        <v>20</v>
      </c>
      <c r="AN355" s="270" t="s">
        <v>45</v>
      </c>
      <c r="AO355" s="270">
        <v>50</v>
      </c>
      <c r="AP355" s="270">
        <v>20</v>
      </c>
      <c r="AQ355" s="270">
        <v>5</v>
      </c>
      <c r="AR355" s="270">
        <v>28</v>
      </c>
      <c r="AS355" s="270">
        <v>50</v>
      </c>
      <c r="AT355" s="269">
        <v>20</v>
      </c>
      <c r="AU355" s="269">
        <v>6.5</v>
      </c>
      <c r="AV355" s="269">
        <v>24</v>
      </c>
    </row>
    <row r="356" spans="1:48" s="271" customFormat="1" ht="23.5" customHeight="1">
      <c r="A356" s="258"/>
      <c r="B356" s="258">
        <v>63</v>
      </c>
      <c r="C356" s="282" t="s">
        <v>77</v>
      </c>
      <c r="D356" s="270">
        <v>807907</v>
      </c>
      <c r="E356" s="261">
        <f>VLOOKUP(D356,รายแปลง!E:G,3,FALSE)</f>
        <v>927105</v>
      </c>
      <c r="F356" s="283">
        <v>6.73</v>
      </c>
      <c r="G356" s="282" t="s">
        <v>28</v>
      </c>
      <c r="H356" s="283">
        <v>0.22800000000000001</v>
      </c>
      <c r="I356" s="283">
        <v>0.92368421216387242</v>
      </c>
      <c r="J356" s="282" t="s">
        <v>37</v>
      </c>
      <c r="K356" s="283">
        <v>16.955605836957439</v>
      </c>
      <c r="L356" s="282" t="s">
        <v>41</v>
      </c>
      <c r="M356" s="283">
        <v>2.5868241220258339</v>
      </c>
      <c r="N356" s="282" t="s">
        <v>37</v>
      </c>
      <c r="O356" s="284"/>
      <c r="P356" s="284"/>
      <c r="Q356" s="284"/>
      <c r="R356" s="270">
        <v>18</v>
      </c>
      <c r="S356" s="270">
        <v>9</v>
      </c>
      <c r="T356" s="270">
        <v>15</v>
      </c>
      <c r="U356" s="270">
        <v>16</v>
      </c>
      <c r="V356" s="270">
        <v>10</v>
      </c>
      <c r="W356" s="270">
        <v>12</v>
      </c>
      <c r="X356" s="270" t="s">
        <v>105</v>
      </c>
      <c r="Y356" s="270">
        <v>50</v>
      </c>
      <c r="Z356" s="270">
        <v>21</v>
      </c>
      <c r="AA356" s="270">
        <v>7</v>
      </c>
      <c r="AB356" s="270">
        <v>18</v>
      </c>
      <c r="AC356" s="270" t="s">
        <v>35</v>
      </c>
      <c r="AD356" s="270">
        <v>50</v>
      </c>
      <c r="AE356" s="269">
        <v>18.5</v>
      </c>
      <c r="AF356" s="269">
        <v>8.5</v>
      </c>
      <c r="AG356" s="269">
        <v>15</v>
      </c>
      <c r="AH356" s="270">
        <v>24</v>
      </c>
      <c r="AI356" s="270">
        <v>9</v>
      </c>
      <c r="AJ356" s="270">
        <v>24</v>
      </c>
      <c r="AK356" s="270">
        <v>20</v>
      </c>
      <c r="AL356" s="270">
        <v>8</v>
      </c>
      <c r="AM356" s="270">
        <v>20</v>
      </c>
      <c r="AN356" s="270" t="s">
        <v>45</v>
      </c>
      <c r="AO356" s="270">
        <v>50</v>
      </c>
      <c r="AP356" s="270">
        <v>20</v>
      </c>
      <c r="AQ356" s="270">
        <v>8</v>
      </c>
      <c r="AR356" s="270">
        <v>20</v>
      </c>
      <c r="AS356" s="270">
        <v>50</v>
      </c>
      <c r="AT356" s="269">
        <v>20</v>
      </c>
      <c r="AU356" s="269">
        <v>8</v>
      </c>
      <c r="AV356" s="269">
        <v>20</v>
      </c>
    </row>
    <row r="357" spans="1:48" s="271" customFormat="1" ht="23.5" customHeight="1">
      <c r="A357" s="258"/>
      <c r="B357" s="258">
        <v>63</v>
      </c>
      <c r="C357" s="282" t="s">
        <v>74</v>
      </c>
      <c r="D357" s="270">
        <v>806810</v>
      </c>
      <c r="E357" s="261">
        <f>VLOOKUP(D357,รายแปลง!E:G,3,FALSE)</f>
        <v>928129</v>
      </c>
      <c r="F357" s="283">
        <v>6.9950000000000001</v>
      </c>
      <c r="G357" s="282" t="s">
        <v>28</v>
      </c>
      <c r="H357" s="283">
        <v>4.1249999999999995E-2</v>
      </c>
      <c r="I357" s="283">
        <v>1.0036146119889964</v>
      </c>
      <c r="J357" s="282" t="s">
        <v>41</v>
      </c>
      <c r="K357" s="283">
        <v>31.662092421485866</v>
      </c>
      <c r="L357" s="282" t="s">
        <v>28</v>
      </c>
      <c r="M357" s="283">
        <v>27.0370072952072</v>
      </c>
      <c r="N357" s="282" t="s">
        <v>37</v>
      </c>
      <c r="O357" s="284"/>
      <c r="P357" s="284"/>
      <c r="Q357" s="284"/>
      <c r="R357" s="270">
        <v>15</v>
      </c>
      <c r="S357" s="270">
        <v>6</v>
      </c>
      <c r="T357" s="270">
        <v>15</v>
      </c>
      <c r="U357" s="270">
        <v>15</v>
      </c>
      <c r="V357" s="270">
        <v>7</v>
      </c>
      <c r="W357" s="270">
        <v>18</v>
      </c>
      <c r="X357" s="270" t="s">
        <v>51</v>
      </c>
      <c r="Y357" s="270">
        <v>50</v>
      </c>
      <c r="Z357" s="270">
        <v>15</v>
      </c>
      <c r="AA357" s="270">
        <v>7</v>
      </c>
      <c r="AB357" s="270">
        <v>18</v>
      </c>
      <c r="AC357" s="270" t="s">
        <v>51</v>
      </c>
      <c r="AD357" s="270">
        <v>50</v>
      </c>
      <c r="AE357" s="269">
        <v>15</v>
      </c>
      <c r="AF357" s="269">
        <v>7</v>
      </c>
      <c r="AG357" s="269">
        <v>18</v>
      </c>
      <c r="AH357" s="270">
        <v>18</v>
      </c>
      <c r="AI357" s="270">
        <v>6</v>
      </c>
      <c r="AJ357" s="270">
        <v>24</v>
      </c>
      <c r="AK357" s="270">
        <v>20</v>
      </c>
      <c r="AL357" s="270">
        <v>8</v>
      </c>
      <c r="AM357" s="270">
        <v>20</v>
      </c>
      <c r="AN357" s="270" t="s">
        <v>45</v>
      </c>
      <c r="AO357" s="270">
        <v>50</v>
      </c>
      <c r="AP357" s="270">
        <v>20</v>
      </c>
      <c r="AQ357" s="270">
        <v>5</v>
      </c>
      <c r="AR357" s="270">
        <v>28</v>
      </c>
      <c r="AS357" s="270">
        <v>50</v>
      </c>
      <c r="AT357" s="269">
        <v>20</v>
      </c>
      <c r="AU357" s="269">
        <v>6.5</v>
      </c>
      <c r="AV357" s="269">
        <v>24</v>
      </c>
    </row>
    <row r="358" spans="1:48" s="271" customFormat="1" ht="23.5" customHeight="1">
      <c r="A358" s="258"/>
      <c r="B358" s="258">
        <v>63</v>
      </c>
      <c r="C358" s="272" t="s">
        <v>66</v>
      </c>
      <c r="D358" s="270">
        <v>1715</v>
      </c>
      <c r="E358" s="261">
        <f>VLOOKUP(D358,รายแปลง!E:G,3,FALSE)</f>
        <v>910116</v>
      </c>
      <c r="F358" s="283">
        <v>6.2050000000000001</v>
      </c>
      <c r="G358" s="282" t="s">
        <v>28</v>
      </c>
      <c r="H358" s="283">
        <v>2.5649999999999999E-2</v>
      </c>
      <c r="I358" s="283">
        <v>0.6338239067955227</v>
      </c>
      <c r="J358" s="282" t="s">
        <v>37</v>
      </c>
      <c r="K358" s="283">
        <v>18.173067244766319</v>
      </c>
      <c r="L358" s="282" t="s">
        <v>41</v>
      </c>
      <c r="M358" s="283">
        <v>26.496455249716298</v>
      </c>
      <c r="N358" s="282" t="s">
        <v>37</v>
      </c>
      <c r="O358" s="284"/>
      <c r="P358" s="284"/>
      <c r="Q358" s="284"/>
      <c r="R358" s="270">
        <v>18</v>
      </c>
      <c r="S358" s="270">
        <v>9</v>
      </c>
      <c r="T358" s="270">
        <v>15</v>
      </c>
      <c r="U358" s="270">
        <v>16</v>
      </c>
      <c r="V358" s="270">
        <v>10</v>
      </c>
      <c r="W358" s="270">
        <v>12</v>
      </c>
      <c r="X358" s="270" t="s">
        <v>105</v>
      </c>
      <c r="Y358" s="270">
        <v>50</v>
      </c>
      <c r="Z358" s="270">
        <v>21</v>
      </c>
      <c r="AA358" s="270">
        <v>7</v>
      </c>
      <c r="AB358" s="270">
        <v>18</v>
      </c>
      <c r="AC358" s="270" t="s">
        <v>35</v>
      </c>
      <c r="AD358" s="270">
        <v>50</v>
      </c>
      <c r="AE358" s="269">
        <v>18.5</v>
      </c>
      <c r="AF358" s="269">
        <v>8.5</v>
      </c>
      <c r="AG358" s="269">
        <v>15</v>
      </c>
      <c r="AH358" s="270">
        <v>24</v>
      </c>
      <c r="AI358" s="270">
        <v>9</v>
      </c>
      <c r="AJ358" s="270">
        <v>24</v>
      </c>
      <c r="AK358" s="270">
        <v>20</v>
      </c>
      <c r="AL358" s="270">
        <v>8</v>
      </c>
      <c r="AM358" s="270">
        <v>20</v>
      </c>
      <c r="AN358" s="270" t="s">
        <v>45</v>
      </c>
      <c r="AO358" s="270">
        <v>50</v>
      </c>
      <c r="AP358" s="270">
        <v>20</v>
      </c>
      <c r="AQ358" s="270">
        <v>8</v>
      </c>
      <c r="AR358" s="270">
        <v>20</v>
      </c>
      <c r="AS358" s="270">
        <v>50</v>
      </c>
      <c r="AT358" s="269">
        <v>20</v>
      </c>
      <c r="AU358" s="269">
        <v>8</v>
      </c>
      <c r="AV358" s="269">
        <v>20</v>
      </c>
    </row>
    <row r="359" spans="1:48" s="271" customFormat="1" ht="23.5" customHeight="1">
      <c r="A359" s="258"/>
      <c r="B359" s="258">
        <v>63</v>
      </c>
      <c r="C359" s="282" t="s">
        <v>104</v>
      </c>
      <c r="D359" s="270">
        <v>1811</v>
      </c>
      <c r="E359" s="261">
        <f>VLOOKUP(D359,รายแปลง!E:G,3,FALSE)</f>
        <v>920107</v>
      </c>
      <c r="F359" s="283">
        <v>6.26</v>
      </c>
      <c r="G359" s="282" t="s">
        <v>28</v>
      </c>
      <c r="H359" s="283">
        <v>1.958E-2</v>
      </c>
      <c r="I359" s="283">
        <v>0.86700327049956105</v>
      </c>
      <c r="J359" s="282" t="s">
        <v>37</v>
      </c>
      <c r="K359" s="283">
        <v>54.672717792470372</v>
      </c>
      <c r="L359" s="282" t="s">
        <v>29</v>
      </c>
      <c r="M359" s="283">
        <v>23.133256029020199</v>
      </c>
      <c r="N359" s="282" t="s">
        <v>37</v>
      </c>
      <c r="O359" s="284"/>
      <c r="P359" s="284"/>
      <c r="Q359" s="284"/>
      <c r="R359" s="270">
        <v>18</v>
      </c>
      <c r="S359" s="270">
        <v>6</v>
      </c>
      <c r="T359" s="270">
        <v>15</v>
      </c>
      <c r="U359" s="270">
        <v>15</v>
      </c>
      <c r="V359" s="270">
        <v>7</v>
      </c>
      <c r="W359" s="270">
        <v>15</v>
      </c>
      <c r="X359" s="270" t="s">
        <v>100</v>
      </c>
      <c r="Y359" s="270">
        <v>50</v>
      </c>
      <c r="Z359" s="270">
        <v>21</v>
      </c>
      <c r="AA359" s="270">
        <v>7</v>
      </c>
      <c r="AB359" s="270">
        <v>18</v>
      </c>
      <c r="AC359" s="270" t="s">
        <v>35</v>
      </c>
      <c r="AD359" s="270">
        <v>50</v>
      </c>
      <c r="AE359" s="269">
        <v>18</v>
      </c>
      <c r="AF359" s="269">
        <v>7</v>
      </c>
      <c r="AG359" s="269">
        <v>16.5</v>
      </c>
      <c r="AH359" s="270">
        <v>24</v>
      </c>
      <c r="AI359" s="270">
        <v>6</v>
      </c>
      <c r="AJ359" s="270">
        <v>24</v>
      </c>
      <c r="AK359" s="270">
        <v>21</v>
      </c>
      <c r="AL359" s="270">
        <v>7</v>
      </c>
      <c r="AM359" s="270">
        <v>18</v>
      </c>
      <c r="AN359" s="270" t="s">
        <v>35</v>
      </c>
      <c r="AO359" s="270">
        <v>50</v>
      </c>
      <c r="AP359" s="270">
        <v>20</v>
      </c>
      <c r="AQ359" s="270">
        <v>5</v>
      </c>
      <c r="AR359" s="270">
        <v>28</v>
      </c>
      <c r="AS359" s="270">
        <v>50</v>
      </c>
      <c r="AT359" s="269">
        <v>20.5</v>
      </c>
      <c r="AU359" s="269">
        <v>6</v>
      </c>
      <c r="AV359" s="269">
        <v>23</v>
      </c>
    </row>
    <row r="360" spans="1:48" s="271" customFormat="1" ht="23.5" customHeight="1">
      <c r="A360" s="258"/>
      <c r="B360" s="258">
        <v>63</v>
      </c>
      <c r="C360" s="272" t="s">
        <v>66</v>
      </c>
      <c r="D360" s="270">
        <v>1716</v>
      </c>
      <c r="E360" s="261">
        <f>VLOOKUP(D360,รายแปลง!E:G,3,FALSE)</f>
        <v>910117</v>
      </c>
      <c r="F360" s="283">
        <v>7.16</v>
      </c>
      <c r="G360" s="282" t="s">
        <v>28</v>
      </c>
      <c r="H360" s="283">
        <v>3.2050000000000002E-2</v>
      </c>
      <c r="I360" s="283">
        <v>0.9339245851909499</v>
      </c>
      <c r="J360" s="282" t="s">
        <v>37</v>
      </c>
      <c r="K360" s="283">
        <v>9.2553032289184998</v>
      </c>
      <c r="L360" s="282" t="s">
        <v>37</v>
      </c>
      <c r="M360" s="283">
        <v>6.8767594219644499</v>
      </c>
      <c r="N360" s="282" t="s">
        <v>37</v>
      </c>
      <c r="O360" s="284"/>
      <c r="P360" s="284"/>
      <c r="Q360" s="284"/>
      <c r="R360" s="270">
        <v>18</v>
      </c>
      <c r="S360" s="270">
        <v>12</v>
      </c>
      <c r="T360" s="270">
        <v>15</v>
      </c>
      <c r="U360" s="270">
        <v>16</v>
      </c>
      <c r="V360" s="270">
        <v>16</v>
      </c>
      <c r="W360" s="270">
        <v>16</v>
      </c>
      <c r="X360" s="270" t="s">
        <v>95</v>
      </c>
      <c r="Y360" s="270">
        <v>50</v>
      </c>
      <c r="Z360" s="270">
        <v>21</v>
      </c>
      <c r="AA360" s="270">
        <v>7</v>
      </c>
      <c r="AB360" s="270">
        <v>18</v>
      </c>
      <c r="AC360" s="270" t="s">
        <v>35</v>
      </c>
      <c r="AD360" s="270">
        <v>50</v>
      </c>
      <c r="AE360" s="269">
        <v>18.5</v>
      </c>
      <c r="AF360" s="269">
        <v>11.5</v>
      </c>
      <c r="AG360" s="269">
        <v>17</v>
      </c>
      <c r="AH360" s="270">
        <v>24</v>
      </c>
      <c r="AI360" s="270">
        <v>12</v>
      </c>
      <c r="AJ360" s="270">
        <v>24</v>
      </c>
      <c r="AK360" s="270">
        <v>20</v>
      </c>
      <c r="AL360" s="270">
        <v>8</v>
      </c>
      <c r="AM360" s="270">
        <v>20</v>
      </c>
      <c r="AN360" s="270" t="s">
        <v>45</v>
      </c>
      <c r="AO360" s="270">
        <v>50</v>
      </c>
      <c r="AP360" s="270">
        <v>20</v>
      </c>
      <c r="AQ360" s="270">
        <v>8</v>
      </c>
      <c r="AR360" s="270">
        <v>20</v>
      </c>
      <c r="AS360" s="270">
        <v>50</v>
      </c>
      <c r="AT360" s="269">
        <v>20</v>
      </c>
      <c r="AU360" s="269">
        <v>8</v>
      </c>
      <c r="AV360" s="269">
        <v>20</v>
      </c>
    </row>
    <row r="361" spans="1:48" s="271" customFormat="1" ht="23.5" customHeight="1">
      <c r="A361" s="258"/>
      <c r="B361" s="258">
        <v>63</v>
      </c>
      <c r="C361" s="282" t="s">
        <v>49</v>
      </c>
      <c r="D361" s="270">
        <v>801351</v>
      </c>
      <c r="E361" s="261">
        <f>VLOOKUP(D361,รายแปลง!E:G,3,FALSE)</f>
        <v>921108</v>
      </c>
      <c r="F361" s="283">
        <v>7.83</v>
      </c>
      <c r="G361" s="282" t="s">
        <v>40</v>
      </c>
      <c r="H361" s="283">
        <v>8.6749999999999994E-2</v>
      </c>
      <c r="I361" s="283">
        <v>1.0227899598538448</v>
      </c>
      <c r="J361" s="282" t="s">
        <v>41</v>
      </c>
      <c r="K361" s="283">
        <v>223.25266002269493</v>
      </c>
      <c r="L361" s="282" t="s">
        <v>29</v>
      </c>
      <c r="M361" s="283">
        <v>7.4859864934667417</v>
      </c>
      <c r="N361" s="282" t="s">
        <v>37</v>
      </c>
      <c r="O361" s="284"/>
      <c r="P361" s="284"/>
      <c r="Q361" s="284"/>
      <c r="R361" s="270">
        <v>15</v>
      </c>
      <c r="S361" s="270">
        <v>6</v>
      </c>
      <c r="T361" s="270">
        <v>15</v>
      </c>
      <c r="U361" s="270">
        <v>15</v>
      </c>
      <c r="V361" s="270">
        <v>7</v>
      </c>
      <c r="W361" s="270">
        <v>18</v>
      </c>
      <c r="X361" s="270" t="s">
        <v>51</v>
      </c>
      <c r="Y361" s="270">
        <v>50</v>
      </c>
      <c r="Z361" s="270">
        <v>15</v>
      </c>
      <c r="AA361" s="270">
        <v>7</v>
      </c>
      <c r="AB361" s="270">
        <v>18</v>
      </c>
      <c r="AC361" s="270" t="s">
        <v>51</v>
      </c>
      <c r="AD361" s="270">
        <v>50</v>
      </c>
      <c r="AE361" s="269">
        <v>15</v>
      </c>
      <c r="AF361" s="269">
        <v>7</v>
      </c>
      <c r="AG361" s="269">
        <v>18</v>
      </c>
      <c r="AH361" s="270">
        <v>18</v>
      </c>
      <c r="AI361" s="270">
        <v>6</v>
      </c>
      <c r="AJ361" s="270">
        <v>24</v>
      </c>
      <c r="AK361" s="270">
        <v>20</v>
      </c>
      <c r="AL361" s="270">
        <v>8</v>
      </c>
      <c r="AM361" s="270">
        <v>20</v>
      </c>
      <c r="AN361" s="270" t="s">
        <v>45</v>
      </c>
      <c r="AO361" s="270">
        <v>50</v>
      </c>
      <c r="AP361" s="270">
        <v>20</v>
      </c>
      <c r="AQ361" s="270">
        <v>5</v>
      </c>
      <c r="AR361" s="270">
        <v>28</v>
      </c>
      <c r="AS361" s="270">
        <v>50</v>
      </c>
      <c r="AT361" s="269">
        <v>20</v>
      </c>
      <c r="AU361" s="269">
        <v>6.5</v>
      </c>
      <c r="AV361" s="269">
        <v>24</v>
      </c>
    </row>
    <row r="362" spans="1:48" s="271" customFormat="1" ht="23.5" customHeight="1">
      <c r="A362" s="258"/>
      <c r="B362" s="258">
        <v>63</v>
      </c>
      <c r="C362" s="282" t="s">
        <v>49</v>
      </c>
      <c r="D362" s="270">
        <v>801334</v>
      </c>
      <c r="E362" s="261">
        <f>VLOOKUP(D362,รายแปลง!E:G,3,FALSE)</f>
        <v>921103</v>
      </c>
      <c r="F362" s="283">
        <v>8.004999999999999</v>
      </c>
      <c r="G362" s="282" t="s">
        <v>40</v>
      </c>
      <c r="H362" s="283">
        <v>0.12554999999999999</v>
      </c>
      <c r="I362" s="283">
        <v>4.7362570928260368</v>
      </c>
      <c r="J362" s="282" t="s">
        <v>29</v>
      </c>
      <c r="K362" s="283">
        <v>698.41622919172664</v>
      </c>
      <c r="L362" s="282" t="s">
        <v>29</v>
      </c>
      <c r="M362" s="283">
        <v>318.43942959712808</v>
      </c>
      <c r="N362" s="282" t="s">
        <v>30</v>
      </c>
      <c r="O362" s="284"/>
      <c r="P362" s="284"/>
      <c r="Q362" s="284"/>
      <c r="R362" s="270">
        <v>12</v>
      </c>
      <c r="S362" s="270">
        <v>6</v>
      </c>
      <c r="T362" s="270">
        <v>10</v>
      </c>
      <c r="U362" s="270">
        <v>16</v>
      </c>
      <c r="V362" s="270">
        <v>8</v>
      </c>
      <c r="W362" s="270">
        <v>8</v>
      </c>
      <c r="X362" s="270" t="s">
        <v>34</v>
      </c>
      <c r="Y362" s="270">
        <v>50</v>
      </c>
      <c r="Z362" s="270">
        <v>15</v>
      </c>
      <c r="AA362" s="270">
        <v>7</v>
      </c>
      <c r="AB362" s="270">
        <v>18</v>
      </c>
      <c r="AC362" s="270" t="s">
        <v>51</v>
      </c>
      <c r="AD362" s="270">
        <v>50</v>
      </c>
      <c r="AE362" s="269">
        <v>15.5</v>
      </c>
      <c r="AF362" s="269">
        <v>7.5</v>
      </c>
      <c r="AG362" s="269">
        <v>13</v>
      </c>
      <c r="AH362" s="270">
        <v>15</v>
      </c>
      <c r="AI362" s="270">
        <v>6</v>
      </c>
      <c r="AJ362" s="270">
        <v>12</v>
      </c>
      <c r="AK362" s="270">
        <v>16</v>
      </c>
      <c r="AL362" s="270">
        <v>8</v>
      </c>
      <c r="AM362" s="270">
        <v>8</v>
      </c>
      <c r="AN362" s="270" t="s">
        <v>34</v>
      </c>
      <c r="AO362" s="270">
        <v>50</v>
      </c>
      <c r="AP362" s="270">
        <v>15</v>
      </c>
      <c r="AQ362" s="270">
        <v>7</v>
      </c>
      <c r="AR362" s="270">
        <v>18</v>
      </c>
      <c r="AS362" s="270">
        <v>50</v>
      </c>
      <c r="AT362" s="269">
        <v>15.5</v>
      </c>
      <c r="AU362" s="269">
        <v>7.5</v>
      </c>
      <c r="AV362" s="269">
        <v>13</v>
      </c>
    </row>
    <row r="363" spans="1:48" s="271" customFormat="1" ht="23.5" customHeight="1">
      <c r="A363" s="258"/>
      <c r="B363" s="258">
        <v>63</v>
      </c>
      <c r="C363" s="282" t="s">
        <v>49</v>
      </c>
      <c r="D363" s="270">
        <v>801342</v>
      </c>
      <c r="E363" s="261">
        <f>VLOOKUP(D363,รายแปลง!E:G,3,FALSE)</f>
        <v>921110</v>
      </c>
      <c r="F363" s="283">
        <v>8.5399999999999991</v>
      </c>
      <c r="G363" s="282" t="s">
        <v>36</v>
      </c>
      <c r="H363" s="283">
        <v>9.0399999999999994E-2</v>
      </c>
      <c r="I363" s="283">
        <v>1.3925564480706485</v>
      </c>
      <c r="J363" s="282" t="s">
        <v>41</v>
      </c>
      <c r="K363" s="283">
        <v>404.00374027803213</v>
      </c>
      <c r="L363" s="282" t="s">
        <v>29</v>
      </c>
      <c r="M363" s="283">
        <v>85.649662014831222</v>
      </c>
      <c r="N363" s="282" t="s">
        <v>28</v>
      </c>
      <c r="O363" s="284"/>
      <c r="P363" s="284"/>
      <c r="Q363" s="284"/>
      <c r="R363" s="270">
        <v>15</v>
      </c>
      <c r="S363" s="270">
        <v>6</v>
      </c>
      <c r="T363" s="270">
        <v>12</v>
      </c>
      <c r="U363" s="270">
        <v>16</v>
      </c>
      <c r="V363" s="270">
        <v>8</v>
      </c>
      <c r="W363" s="270">
        <v>8</v>
      </c>
      <c r="X363" s="270" t="s">
        <v>34</v>
      </c>
      <c r="Y363" s="270">
        <v>50</v>
      </c>
      <c r="Z363" s="270">
        <v>15</v>
      </c>
      <c r="AA363" s="270">
        <v>7</v>
      </c>
      <c r="AB363" s="270">
        <v>18</v>
      </c>
      <c r="AC363" s="270" t="s">
        <v>51</v>
      </c>
      <c r="AD363" s="270">
        <v>50</v>
      </c>
      <c r="AE363" s="269">
        <v>15.5</v>
      </c>
      <c r="AF363" s="269">
        <v>7.5</v>
      </c>
      <c r="AG363" s="269">
        <v>13</v>
      </c>
      <c r="AH363" s="270">
        <v>18</v>
      </c>
      <c r="AI363" s="270">
        <v>6</v>
      </c>
      <c r="AJ363" s="270">
        <v>18</v>
      </c>
      <c r="AK363" s="270">
        <v>15</v>
      </c>
      <c r="AL363" s="270">
        <v>7</v>
      </c>
      <c r="AM363" s="270">
        <v>18</v>
      </c>
      <c r="AN363" s="270" t="s">
        <v>51</v>
      </c>
      <c r="AO363" s="270">
        <v>50</v>
      </c>
      <c r="AP363" s="270">
        <v>21</v>
      </c>
      <c r="AQ363" s="270">
        <v>7</v>
      </c>
      <c r="AR363" s="270">
        <v>18</v>
      </c>
      <c r="AS363" s="270">
        <v>50</v>
      </c>
      <c r="AT363" s="269">
        <v>18</v>
      </c>
      <c r="AU363" s="269">
        <v>7</v>
      </c>
      <c r="AV363" s="269">
        <v>18</v>
      </c>
    </row>
    <row r="364" spans="1:48" s="271" customFormat="1" ht="23.5" customHeight="1">
      <c r="A364" s="258"/>
      <c r="B364" s="258">
        <v>63</v>
      </c>
      <c r="C364" s="282" t="s">
        <v>49</v>
      </c>
      <c r="D364" s="270">
        <v>801328</v>
      </c>
      <c r="E364" s="261">
        <f>VLOOKUP(D364,รายแปลง!E:G,3,FALSE)</f>
        <v>921102</v>
      </c>
      <c r="F364" s="283">
        <v>7.3949999999999996</v>
      </c>
      <c r="G364" s="282" t="s">
        <v>40</v>
      </c>
      <c r="H364" s="283">
        <v>0.15205000000000002</v>
      </c>
      <c r="I364" s="283">
        <v>1.7624325803028673</v>
      </c>
      <c r="J364" s="282" t="s">
        <v>28</v>
      </c>
      <c r="K364" s="283">
        <v>520.02069002737221</v>
      </c>
      <c r="L364" s="282" t="s">
        <v>29</v>
      </c>
      <c r="M364" s="283">
        <v>5.7836264201861596</v>
      </c>
      <c r="N364" s="282" t="s">
        <v>37</v>
      </c>
      <c r="O364" s="284"/>
      <c r="P364" s="284"/>
      <c r="Q364" s="284"/>
      <c r="R364" s="270">
        <v>15</v>
      </c>
      <c r="S364" s="270">
        <v>6</v>
      </c>
      <c r="T364" s="270">
        <v>15</v>
      </c>
      <c r="U364" s="270">
        <v>15</v>
      </c>
      <c r="V364" s="270">
        <v>7</v>
      </c>
      <c r="W364" s="270">
        <v>18</v>
      </c>
      <c r="X364" s="270" t="s">
        <v>51</v>
      </c>
      <c r="Y364" s="270">
        <v>50</v>
      </c>
      <c r="Z364" s="270">
        <v>15</v>
      </c>
      <c r="AA364" s="270">
        <v>7</v>
      </c>
      <c r="AB364" s="270">
        <v>18</v>
      </c>
      <c r="AC364" s="270" t="s">
        <v>51</v>
      </c>
      <c r="AD364" s="270">
        <v>50</v>
      </c>
      <c r="AE364" s="269">
        <v>15</v>
      </c>
      <c r="AF364" s="269">
        <v>7</v>
      </c>
      <c r="AG364" s="269">
        <v>18</v>
      </c>
      <c r="AH364" s="270">
        <v>18</v>
      </c>
      <c r="AI364" s="270">
        <v>6</v>
      </c>
      <c r="AJ364" s="270">
        <v>24</v>
      </c>
      <c r="AK364" s="270">
        <v>20</v>
      </c>
      <c r="AL364" s="270">
        <v>8</v>
      </c>
      <c r="AM364" s="270">
        <v>20</v>
      </c>
      <c r="AN364" s="270" t="s">
        <v>45</v>
      </c>
      <c r="AO364" s="270">
        <v>50</v>
      </c>
      <c r="AP364" s="270">
        <v>20</v>
      </c>
      <c r="AQ364" s="270">
        <v>5</v>
      </c>
      <c r="AR364" s="270">
        <v>28</v>
      </c>
      <c r="AS364" s="270">
        <v>50</v>
      </c>
      <c r="AT364" s="269">
        <v>20</v>
      </c>
      <c r="AU364" s="269">
        <v>6.5</v>
      </c>
      <c r="AV364" s="269">
        <v>24</v>
      </c>
    </row>
    <row r="365" spans="1:48" s="271" customFormat="1" ht="23.5" customHeight="1">
      <c r="A365" s="258"/>
      <c r="B365" s="258">
        <v>63</v>
      </c>
      <c r="C365" s="282" t="s">
        <v>49</v>
      </c>
      <c r="D365" s="270">
        <v>801352</v>
      </c>
      <c r="E365" s="261">
        <f>VLOOKUP(D365,รายแปลง!E:G,3,FALSE)</f>
        <v>921107</v>
      </c>
      <c r="F365" s="283">
        <v>8.504999999999999</v>
      </c>
      <c r="G365" s="282" t="s">
        <v>36</v>
      </c>
      <c r="H365" s="283">
        <v>8.2800000000000012E-2</v>
      </c>
      <c r="I365" s="283">
        <v>0.99528008733536821</v>
      </c>
      <c r="J365" s="282" t="s">
        <v>37</v>
      </c>
      <c r="K365" s="283">
        <v>198.51522707654408</v>
      </c>
      <c r="L365" s="282" t="s">
        <v>29</v>
      </c>
      <c r="M365" s="283">
        <v>60.331072995612288</v>
      </c>
      <c r="N365" s="282" t="s">
        <v>28</v>
      </c>
      <c r="O365" s="284"/>
      <c r="P365" s="284"/>
      <c r="Q365" s="284"/>
      <c r="R365" s="270">
        <v>18</v>
      </c>
      <c r="S365" s="270">
        <v>6</v>
      </c>
      <c r="T365" s="270">
        <v>12</v>
      </c>
      <c r="U365" s="270">
        <v>16</v>
      </c>
      <c r="V365" s="270">
        <v>8</v>
      </c>
      <c r="W365" s="270">
        <v>8</v>
      </c>
      <c r="X365" s="270" t="s">
        <v>34</v>
      </c>
      <c r="Y365" s="270">
        <v>50</v>
      </c>
      <c r="Z365" s="270">
        <v>21</v>
      </c>
      <c r="AA365" s="270">
        <v>7</v>
      </c>
      <c r="AB365" s="270">
        <v>18</v>
      </c>
      <c r="AC365" s="270" t="s">
        <v>35</v>
      </c>
      <c r="AD365" s="270">
        <v>50</v>
      </c>
      <c r="AE365" s="269">
        <v>18.5</v>
      </c>
      <c r="AF365" s="269">
        <v>7.5</v>
      </c>
      <c r="AG365" s="269">
        <v>13</v>
      </c>
      <c r="AH365" s="270">
        <v>24</v>
      </c>
      <c r="AI365" s="270">
        <v>6</v>
      </c>
      <c r="AJ365" s="270">
        <v>18</v>
      </c>
      <c r="AK365" s="270">
        <v>25</v>
      </c>
      <c r="AL365" s="270">
        <v>7</v>
      </c>
      <c r="AM365" s="270">
        <v>7</v>
      </c>
      <c r="AN365" s="270" t="s">
        <v>90</v>
      </c>
      <c r="AO365" s="270">
        <v>50</v>
      </c>
      <c r="AP365" s="270">
        <v>20</v>
      </c>
      <c r="AQ365" s="270">
        <v>5</v>
      </c>
      <c r="AR365" s="270">
        <v>28</v>
      </c>
      <c r="AS365" s="270">
        <v>50</v>
      </c>
      <c r="AT365" s="269">
        <v>22.5</v>
      </c>
      <c r="AU365" s="269">
        <v>6</v>
      </c>
      <c r="AV365" s="269">
        <v>17.5</v>
      </c>
    </row>
    <row r="366" spans="1:48" s="271" customFormat="1" ht="23.5" customHeight="1">
      <c r="A366" s="258"/>
      <c r="B366" s="258">
        <v>63</v>
      </c>
      <c r="C366" s="282" t="s">
        <v>49</v>
      </c>
      <c r="D366" s="270">
        <v>801353</v>
      </c>
      <c r="E366" s="261">
        <f>VLOOKUP(D366,รายแปลง!E:G,3,FALSE)</f>
        <v>921104</v>
      </c>
      <c r="F366" s="283">
        <v>8.39</v>
      </c>
      <c r="G366" s="282" t="s">
        <v>40</v>
      </c>
      <c r="H366" s="283">
        <v>7.2349999999999998E-2</v>
      </c>
      <c r="I366" s="283">
        <v>1.5042128014459213</v>
      </c>
      <c r="J366" s="282" t="s">
        <v>41</v>
      </c>
      <c r="K366" s="283">
        <v>65.31476440963965</v>
      </c>
      <c r="L366" s="282" t="s">
        <v>29</v>
      </c>
      <c r="M366" s="283">
        <v>170.07472963038688</v>
      </c>
      <c r="N366" s="282" t="s">
        <v>30</v>
      </c>
      <c r="O366" s="284"/>
      <c r="P366" s="284"/>
      <c r="Q366" s="284"/>
      <c r="R366" s="270">
        <v>15</v>
      </c>
      <c r="S366" s="270">
        <v>6</v>
      </c>
      <c r="T366" s="270">
        <v>10</v>
      </c>
      <c r="U366" s="270">
        <v>16</v>
      </c>
      <c r="V366" s="270">
        <v>8</v>
      </c>
      <c r="W366" s="270">
        <v>8</v>
      </c>
      <c r="X366" s="270" t="s">
        <v>34</v>
      </c>
      <c r="Y366" s="270">
        <v>50</v>
      </c>
      <c r="Z366" s="270">
        <v>15</v>
      </c>
      <c r="AA366" s="270">
        <v>7</v>
      </c>
      <c r="AB366" s="270">
        <v>18</v>
      </c>
      <c r="AC366" s="270" t="s">
        <v>51</v>
      </c>
      <c r="AD366" s="270">
        <v>50</v>
      </c>
      <c r="AE366" s="269">
        <v>15.5</v>
      </c>
      <c r="AF366" s="269">
        <v>7.5</v>
      </c>
      <c r="AG366" s="269">
        <v>13</v>
      </c>
      <c r="AH366" s="270">
        <v>18</v>
      </c>
      <c r="AI366" s="270">
        <v>6</v>
      </c>
      <c r="AJ366" s="270">
        <v>12</v>
      </c>
      <c r="AK366" s="270">
        <v>16</v>
      </c>
      <c r="AL366" s="270">
        <v>8</v>
      </c>
      <c r="AM366" s="270">
        <v>8</v>
      </c>
      <c r="AN366" s="270" t="s">
        <v>34</v>
      </c>
      <c r="AO366" s="270">
        <v>50</v>
      </c>
      <c r="AP366" s="270">
        <v>21</v>
      </c>
      <c r="AQ366" s="270">
        <v>7</v>
      </c>
      <c r="AR366" s="270">
        <v>18</v>
      </c>
      <c r="AS366" s="270">
        <v>50</v>
      </c>
      <c r="AT366" s="269">
        <v>18.5</v>
      </c>
      <c r="AU366" s="269">
        <v>7.5</v>
      </c>
      <c r="AV366" s="269">
        <v>13</v>
      </c>
    </row>
    <row r="367" spans="1:48" s="271" customFormat="1" ht="23.5" customHeight="1">
      <c r="A367" s="258"/>
      <c r="B367" s="258">
        <v>63</v>
      </c>
      <c r="C367" s="272" t="s">
        <v>27</v>
      </c>
      <c r="D367" s="270">
        <v>853</v>
      </c>
      <c r="E367" s="261">
        <f>VLOOKUP(D367,รายแปลง!E:G,3,FALSE)</f>
        <v>903110</v>
      </c>
      <c r="F367" s="283">
        <v>8.2799999999999994</v>
      </c>
      <c r="G367" s="282" t="s">
        <v>40</v>
      </c>
      <c r="H367" s="283">
        <v>0.26400000000000001</v>
      </c>
      <c r="I367" s="283">
        <v>1.661281998835995</v>
      </c>
      <c r="J367" s="282" t="s">
        <v>28</v>
      </c>
      <c r="K367" s="283">
        <v>180.38126950790621</v>
      </c>
      <c r="L367" s="282" t="s">
        <v>29</v>
      </c>
      <c r="M367" s="283">
        <v>236.30925472135706</v>
      </c>
      <c r="N367" s="282" t="s">
        <v>30</v>
      </c>
      <c r="O367" s="284"/>
      <c r="P367" s="284"/>
      <c r="Q367" s="284"/>
      <c r="R367" s="270">
        <v>15</v>
      </c>
      <c r="S367" s="270">
        <v>6</v>
      </c>
      <c r="T367" s="270">
        <v>10</v>
      </c>
      <c r="U367" s="270">
        <v>16</v>
      </c>
      <c r="V367" s="270">
        <v>8</v>
      </c>
      <c r="W367" s="270">
        <v>8</v>
      </c>
      <c r="X367" s="270" t="s">
        <v>34</v>
      </c>
      <c r="Y367" s="270">
        <v>50</v>
      </c>
      <c r="Z367" s="270">
        <v>15</v>
      </c>
      <c r="AA367" s="270">
        <v>7</v>
      </c>
      <c r="AB367" s="270">
        <v>18</v>
      </c>
      <c r="AC367" s="270" t="s">
        <v>51</v>
      </c>
      <c r="AD367" s="270">
        <v>50</v>
      </c>
      <c r="AE367" s="269">
        <v>15.5</v>
      </c>
      <c r="AF367" s="269">
        <v>7.5</v>
      </c>
      <c r="AG367" s="269">
        <v>13</v>
      </c>
      <c r="AH367" s="270">
        <v>18</v>
      </c>
      <c r="AI367" s="270">
        <v>6</v>
      </c>
      <c r="AJ367" s="270">
        <v>12</v>
      </c>
      <c r="AK367" s="270">
        <v>16</v>
      </c>
      <c r="AL367" s="270">
        <v>8</v>
      </c>
      <c r="AM367" s="270">
        <v>8</v>
      </c>
      <c r="AN367" s="270" t="s">
        <v>34</v>
      </c>
      <c r="AO367" s="270">
        <v>50</v>
      </c>
      <c r="AP367" s="270">
        <v>21</v>
      </c>
      <c r="AQ367" s="270">
        <v>7</v>
      </c>
      <c r="AR367" s="270">
        <v>18</v>
      </c>
      <c r="AS367" s="270">
        <v>50</v>
      </c>
      <c r="AT367" s="269">
        <v>18.5</v>
      </c>
      <c r="AU367" s="269">
        <v>7.5</v>
      </c>
      <c r="AV367" s="269">
        <v>13</v>
      </c>
    </row>
    <row r="368" spans="1:48" s="271" customFormat="1" ht="23.5" customHeight="1">
      <c r="A368" s="258"/>
      <c r="B368" s="258">
        <v>63</v>
      </c>
      <c r="C368" s="282" t="s">
        <v>57</v>
      </c>
      <c r="D368" s="270">
        <v>123</v>
      </c>
      <c r="E368" s="261">
        <f>VLOOKUP(D368,รายแปลง!E:G,3,FALSE)</f>
        <v>900107</v>
      </c>
      <c r="F368" s="283">
        <v>7.415</v>
      </c>
      <c r="G368" s="282" t="s">
        <v>40</v>
      </c>
      <c r="H368" s="283">
        <v>2.8205000000000001E-2</v>
      </c>
      <c r="I368" s="283">
        <v>0.46602566660606903</v>
      </c>
      <c r="J368" s="282" t="s">
        <v>37</v>
      </c>
      <c r="K368" s="283">
        <v>43.991626101473287</v>
      </c>
      <c r="L368" s="282" t="s">
        <v>29</v>
      </c>
      <c r="M368" s="283">
        <v>18.196440186296101</v>
      </c>
      <c r="N368" s="282" t="s">
        <v>37</v>
      </c>
      <c r="O368" s="284"/>
      <c r="P368" s="284"/>
      <c r="Q368" s="284"/>
      <c r="R368" s="270">
        <v>18</v>
      </c>
      <c r="S368" s="270">
        <v>6</v>
      </c>
      <c r="T368" s="270">
        <v>15</v>
      </c>
      <c r="U368" s="270">
        <v>15</v>
      </c>
      <c r="V368" s="270">
        <v>7</v>
      </c>
      <c r="W368" s="270">
        <v>15</v>
      </c>
      <c r="X368" s="270" t="s">
        <v>100</v>
      </c>
      <c r="Y368" s="270">
        <v>50</v>
      </c>
      <c r="Z368" s="270">
        <v>21</v>
      </c>
      <c r="AA368" s="270">
        <v>7</v>
      </c>
      <c r="AB368" s="270">
        <v>18</v>
      </c>
      <c r="AC368" s="270" t="s">
        <v>35</v>
      </c>
      <c r="AD368" s="270">
        <v>50</v>
      </c>
      <c r="AE368" s="269">
        <v>18</v>
      </c>
      <c r="AF368" s="269">
        <v>7</v>
      </c>
      <c r="AG368" s="269">
        <v>16.5</v>
      </c>
      <c r="AH368" s="270">
        <v>24</v>
      </c>
      <c r="AI368" s="270">
        <v>6</v>
      </c>
      <c r="AJ368" s="270">
        <v>24</v>
      </c>
      <c r="AK368" s="270">
        <v>21</v>
      </c>
      <c r="AL368" s="270">
        <v>7</v>
      </c>
      <c r="AM368" s="270">
        <v>18</v>
      </c>
      <c r="AN368" s="270" t="s">
        <v>35</v>
      </c>
      <c r="AO368" s="270">
        <v>50</v>
      </c>
      <c r="AP368" s="270">
        <v>20</v>
      </c>
      <c r="AQ368" s="270">
        <v>5</v>
      </c>
      <c r="AR368" s="270">
        <v>28</v>
      </c>
      <c r="AS368" s="270">
        <v>50</v>
      </c>
      <c r="AT368" s="269">
        <v>20.5</v>
      </c>
      <c r="AU368" s="269">
        <v>6</v>
      </c>
      <c r="AV368" s="269">
        <v>23</v>
      </c>
    </row>
  </sheetData>
  <autoFilter ref="A3:AG368"/>
  <mergeCells count="12">
    <mergeCell ref="Z2:AB2"/>
    <mergeCell ref="U2:W2"/>
    <mergeCell ref="AH2:AJ2"/>
    <mergeCell ref="AK2:AM2"/>
    <mergeCell ref="AO2:AO3"/>
    <mergeCell ref="AP2:AR2"/>
    <mergeCell ref="AS2:AS3"/>
    <mergeCell ref="AT2:AV2"/>
    <mergeCell ref="A1:C1"/>
    <mergeCell ref="Y2:Y3"/>
    <mergeCell ref="AD2:AD3"/>
    <mergeCell ref="AE2:AG2"/>
  </mergeCells>
  <conditionalFormatting sqref="D369:D1048576 D1:D275">
    <cfRule type="duplicateValues" dxfId="1" priority="6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L127"/>
  <sheetViews>
    <sheetView workbookViewId="0">
      <selection activeCell="D19" sqref="D19"/>
    </sheetView>
  </sheetViews>
  <sheetFormatPr defaultRowHeight="19" customHeight="1"/>
  <cols>
    <col min="1" max="2" width="8.81640625" bestFit="1" customWidth="1"/>
    <col min="3" max="3" width="14.7265625" customWidth="1"/>
    <col min="4" max="4" width="13.81640625" customWidth="1"/>
    <col min="5" max="5" width="14.90625" customWidth="1"/>
    <col min="6" max="6" width="15.54296875" customWidth="1"/>
    <col min="7" max="7" width="8.81640625" bestFit="1" customWidth="1"/>
    <col min="8" max="8" width="0" hidden="1" customWidth="1"/>
    <col min="9" max="9" width="8.81640625" bestFit="1" customWidth="1"/>
    <col min="10" max="10" width="0" hidden="1" customWidth="1"/>
    <col min="11" max="11" width="8.81640625" bestFit="1" customWidth="1"/>
    <col min="12" max="12" width="10.08984375" style="315" customWidth="1"/>
    <col min="13" max="13" width="10.54296875" customWidth="1"/>
    <col min="14" max="14" width="8.7265625" style="144"/>
    <col min="15" max="15" width="9.6328125" bestFit="1" customWidth="1"/>
    <col min="17" max="22" width="8.81640625" bestFit="1" customWidth="1"/>
    <col min="24" max="24" width="8.81640625" bestFit="1" customWidth="1"/>
    <col min="26" max="29" width="8.81640625" bestFit="1" customWidth="1"/>
    <col min="31" max="31" width="8.81640625" bestFit="1" customWidth="1"/>
    <col min="33" max="33" width="8.81640625" bestFit="1" customWidth="1"/>
    <col min="35" max="38" width="8.81640625" bestFit="1" customWidth="1"/>
  </cols>
  <sheetData>
    <row r="1" spans="1:38" ht="19" customHeight="1"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20"/>
      <c r="M1" s="399"/>
      <c r="N1" s="326"/>
      <c r="O1" s="399"/>
      <c r="P1" s="399"/>
      <c r="Q1" s="401" t="s">
        <v>638</v>
      </c>
      <c r="R1" s="401"/>
      <c r="S1" s="401"/>
      <c r="T1" s="401"/>
      <c r="U1" s="401"/>
      <c r="V1" s="401"/>
      <c r="W1" s="402" t="s">
        <v>639</v>
      </c>
      <c r="X1" s="402"/>
      <c r="Y1" s="402"/>
      <c r="Z1" s="402"/>
      <c r="AA1" s="402"/>
      <c r="AB1" s="402"/>
      <c r="AC1" s="373"/>
      <c r="AD1" s="372" t="s">
        <v>640</v>
      </c>
      <c r="AE1" s="371"/>
      <c r="AF1" s="371"/>
      <c r="AG1" s="371"/>
      <c r="AH1" s="371"/>
      <c r="AI1" s="371"/>
      <c r="AJ1" s="371"/>
      <c r="AK1" s="371"/>
      <c r="AL1" s="370"/>
    </row>
    <row r="2" spans="1:38" ht="19" customHeight="1">
      <c r="B2" s="399"/>
      <c r="C2" s="377"/>
      <c r="D2" s="378"/>
      <c r="E2" s="314" t="s">
        <v>641</v>
      </c>
      <c r="F2" s="399"/>
      <c r="G2" s="399"/>
      <c r="H2" s="399"/>
      <c r="I2" s="399"/>
      <c r="J2" s="399"/>
      <c r="K2" s="399"/>
      <c r="L2" s="320"/>
      <c r="M2" s="399"/>
      <c r="N2" s="326"/>
      <c r="O2" s="399"/>
      <c r="P2" s="399"/>
      <c r="Q2" s="403" t="s">
        <v>642</v>
      </c>
      <c r="R2" s="403"/>
      <c r="S2" s="403"/>
      <c r="T2" s="400" t="s">
        <v>138</v>
      </c>
      <c r="U2" s="400"/>
      <c r="V2" s="400"/>
      <c r="W2" s="369" t="s">
        <v>643</v>
      </c>
      <c r="X2" s="398" t="s">
        <v>644</v>
      </c>
      <c r="Y2" s="367" t="s">
        <v>645</v>
      </c>
      <c r="Z2" s="398" t="s">
        <v>644</v>
      </c>
      <c r="AA2" s="365" t="s">
        <v>646</v>
      </c>
      <c r="AB2" s="364"/>
      <c r="AC2" s="363"/>
      <c r="AD2" s="362" t="s">
        <v>643</v>
      </c>
      <c r="AE2" s="397" t="s">
        <v>644</v>
      </c>
      <c r="AF2" s="362" t="s">
        <v>645</v>
      </c>
      <c r="AG2" s="397" t="s">
        <v>644</v>
      </c>
      <c r="AH2" s="362" t="s">
        <v>647</v>
      </c>
      <c r="AI2" s="396" t="s">
        <v>644</v>
      </c>
      <c r="AJ2" s="360" t="s">
        <v>646</v>
      </c>
      <c r="AK2" s="359"/>
      <c r="AL2" s="358"/>
    </row>
    <row r="3" spans="1:38" ht="19" customHeight="1">
      <c r="A3" s="395" t="s">
        <v>3</v>
      </c>
      <c r="B3" s="395" t="s">
        <v>108</v>
      </c>
      <c r="C3" s="395" t="s">
        <v>648</v>
      </c>
      <c r="D3" s="395" t="s">
        <v>649</v>
      </c>
      <c r="E3" s="394" t="s">
        <v>650</v>
      </c>
      <c r="F3" s="394" t="s">
        <v>110</v>
      </c>
      <c r="G3" s="395" t="s">
        <v>12</v>
      </c>
      <c r="H3" s="395" t="s">
        <v>651</v>
      </c>
      <c r="I3" s="395" t="s">
        <v>652</v>
      </c>
      <c r="J3" s="395" t="s">
        <v>651</v>
      </c>
      <c r="K3" s="395" t="s">
        <v>15</v>
      </c>
      <c r="L3" s="395" t="s">
        <v>651</v>
      </c>
      <c r="M3" s="395" t="s">
        <v>653</v>
      </c>
      <c r="N3" s="325" t="s">
        <v>651</v>
      </c>
      <c r="O3" s="393" t="s">
        <v>654</v>
      </c>
      <c r="P3" s="395" t="s">
        <v>651</v>
      </c>
      <c r="Q3" s="385" t="s">
        <v>655</v>
      </c>
      <c r="R3" s="385" t="s">
        <v>25</v>
      </c>
      <c r="S3" s="385" t="s">
        <v>26</v>
      </c>
      <c r="T3" s="384" t="s">
        <v>24</v>
      </c>
      <c r="U3" s="384" t="s">
        <v>25</v>
      </c>
      <c r="V3" s="384" t="s">
        <v>26</v>
      </c>
      <c r="W3" s="368"/>
      <c r="X3" s="392" t="s">
        <v>656</v>
      </c>
      <c r="Y3" s="366"/>
      <c r="Z3" s="392" t="s">
        <v>656</v>
      </c>
      <c r="AA3" s="391" t="s">
        <v>24</v>
      </c>
      <c r="AB3" s="390" t="s">
        <v>25</v>
      </c>
      <c r="AC3" s="389" t="s">
        <v>26</v>
      </c>
      <c r="AD3" s="361"/>
      <c r="AE3" s="392" t="s">
        <v>656</v>
      </c>
      <c r="AF3" s="361"/>
      <c r="AG3" s="392" t="s">
        <v>656</v>
      </c>
      <c r="AH3" s="361"/>
      <c r="AI3" s="388" t="s">
        <v>656</v>
      </c>
      <c r="AJ3" s="387" t="s">
        <v>24</v>
      </c>
      <c r="AK3" s="390" t="s">
        <v>25</v>
      </c>
      <c r="AL3" s="389" t="s">
        <v>26</v>
      </c>
    </row>
    <row r="4" spans="1:38" s="349" customFormat="1" ht="14" customHeight="1">
      <c r="A4" s="357">
        <v>68</v>
      </c>
      <c r="B4" s="357">
        <v>1</v>
      </c>
      <c r="C4" s="356" t="s">
        <v>657</v>
      </c>
      <c r="D4" s="356" t="s">
        <v>658</v>
      </c>
      <c r="E4" s="355" t="s">
        <v>659</v>
      </c>
      <c r="F4" s="355">
        <v>928109</v>
      </c>
      <c r="G4" s="405">
        <v>6.9</v>
      </c>
      <c r="H4" s="354" t="s">
        <v>28</v>
      </c>
      <c r="I4" s="353">
        <v>6.6119999999999998E-2</v>
      </c>
      <c r="J4" s="354" t="s">
        <v>660</v>
      </c>
      <c r="K4" s="353">
        <v>0.82684779874213976</v>
      </c>
      <c r="L4" s="319" t="s">
        <v>41</v>
      </c>
      <c r="M4" s="352">
        <v>10.420079569389189</v>
      </c>
      <c r="N4" s="324" t="s">
        <v>41</v>
      </c>
      <c r="O4" s="352">
        <v>55</v>
      </c>
      <c r="P4" s="354" t="s">
        <v>41</v>
      </c>
      <c r="Q4" s="351">
        <v>18</v>
      </c>
      <c r="R4" s="351">
        <v>12</v>
      </c>
      <c r="S4" s="351">
        <v>15</v>
      </c>
      <c r="T4" s="351">
        <v>24</v>
      </c>
      <c r="U4" s="351">
        <v>12</v>
      </c>
      <c r="V4" s="351">
        <v>24</v>
      </c>
      <c r="W4" s="350" t="s">
        <v>39</v>
      </c>
      <c r="X4" s="350">
        <v>50</v>
      </c>
      <c r="Y4" s="350" t="s">
        <v>45</v>
      </c>
      <c r="Z4" s="350">
        <v>50</v>
      </c>
      <c r="AA4" s="350">
        <v>18</v>
      </c>
      <c r="AB4" s="350">
        <v>12</v>
      </c>
      <c r="AC4" s="350">
        <v>14</v>
      </c>
      <c r="AD4" s="350" t="s">
        <v>39</v>
      </c>
      <c r="AE4" s="350">
        <v>50</v>
      </c>
      <c r="AF4" s="350" t="s">
        <v>661</v>
      </c>
      <c r="AG4" s="350">
        <v>50</v>
      </c>
      <c r="AH4" s="350" t="s">
        <v>662</v>
      </c>
      <c r="AI4" s="350">
        <v>30</v>
      </c>
      <c r="AJ4" s="350">
        <v>21.3</v>
      </c>
      <c r="AK4" s="350">
        <v>11.5</v>
      </c>
      <c r="AL4" s="350">
        <v>21.5</v>
      </c>
    </row>
    <row r="5" spans="1:38" s="349" customFormat="1" ht="14" customHeight="1">
      <c r="A5" s="357">
        <v>68</v>
      </c>
      <c r="B5" s="357">
        <v>2</v>
      </c>
      <c r="C5" s="356" t="s">
        <v>663</v>
      </c>
      <c r="D5" s="356" t="s">
        <v>658</v>
      </c>
      <c r="E5" s="355" t="s">
        <v>659</v>
      </c>
      <c r="F5" s="355">
        <v>928107</v>
      </c>
      <c r="G5" s="405">
        <v>6.7</v>
      </c>
      <c r="H5" s="354" t="s">
        <v>28</v>
      </c>
      <c r="I5" s="353">
        <v>7.5230000000000005E-2</v>
      </c>
      <c r="J5" s="354" t="s">
        <v>660</v>
      </c>
      <c r="K5" s="353">
        <v>1.5351647798742136</v>
      </c>
      <c r="L5" s="319" t="s">
        <v>41</v>
      </c>
      <c r="M5" s="352">
        <v>13.427334425462206</v>
      </c>
      <c r="N5" s="324" t="s">
        <v>41</v>
      </c>
      <c r="O5" s="352">
        <v>58</v>
      </c>
      <c r="P5" s="354" t="s">
        <v>41</v>
      </c>
      <c r="Q5" s="351">
        <v>15</v>
      </c>
      <c r="R5" s="351">
        <v>12</v>
      </c>
      <c r="S5" s="351">
        <v>15</v>
      </c>
      <c r="T5" s="351">
        <v>18</v>
      </c>
      <c r="U5" s="351">
        <v>12</v>
      </c>
      <c r="V5" s="351">
        <v>24</v>
      </c>
      <c r="W5" s="350" t="s">
        <v>39</v>
      </c>
      <c r="X5" s="350">
        <v>50</v>
      </c>
      <c r="Y5" s="350" t="s">
        <v>35</v>
      </c>
      <c r="Z5" s="350">
        <v>50</v>
      </c>
      <c r="AA5" s="350">
        <v>18.5</v>
      </c>
      <c r="AB5" s="350">
        <v>11.5</v>
      </c>
      <c r="AC5" s="350">
        <v>13</v>
      </c>
      <c r="AD5" s="350" t="s">
        <v>664</v>
      </c>
      <c r="AE5" s="350">
        <v>50</v>
      </c>
      <c r="AF5" s="350" t="s">
        <v>665</v>
      </c>
      <c r="AG5" s="350">
        <v>50</v>
      </c>
      <c r="AH5" s="350" t="s">
        <v>662</v>
      </c>
      <c r="AI5" s="350">
        <v>0</v>
      </c>
      <c r="AJ5" s="350">
        <v>17</v>
      </c>
      <c r="AK5" s="350">
        <v>7</v>
      </c>
      <c r="AL5" s="350">
        <v>18</v>
      </c>
    </row>
    <row r="6" spans="1:38" s="349" customFormat="1" ht="14" customHeight="1">
      <c r="A6" s="357">
        <v>68</v>
      </c>
      <c r="B6" s="357">
        <v>3</v>
      </c>
      <c r="C6" s="356" t="s">
        <v>666</v>
      </c>
      <c r="D6" s="356" t="s">
        <v>658</v>
      </c>
      <c r="E6" s="355" t="s">
        <v>659</v>
      </c>
      <c r="F6" s="355">
        <v>928136</v>
      </c>
      <c r="G6" s="405">
        <v>7.43</v>
      </c>
      <c r="H6" s="354" t="s">
        <v>40</v>
      </c>
      <c r="I6" s="353">
        <v>0.19550000000000001</v>
      </c>
      <c r="J6" s="354" t="s">
        <v>660</v>
      </c>
      <c r="K6" s="353">
        <v>0.16145911949685721</v>
      </c>
      <c r="L6" s="319" t="s">
        <v>37</v>
      </c>
      <c r="M6" s="352">
        <v>21.109290896325763</v>
      </c>
      <c r="N6" s="324" t="s">
        <v>28</v>
      </c>
      <c r="O6" s="352">
        <v>40</v>
      </c>
      <c r="P6" s="354" t="s">
        <v>41</v>
      </c>
      <c r="Q6" s="351">
        <v>18</v>
      </c>
      <c r="R6" s="351">
        <v>9</v>
      </c>
      <c r="S6" s="351">
        <v>15</v>
      </c>
      <c r="T6" s="351">
        <v>24</v>
      </c>
      <c r="U6" s="351">
        <v>9</v>
      </c>
      <c r="V6" s="351">
        <v>24</v>
      </c>
      <c r="W6" s="350" t="s">
        <v>39</v>
      </c>
      <c r="X6" s="350">
        <v>50</v>
      </c>
      <c r="Y6" s="350" t="s">
        <v>45</v>
      </c>
      <c r="Z6" s="350">
        <v>50</v>
      </c>
      <c r="AA6" s="350">
        <v>18</v>
      </c>
      <c r="AB6" s="350">
        <v>12</v>
      </c>
      <c r="AC6" s="350">
        <v>14</v>
      </c>
      <c r="AD6" s="350" t="s">
        <v>39</v>
      </c>
      <c r="AE6" s="350">
        <v>50</v>
      </c>
      <c r="AF6" s="350" t="s">
        <v>661</v>
      </c>
      <c r="AG6" s="350">
        <v>50</v>
      </c>
      <c r="AH6" s="350" t="s">
        <v>662</v>
      </c>
      <c r="AI6" s="350">
        <v>30</v>
      </c>
      <c r="AJ6" s="350">
        <v>21.3</v>
      </c>
      <c r="AK6" s="350">
        <v>11.5</v>
      </c>
      <c r="AL6" s="350">
        <v>21.5</v>
      </c>
    </row>
    <row r="7" spans="1:38" s="349" customFormat="1" ht="14" customHeight="1">
      <c r="A7" s="357">
        <v>68</v>
      </c>
      <c r="B7" s="357">
        <v>4</v>
      </c>
      <c r="C7" s="356" t="s">
        <v>667</v>
      </c>
      <c r="D7" s="356" t="s">
        <v>658</v>
      </c>
      <c r="E7" s="355" t="s">
        <v>659</v>
      </c>
      <c r="F7" s="355">
        <v>928111</v>
      </c>
      <c r="G7" s="405">
        <v>6.6</v>
      </c>
      <c r="H7" s="354" t="s">
        <v>28</v>
      </c>
      <c r="I7" s="353">
        <v>7.0749999999999993E-2</v>
      </c>
      <c r="J7" s="354" t="s">
        <v>660</v>
      </c>
      <c r="K7" s="353">
        <v>0.61220628930817811</v>
      </c>
      <c r="L7" s="319" t="s">
        <v>41</v>
      </c>
      <c r="M7" s="352">
        <v>19.365785162649196</v>
      </c>
      <c r="N7" s="324" t="s">
        <v>41</v>
      </c>
      <c r="O7" s="352">
        <v>200</v>
      </c>
      <c r="P7" s="354" t="s">
        <v>30</v>
      </c>
      <c r="Q7" s="351">
        <v>18</v>
      </c>
      <c r="R7" s="351">
        <v>9</v>
      </c>
      <c r="S7" s="351">
        <v>10</v>
      </c>
      <c r="T7" s="351">
        <v>24</v>
      </c>
      <c r="U7" s="351">
        <v>9</v>
      </c>
      <c r="V7" s="351">
        <v>12</v>
      </c>
      <c r="W7" s="350" t="s">
        <v>39</v>
      </c>
      <c r="X7" s="350">
        <v>50</v>
      </c>
      <c r="Y7" s="350" t="s">
        <v>35</v>
      </c>
      <c r="Z7" s="350">
        <v>50</v>
      </c>
      <c r="AA7" s="350">
        <v>18.5</v>
      </c>
      <c r="AB7" s="350">
        <v>11.5</v>
      </c>
      <c r="AC7" s="350">
        <v>13</v>
      </c>
      <c r="AD7" s="350" t="s">
        <v>664</v>
      </c>
      <c r="AE7" s="350">
        <v>50</v>
      </c>
      <c r="AF7" s="350" t="s">
        <v>665</v>
      </c>
      <c r="AG7" s="350">
        <v>50</v>
      </c>
      <c r="AH7" s="350" t="s">
        <v>662</v>
      </c>
      <c r="AI7" s="350">
        <v>0</v>
      </c>
      <c r="AJ7" s="350">
        <v>17</v>
      </c>
      <c r="AK7" s="350">
        <v>7</v>
      </c>
      <c r="AL7" s="350">
        <v>18</v>
      </c>
    </row>
    <row r="8" spans="1:38" s="349" customFormat="1" ht="14" customHeight="1">
      <c r="A8" s="357">
        <v>68</v>
      </c>
      <c r="B8" s="357">
        <v>5</v>
      </c>
      <c r="C8" s="356" t="s">
        <v>668</v>
      </c>
      <c r="D8" s="356" t="s">
        <v>658</v>
      </c>
      <c r="E8" s="355" t="s">
        <v>659</v>
      </c>
      <c r="F8" s="355">
        <v>928119</v>
      </c>
      <c r="G8" s="404">
        <v>6.07</v>
      </c>
      <c r="H8" s="354" t="s">
        <v>28</v>
      </c>
      <c r="I8" s="353">
        <v>3.7990000000000003E-2</v>
      </c>
      <c r="J8" s="354" t="s">
        <v>660</v>
      </c>
      <c r="K8" s="353">
        <v>1.4</v>
      </c>
      <c r="L8" s="319" t="s">
        <v>41</v>
      </c>
      <c r="M8" s="352">
        <v>20.7523987830564</v>
      </c>
      <c r="N8" s="324" t="s">
        <v>28</v>
      </c>
      <c r="O8" s="352">
        <v>140</v>
      </c>
      <c r="P8" s="354" t="s">
        <v>30</v>
      </c>
      <c r="Q8" s="351">
        <v>15</v>
      </c>
      <c r="R8" s="351">
        <v>9</v>
      </c>
      <c r="S8" s="351">
        <v>10</v>
      </c>
      <c r="T8" s="351">
        <v>18</v>
      </c>
      <c r="U8" s="351">
        <v>9</v>
      </c>
      <c r="V8" s="351">
        <v>12</v>
      </c>
      <c r="W8" s="350" t="s">
        <v>34</v>
      </c>
      <c r="X8" s="350">
        <v>50</v>
      </c>
      <c r="Y8" s="350" t="s">
        <v>51</v>
      </c>
      <c r="Z8" s="350">
        <v>50</v>
      </c>
      <c r="AA8" s="350">
        <v>15.5</v>
      </c>
      <c r="AB8" s="350">
        <v>7.5</v>
      </c>
      <c r="AC8" s="350">
        <v>13</v>
      </c>
      <c r="AD8" s="350" t="s">
        <v>34</v>
      </c>
      <c r="AE8" s="350">
        <v>50</v>
      </c>
      <c r="AF8" s="350" t="s">
        <v>51</v>
      </c>
      <c r="AG8" s="350">
        <v>50</v>
      </c>
      <c r="AH8" s="350" t="s">
        <v>662</v>
      </c>
      <c r="AI8" s="350">
        <v>0</v>
      </c>
      <c r="AJ8" s="350">
        <v>15.5</v>
      </c>
      <c r="AK8" s="350">
        <v>7.5</v>
      </c>
      <c r="AL8" s="350">
        <v>13</v>
      </c>
    </row>
    <row r="9" spans="1:38" s="349" customFormat="1" ht="14" customHeight="1">
      <c r="A9" s="357">
        <v>68</v>
      </c>
      <c r="B9" s="357">
        <v>6</v>
      </c>
      <c r="C9" s="356" t="s">
        <v>669</v>
      </c>
      <c r="D9" s="356" t="s">
        <v>658</v>
      </c>
      <c r="E9" s="355" t="s">
        <v>659</v>
      </c>
      <c r="F9" s="355">
        <v>928127</v>
      </c>
      <c r="G9" s="405">
        <v>6.32</v>
      </c>
      <c r="H9" s="354" t="s">
        <v>28</v>
      </c>
      <c r="I9" s="353">
        <v>5.3899999999999997E-2</v>
      </c>
      <c r="J9" s="354" t="s">
        <v>660</v>
      </c>
      <c r="K9" s="353">
        <v>1.5351647798742136</v>
      </c>
      <c r="L9" s="319" t="s">
        <v>41</v>
      </c>
      <c r="M9" s="352">
        <v>12.16943599344723</v>
      </c>
      <c r="N9" s="324" t="s">
        <v>41</v>
      </c>
      <c r="O9" s="352">
        <v>80</v>
      </c>
      <c r="P9" s="354" t="s">
        <v>28</v>
      </c>
      <c r="Q9" s="351">
        <v>15</v>
      </c>
      <c r="R9" s="351">
        <v>12</v>
      </c>
      <c r="S9" s="351">
        <v>12</v>
      </c>
      <c r="T9" s="351">
        <v>18</v>
      </c>
      <c r="U9" s="351">
        <v>12</v>
      </c>
      <c r="V9" s="351">
        <v>18</v>
      </c>
      <c r="W9" s="350" t="s">
        <v>39</v>
      </c>
      <c r="X9" s="350">
        <v>50</v>
      </c>
      <c r="Y9" s="350" t="s">
        <v>35</v>
      </c>
      <c r="Z9" s="350">
        <v>50</v>
      </c>
      <c r="AA9" s="350">
        <v>18.5</v>
      </c>
      <c r="AB9" s="350">
        <v>11.5</v>
      </c>
      <c r="AC9" s="350">
        <v>13</v>
      </c>
      <c r="AD9" s="350" t="s">
        <v>664</v>
      </c>
      <c r="AE9" s="350">
        <v>50</v>
      </c>
      <c r="AF9" s="350" t="s">
        <v>665</v>
      </c>
      <c r="AG9" s="350">
        <v>50</v>
      </c>
      <c r="AH9" s="350" t="s">
        <v>662</v>
      </c>
      <c r="AI9" s="350">
        <v>0</v>
      </c>
      <c r="AJ9" s="350">
        <v>17</v>
      </c>
      <c r="AK9" s="350">
        <v>7</v>
      </c>
      <c r="AL9" s="350">
        <v>18</v>
      </c>
    </row>
    <row r="10" spans="1:38" s="349" customFormat="1" ht="14" customHeight="1">
      <c r="A10" s="357">
        <v>68</v>
      </c>
      <c r="B10" s="357">
        <v>7</v>
      </c>
      <c r="C10" s="356" t="s">
        <v>670</v>
      </c>
      <c r="D10" s="356" t="s">
        <v>658</v>
      </c>
      <c r="E10" s="355" t="s">
        <v>659</v>
      </c>
      <c r="F10" s="355">
        <v>928135</v>
      </c>
      <c r="G10" s="405">
        <v>6.71</v>
      </c>
      <c r="H10" s="354" t="s">
        <v>28</v>
      </c>
      <c r="I10" s="353">
        <v>0.1181</v>
      </c>
      <c r="J10" s="354" t="s">
        <v>660</v>
      </c>
      <c r="K10" s="353">
        <v>3.267421383647956E-2</v>
      </c>
      <c r="L10" s="319" t="s">
        <v>41</v>
      </c>
      <c r="M10" s="352">
        <v>8.1207582494734396</v>
      </c>
      <c r="N10" s="324" t="s">
        <v>37</v>
      </c>
      <c r="O10" s="352">
        <v>55</v>
      </c>
      <c r="P10" s="354" t="s">
        <v>41</v>
      </c>
      <c r="Q10" s="351">
        <v>18</v>
      </c>
      <c r="R10" s="351">
        <v>12</v>
      </c>
      <c r="S10" s="351">
        <v>15</v>
      </c>
      <c r="T10" s="351">
        <v>24</v>
      </c>
      <c r="U10" s="351">
        <v>12</v>
      </c>
      <c r="V10" s="351">
        <v>24</v>
      </c>
      <c r="W10" s="350" t="s">
        <v>39</v>
      </c>
      <c r="X10" s="350">
        <v>50</v>
      </c>
      <c r="Y10" s="350" t="s">
        <v>45</v>
      </c>
      <c r="Z10" s="350">
        <v>50</v>
      </c>
      <c r="AA10" s="350">
        <v>18</v>
      </c>
      <c r="AB10" s="350">
        <v>12</v>
      </c>
      <c r="AC10" s="350">
        <v>14</v>
      </c>
      <c r="AD10" s="350" t="s">
        <v>39</v>
      </c>
      <c r="AE10" s="350">
        <v>50</v>
      </c>
      <c r="AF10" s="350" t="s">
        <v>661</v>
      </c>
      <c r="AG10" s="350">
        <v>50</v>
      </c>
      <c r="AH10" s="350" t="s">
        <v>662</v>
      </c>
      <c r="AI10" s="350">
        <v>30</v>
      </c>
      <c r="AJ10" s="350">
        <v>21.3</v>
      </c>
      <c r="AK10" s="350">
        <v>11.5</v>
      </c>
      <c r="AL10" s="350">
        <v>21.5</v>
      </c>
    </row>
    <row r="11" spans="1:38" s="349" customFormat="1" ht="14" customHeight="1">
      <c r="A11" s="357">
        <v>68</v>
      </c>
      <c r="B11" s="357">
        <v>8</v>
      </c>
      <c r="C11" s="356" t="s">
        <v>671</v>
      </c>
      <c r="D11" s="356" t="s">
        <v>658</v>
      </c>
      <c r="E11" s="355" t="s">
        <v>659</v>
      </c>
      <c r="F11" s="355">
        <v>928141</v>
      </c>
      <c r="G11" s="405">
        <v>5.53</v>
      </c>
      <c r="H11" s="354" t="s">
        <v>28</v>
      </c>
      <c r="I11" s="353">
        <v>5.6479999999999995E-2</v>
      </c>
      <c r="J11" s="354" t="s">
        <v>660</v>
      </c>
      <c r="K11" s="353">
        <v>1.5351647798742136</v>
      </c>
      <c r="L11" s="319" t="s">
        <v>41</v>
      </c>
      <c r="M11" s="352">
        <v>10.601450971214604</v>
      </c>
      <c r="N11" s="324" t="s">
        <v>41</v>
      </c>
      <c r="O11" s="352">
        <v>57</v>
      </c>
      <c r="P11" s="354" t="s">
        <v>41</v>
      </c>
      <c r="Q11" s="351">
        <v>15</v>
      </c>
      <c r="R11" s="351">
        <v>12</v>
      </c>
      <c r="S11" s="351">
        <v>15</v>
      </c>
      <c r="T11" s="351">
        <v>18</v>
      </c>
      <c r="U11" s="351">
        <v>12</v>
      </c>
      <c r="V11" s="351">
        <v>24</v>
      </c>
      <c r="W11" s="350" t="s">
        <v>39</v>
      </c>
      <c r="X11" s="350">
        <v>50</v>
      </c>
      <c r="Y11" s="350" t="s">
        <v>35</v>
      </c>
      <c r="Z11" s="350">
        <v>50</v>
      </c>
      <c r="AA11" s="350">
        <v>18.5</v>
      </c>
      <c r="AB11" s="350">
        <v>11.5</v>
      </c>
      <c r="AC11" s="350">
        <v>13</v>
      </c>
      <c r="AD11" s="350" t="s">
        <v>664</v>
      </c>
      <c r="AE11" s="350">
        <v>50</v>
      </c>
      <c r="AF11" s="350" t="s">
        <v>665</v>
      </c>
      <c r="AG11" s="350">
        <v>50</v>
      </c>
      <c r="AH11" s="350" t="s">
        <v>662</v>
      </c>
      <c r="AI11" s="350">
        <v>0</v>
      </c>
      <c r="AJ11" s="350">
        <v>17</v>
      </c>
      <c r="AK11" s="350">
        <v>7</v>
      </c>
      <c r="AL11" s="350">
        <v>18</v>
      </c>
    </row>
    <row r="12" spans="1:38" s="349" customFormat="1" ht="14" customHeight="1">
      <c r="A12" s="357">
        <v>68</v>
      </c>
      <c r="B12" s="357">
        <v>9</v>
      </c>
      <c r="C12" s="356" t="s">
        <v>672</v>
      </c>
      <c r="D12" s="356" t="s">
        <v>298</v>
      </c>
      <c r="E12" s="355" t="s">
        <v>297</v>
      </c>
      <c r="F12" s="355">
        <v>917123</v>
      </c>
      <c r="G12" s="405">
        <v>5.31</v>
      </c>
      <c r="H12" s="354" t="s">
        <v>56</v>
      </c>
      <c r="I12" s="353">
        <v>4.7320000000000001E-2</v>
      </c>
      <c r="J12" s="354" t="s">
        <v>660</v>
      </c>
      <c r="K12" s="353">
        <v>1.5137006289308175</v>
      </c>
      <c r="L12" s="319" t="s">
        <v>41</v>
      </c>
      <c r="M12" s="352">
        <v>11.250877603557221</v>
      </c>
      <c r="N12" s="324" t="s">
        <v>41</v>
      </c>
      <c r="O12" s="352">
        <v>56</v>
      </c>
      <c r="P12" s="354" t="s">
        <v>41</v>
      </c>
      <c r="Q12" s="351">
        <v>15</v>
      </c>
      <c r="R12" s="351">
        <v>12</v>
      </c>
      <c r="S12" s="351">
        <v>15</v>
      </c>
      <c r="T12" s="351">
        <v>18</v>
      </c>
      <c r="U12" s="351">
        <v>12</v>
      </c>
      <c r="V12" s="351">
        <v>24</v>
      </c>
      <c r="W12" s="350" t="s">
        <v>39</v>
      </c>
      <c r="X12" s="350">
        <v>50</v>
      </c>
      <c r="Y12" s="350" t="s">
        <v>35</v>
      </c>
      <c r="Z12" s="350">
        <v>50</v>
      </c>
      <c r="AA12" s="350">
        <v>18.5</v>
      </c>
      <c r="AB12" s="350">
        <v>11.5</v>
      </c>
      <c r="AC12" s="350">
        <v>13</v>
      </c>
      <c r="AD12" s="350" t="s">
        <v>664</v>
      </c>
      <c r="AE12" s="350">
        <v>50</v>
      </c>
      <c r="AF12" s="350" t="s">
        <v>665</v>
      </c>
      <c r="AG12" s="350">
        <v>50</v>
      </c>
      <c r="AH12" s="350" t="s">
        <v>662</v>
      </c>
      <c r="AI12" s="350">
        <v>0</v>
      </c>
      <c r="AJ12" s="350">
        <v>17</v>
      </c>
      <c r="AK12" s="350">
        <v>7</v>
      </c>
      <c r="AL12" s="350">
        <v>18</v>
      </c>
    </row>
    <row r="13" spans="1:38" s="349" customFormat="1" ht="14" customHeight="1">
      <c r="A13" s="357">
        <v>68</v>
      </c>
      <c r="B13" s="357">
        <v>10</v>
      </c>
      <c r="C13" s="356" t="s">
        <v>673</v>
      </c>
      <c r="D13" s="356" t="s">
        <v>298</v>
      </c>
      <c r="E13" s="355" t="s">
        <v>297</v>
      </c>
      <c r="F13" s="355">
        <v>917106</v>
      </c>
      <c r="G13" s="405">
        <v>6.02</v>
      </c>
      <c r="H13" s="354" t="s">
        <v>28</v>
      </c>
      <c r="I13" s="353">
        <v>0.1363</v>
      </c>
      <c r="J13" s="354" t="s">
        <v>660</v>
      </c>
      <c r="K13" s="353">
        <v>0.3975647798742149</v>
      </c>
      <c r="L13" s="319" t="s">
        <v>41</v>
      </c>
      <c r="M13" s="352">
        <v>15.486777439737892</v>
      </c>
      <c r="N13" s="324" t="s">
        <v>41</v>
      </c>
      <c r="O13" s="352">
        <v>10</v>
      </c>
      <c r="P13" s="354" t="s">
        <v>37</v>
      </c>
      <c r="Q13" s="351">
        <v>18</v>
      </c>
      <c r="R13" s="351">
        <v>9</v>
      </c>
      <c r="S13" s="351">
        <v>15</v>
      </c>
      <c r="T13" s="351">
        <v>24</v>
      </c>
      <c r="U13" s="351">
        <v>9</v>
      </c>
      <c r="V13" s="351">
        <v>24</v>
      </c>
      <c r="W13" s="350" t="s">
        <v>39</v>
      </c>
      <c r="X13" s="350">
        <v>50</v>
      </c>
      <c r="Y13" s="350" t="s">
        <v>45</v>
      </c>
      <c r="Z13" s="350">
        <v>50</v>
      </c>
      <c r="AA13" s="350">
        <v>18</v>
      </c>
      <c r="AB13" s="350">
        <v>12</v>
      </c>
      <c r="AC13" s="350">
        <v>14</v>
      </c>
      <c r="AD13" s="350" t="s">
        <v>39</v>
      </c>
      <c r="AE13" s="350">
        <v>50</v>
      </c>
      <c r="AF13" s="350" t="s">
        <v>661</v>
      </c>
      <c r="AG13" s="350">
        <v>50</v>
      </c>
      <c r="AH13" s="350" t="s">
        <v>662</v>
      </c>
      <c r="AI13" s="350">
        <v>30</v>
      </c>
      <c r="AJ13" s="350">
        <v>21.3</v>
      </c>
      <c r="AK13" s="350">
        <v>11.5</v>
      </c>
      <c r="AL13" s="350">
        <v>21.5</v>
      </c>
    </row>
    <row r="14" spans="1:38" s="349" customFormat="1" ht="14" customHeight="1">
      <c r="A14" s="357">
        <v>68</v>
      </c>
      <c r="B14" s="357">
        <v>11</v>
      </c>
      <c r="C14" s="356" t="s">
        <v>674</v>
      </c>
      <c r="D14" s="356" t="s">
        <v>298</v>
      </c>
      <c r="E14" s="355" t="s">
        <v>297</v>
      </c>
      <c r="F14" s="348">
        <v>917118</v>
      </c>
      <c r="G14" s="347">
        <v>6.01</v>
      </c>
      <c r="H14" s="354" t="s">
        <v>28</v>
      </c>
      <c r="I14" s="353">
        <v>8.3220000000000002E-2</v>
      </c>
      <c r="J14" s="354" t="s">
        <v>660</v>
      </c>
      <c r="K14" s="353">
        <v>1.6424855345911955</v>
      </c>
      <c r="L14" s="319" t="s">
        <v>28</v>
      </c>
      <c r="M14" s="352">
        <v>20.635384975427101</v>
      </c>
      <c r="N14" s="324" t="s">
        <v>28</v>
      </c>
      <c r="O14" s="352">
        <v>180</v>
      </c>
      <c r="P14" s="354" t="s">
        <v>30</v>
      </c>
      <c r="Q14" s="351">
        <v>15</v>
      </c>
      <c r="R14" s="351">
        <v>9</v>
      </c>
      <c r="S14" s="351">
        <v>10</v>
      </c>
      <c r="T14" s="351">
        <v>18</v>
      </c>
      <c r="U14" s="351">
        <v>9</v>
      </c>
      <c r="V14" s="351">
        <v>12</v>
      </c>
      <c r="W14" s="350" t="s">
        <v>34</v>
      </c>
      <c r="X14" s="350">
        <v>50</v>
      </c>
      <c r="Y14" s="350" t="s">
        <v>51</v>
      </c>
      <c r="Z14" s="350">
        <v>50</v>
      </c>
      <c r="AA14" s="350">
        <v>15.5</v>
      </c>
      <c r="AB14" s="350">
        <v>7.5</v>
      </c>
      <c r="AC14" s="350">
        <v>13</v>
      </c>
      <c r="AD14" s="350" t="s">
        <v>34</v>
      </c>
      <c r="AE14" s="350">
        <v>50</v>
      </c>
      <c r="AF14" s="350" t="s">
        <v>51</v>
      </c>
      <c r="AG14" s="350">
        <v>50</v>
      </c>
      <c r="AH14" s="350" t="s">
        <v>662</v>
      </c>
      <c r="AI14" s="350">
        <v>0</v>
      </c>
      <c r="AJ14" s="350">
        <v>15.5</v>
      </c>
      <c r="AK14" s="350">
        <v>7.5</v>
      </c>
      <c r="AL14" s="350">
        <v>13</v>
      </c>
    </row>
    <row r="15" spans="1:38" s="349" customFormat="1" ht="14" customHeight="1">
      <c r="A15" s="357">
        <v>68</v>
      </c>
      <c r="B15" s="357">
        <v>12</v>
      </c>
      <c r="C15" s="356" t="s">
        <v>675</v>
      </c>
      <c r="D15" s="356" t="s">
        <v>298</v>
      </c>
      <c r="E15" s="355" t="s">
        <v>297</v>
      </c>
      <c r="F15" s="348">
        <v>917114</v>
      </c>
      <c r="G15" s="347">
        <v>6.91</v>
      </c>
      <c r="H15" s="354" t="s">
        <v>28</v>
      </c>
      <c r="I15" s="353">
        <v>7.1359999999999993E-2</v>
      </c>
      <c r="J15" s="354" t="s">
        <v>660</v>
      </c>
      <c r="K15" s="353">
        <v>1.2561308176100625</v>
      </c>
      <c r="L15" s="319" t="s">
        <v>41</v>
      </c>
      <c r="M15" s="352">
        <v>16.100000000000001</v>
      </c>
      <c r="N15" s="324" t="s">
        <v>41</v>
      </c>
      <c r="O15" s="352">
        <v>180</v>
      </c>
      <c r="P15" s="354" t="s">
        <v>30</v>
      </c>
      <c r="Q15" s="351">
        <v>15</v>
      </c>
      <c r="R15" s="351">
        <v>9</v>
      </c>
      <c r="S15" s="351">
        <v>10</v>
      </c>
      <c r="T15" s="351">
        <v>18</v>
      </c>
      <c r="U15" s="351">
        <v>9</v>
      </c>
      <c r="V15" s="351">
        <v>12</v>
      </c>
      <c r="W15" s="350" t="s">
        <v>39</v>
      </c>
      <c r="X15" s="350">
        <v>50</v>
      </c>
      <c r="Y15" s="350" t="s">
        <v>45</v>
      </c>
      <c r="Z15" s="350">
        <v>50</v>
      </c>
      <c r="AA15" s="350">
        <v>18</v>
      </c>
      <c r="AB15" s="350">
        <v>12</v>
      </c>
      <c r="AC15" s="350">
        <v>14</v>
      </c>
      <c r="AD15" s="350" t="s">
        <v>39</v>
      </c>
      <c r="AE15" s="350">
        <v>50</v>
      </c>
      <c r="AF15" s="350" t="s">
        <v>661</v>
      </c>
      <c r="AG15" s="350">
        <v>50</v>
      </c>
      <c r="AH15" s="350" t="s">
        <v>662</v>
      </c>
      <c r="AI15" s="350">
        <v>30</v>
      </c>
      <c r="AJ15" s="350">
        <v>21.3</v>
      </c>
      <c r="AK15" s="350">
        <v>11.5</v>
      </c>
      <c r="AL15" s="350">
        <v>21.5</v>
      </c>
    </row>
    <row r="16" spans="1:38" s="349" customFormat="1" ht="14" customHeight="1">
      <c r="A16" s="357">
        <v>68</v>
      </c>
      <c r="B16" s="357">
        <v>13</v>
      </c>
      <c r="C16" s="356" t="s">
        <v>676</v>
      </c>
      <c r="D16" s="356" t="s">
        <v>298</v>
      </c>
      <c r="E16" s="355" t="s">
        <v>297</v>
      </c>
      <c r="F16" s="348">
        <v>917119</v>
      </c>
      <c r="G16" s="347">
        <v>6.84</v>
      </c>
      <c r="H16" s="354" t="s">
        <v>28</v>
      </c>
      <c r="I16" s="353">
        <v>8.2970000000000002E-2</v>
      </c>
      <c r="J16" s="354" t="s">
        <v>660</v>
      </c>
      <c r="K16" s="353">
        <v>1.0414893081761032</v>
      </c>
      <c r="L16" s="319" t="s">
        <v>41</v>
      </c>
      <c r="M16" s="352">
        <v>21.395974725017552</v>
      </c>
      <c r="N16" s="324" t="s">
        <v>28</v>
      </c>
      <c r="O16" s="352">
        <v>149.99999999999997</v>
      </c>
      <c r="P16" s="354" t="s">
        <v>30</v>
      </c>
      <c r="Q16" s="351">
        <v>15</v>
      </c>
      <c r="R16" s="351">
        <v>9</v>
      </c>
      <c r="S16" s="351">
        <v>10</v>
      </c>
      <c r="T16" s="351">
        <v>18</v>
      </c>
      <c r="U16" s="351">
        <v>9</v>
      </c>
      <c r="V16" s="351">
        <v>12</v>
      </c>
      <c r="W16" s="350" t="s">
        <v>39</v>
      </c>
      <c r="X16" s="350">
        <v>50</v>
      </c>
      <c r="Y16" s="350" t="s">
        <v>35</v>
      </c>
      <c r="Z16" s="350">
        <v>50</v>
      </c>
      <c r="AA16" s="350">
        <v>18.5</v>
      </c>
      <c r="AB16" s="350">
        <v>11.5</v>
      </c>
      <c r="AC16" s="350">
        <v>13</v>
      </c>
      <c r="AD16" s="350" t="s">
        <v>664</v>
      </c>
      <c r="AE16" s="350">
        <v>50</v>
      </c>
      <c r="AF16" s="350" t="s">
        <v>665</v>
      </c>
      <c r="AG16" s="350">
        <v>50</v>
      </c>
      <c r="AH16" s="350" t="s">
        <v>662</v>
      </c>
      <c r="AI16" s="350">
        <v>0</v>
      </c>
      <c r="AJ16" s="350">
        <v>17</v>
      </c>
      <c r="AK16" s="350">
        <v>7</v>
      </c>
      <c r="AL16" s="350">
        <v>18</v>
      </c>
    </row>
    <row r="17" spans="1:38" s="349" customFormat="1" ht="14" customHeight="1">
      <c r="A17" s="357">
        <v>68</v>
      </c>
      <c r="B17" s="357">
        <v>14</v>
      </c>
      <c r="C17" s="356" t="s">
        <v>677</v>
      </c>
      <c r="D17" s="356" t="s">
        <v>333</v>
      </c>
      <c r="E17" s="355" t="s">
        <v>678</v>
      </c>
      <c r="F17" s="348">
        <v>907125</v>
      </c>
      <c r="G17" s="347">
        <v>7.15</v>
      </c>
      <c r="H17" s="354" t="s">
        <v>28</v>
      </c>
      <c r="I17" s="353">
        <v>0.31510000000000005</v>
      </c>
      <c r="J17" s="354" t="s">
        <v>660</v>
      </c>
      <c r="K17" s="353">
        <v>1.4278440251572329</v>
      </c>
      <c r="L17" s="319" t="s">
        <v>41</v>
      </c>
      <c r="M17" s="352">
        <v>28.007254856073015</v>
      </c>
      <c r="N17" s="324" t="s">
        <v>28</v>
      </c>
      <c r="O17" s="352">
        <v>149.99999999999997</v>
      </c>
      <c r="P17" s="354" t="s">
        <v>30</v>
      </c>
      <c r="Q17" s="351">
        <v>15</v>
      </c>
      <c r="R17" s="351">
        <v>9</v>
      </c>
      <c r="S17" s="351">
        <v>10</v>
      </c>
      <c r="T17" s="351">
        <v>18</v>
      </c>
      <c r="U17" s="351">
        <v>9</v>
      </c>
      <c r="V17" s="351">
        <v>12</v>
      </c>
      <c r="W17" s="350" t="s">
        <v>39</v>
      </c>
      <c r="X17" s="350">
        <v>50</v>
      </c>
      <c r="Y17" s="350" t="s">
        <v>35</v>
      </c>
      <c r="Z17" s="350">
        <v>50</v>
      </c>
      <c r="AA17" s="350">
        <v>18.5</v>
      </c>
      <c r="AB17" s="350">
        <v>11.5</v>
      </c>
      <c r="AC17" s="350">
        <v>13</v>
      </c>
      <c r="AD17" s="350" t="s">
        <v>664</v>
      </c>
      <c r="AE17" s="350">
        <v>50</v>
      </c>
      <c r="AF17" s="350" t="s">
        <v>665</v>
      </c>
      <c r="AG17" s="350">
        <v>50</v>
      </c>
      <c r="AH17" s="350" t="s">
        <v>662</v>
      </c>
      <c r="AI17" s="350">
        <v>0</v>
      </c>
      <c r="AJ17" s="350">
        <v>17</v>
      </c>
      <c r="AK17" s="350">
        <v>7</v>
      </c>
      <c r="AL17" s="350">
        <v>18</v>
      </c>
    </row>
    <row r="18" spans="1:38" s="349" customFormat="1" ht="14" customHeight="1">
      <c r="A18" s="357">
        <v>68</v>
      </c>
      <c r="B18" s="357">
        <v>15</v>
      </c>
      <c r="C18" s="356" t="s">
        <v>679</v>
      </c>
      <c r="D18" s="356" t="s">
        <v>333</v>
      </c>
      <c r="E18" s="355" t="s">
        <v>678</v>
      </c>
      <c r="F18" s="348">
        <v>907121</v>
      </c>
      <c r="G18" s="347">
        <v>7.2033333333333331</v>
      </c>
      <c r="H18" s="354" t="s">
        <v>28</v>
      </c>
      <c r="I18" s="346">
        <v>0.28883333333333333</v>
      </c>
      <c r="J18" s="354" t="s">
        <v>660</v>
      </c>
      <c r="K18" s="353">
        <v>1.8499723270440249</v>
      </c>
      <c r="L18" s="319" t="s">
        <v>28</v>
      </c>
      <c r="M18" s="352">
        <v>14.86270379904829</v>
      </c>
      <c r="N18" s="324" t="s">
        <v>41</v>
      </c>
      <c r="O18" s="345">
        <v>73.333333333333329</v>
      </c>
      <c r="P18" s="354" t="s">
        <v>28</v>
      </c>
      <c r="Q18" s="351">
        <v>15</v>
      </c>
      <c r="R18" s="351">
        <v>12</v>
      </c>
      <c r="S18" s="351">
        <v>12</v>
      </c>
      <c r="T18" s="351">
        <v>18</v>
      </c>
      <c r="U18" s="351">
        <v>12</v>
      </c>
      <c r="V18" s="351">
        <v>18</v>
      </c>
      <c r="W18" s="350" t="s">
        <v>39</v>
      </c>
      <c r="X18" s="350">
        <v>50</v>
      </c>
      <c r="Y18" s="350" t="s">
        <v>35</v>
      </c>
      <c r="Z18" s="350">
        <v>50</v>
      </c>
      <c r="AA18" s="350">
        <v>18.5</v>
      </c>
      <c r="AB18" s="350">
        <v>11.5</v>
      </c>
      <c r="AC18" s="350">
        <v>13</v>
      </c>
      <c r="AD18" s="350" t="s">
        <v>664</v>
      </c>
      <c r="AE18" s="350">
        <v>50</v>
      </c>
      <c r="AF18" s="350" t="s">
        <v>665</v>
      </c>
      <c r="AG18" s="350">
        <v>50</v>
      </c>
      <c r="AH18" s="350" t="s">
        <v>662</v>
      </c>
      <c r="AI18" s="350">
        <v>0</v>
      </c>
      <c r="AJ18" s="350">
        <v>17</v>
      </c>
      <c r="AK18" s="350">
        <v>7</v>
      </c>
      <c r="AL18" s="350">
        <v>18</v>
      </c>
    </row>
    <row r="19" spans="1:38" s="349" customFormat="1" ht="14" customHeight="1">
      <c r="A19" s="357">
        <v>68</v>
      </c>
      <c r="B19" s="357">
        <v>16</v>
      </c>
      <c r="C19" s="356" t="s">
        <v>680</v>
      </c>
      <c r="D19" s="356" t="s">
        <v>333</v>
      </c>
      <c r="E19" s="355" t="s">
        <v>678</v>
      </c>
      <c r="F19" s="348">
        <v>907401</v>
      </c>
      <c r="G19" s="347">
        <v>7.13</v>
      </c>
      <c r="H19" s="354" t="s">
        <v>28</v>
      </c>
      <c r="I19" s="353">
        <v>0</v>
      </c>
      <c r="J19" s="354" t="s">
        <v>660</v>
      </c>
      <c r="K19" s="353">
        <v>1.5351647798742136</v>
      </c>
      <c r="L19" s="319" t="s">
        <v>41</v>
      </c>
      <c r="M19" s="352">
        <v>20.986426398315007</v>
      </c>
      <c r="N19" s="324" t="s">
        <v>28</v>
      </c>
      <c r="O19" s="352">
        <v>10</v>
      </c>
      <c r="P19" s="354" t="s">
        <v>37</v>
      </c>
      <c r="Q19" s="351">
        <v>15</v>
      </c>
      <c r="R19" s="351">
        <v>9</v>
      </c>
      <c r="S19" s="351">
        <v>15</v>
      </c>
      <c r="T19" s="351">
        <v>18</v>
      </c>
      <c r="U19" s="351">
        <v>9</v>
      </c>
      <c r="V19" s="351">
        <v>24</v>
      </c>
      <c r="W19" s="350" t="s">
        <v>39</v>
      </c>
      <c r="X19" s="350">
        <v>50</v>
      </c>
      <c r="Y19" s="350" t="s">
        <v>35</v>
      </c>
      <c r="Z19" s="350">
        <v>50</v>
      </c>
      <c r="AA19" s="350">
        <v>18.5</v>
      </c>
      <c r="AB19" s="350">
        <v>11.5</v>
      </c>
      <c r="AC19" s="350">
        <v>13</v>
      </c>
      <c r="AD19" s="350" t="s">
        <v>664</v>
      </c>
      <c r="AE19" s="350">
        <v>50</v>
      </c>
      <c r="AF19" s="350" t="s">
        <v>665</v>
      </c>
      <c r="AG19" s="350">
        <v>50</v>
      </c>
      <c r="AH19" s="350" t="s">
        <v>662</v>
      </c>
      <c r="AI19" s="350">
        <v>0</v>
      </c>
      <c r="AJ19" s="350">
        <v>17</v>
      </c>
      <c r="AK19" s="350">
        <v>7</v>
      </c>
      <c r="AL19" s="350">
        <v>18</v>
      </c>
    </row>
    <row r="20" spans="1:38" s="349" customFormat="1" ht="14" customHeight="1">
      <c r="A20" s="357">
        <v>68</v>
      </c>
      <c r="B20" s="357">
        <v>17</v>
      </c>
      <c r="C20" s="356" t="s">
        <v>681</v>
      </c>
      <c r="D20" s="356" t="s">
        <v>333</v>
      </c>
      <c r="E20" s="355" t="s">
        <v>678</v>
      </c>
      <c r="F20" s="348">
        <v>907113</v>
      </c>
      <c r="G20" s="347">
        <v>7.22</v>
      </c>
      <c r="H20" s="354" t="s">
        <v>28</v>
      </c>
      <c r="I20" s="353">
        <v>0.31410000000000005</v>
      </c>
      <c r="J20" s="354" t="s">
        <v>660</v>
      </c>
      <c r="K20" s="353">
        <v>0.59074213836478062</v>
      </c>
      <c r="L20" s="319" t="s">
        <v>41</v>
      </c>
      <c r="M20" s="352">
        <v>15.837818862625795</v>
      </c>
      <c r="N20" s="324" t="s">
        <v>41</v>
      </c>
      <c r="O20" s="352">
        <v>59</v>
      </c>
      <c r="P20" s="354" t="s">
        <v>41</v>
      </c>
      <c r="Q20" s="351">
        <v>18</v>
      </c>
      <c r="R20" s="351">
        <v>9</v>
      </c>
      <c r="S20" s="351">
        <v>15</v>
      </c>
      <c r="T20" s="351">
        <v>24</v>
      </c>
      <c r="U20" s="351">
        <v>9</v>
      </c>
      <c r="V20" s="351">
        <v>24</v>
      </c>
      <c r="W20" s="350" t="s">
        <v>39</v>
      </c>
      <c r="X20" s="350">
        <v>50</v>
      </c>
      <c r="Y20" s="350" t="s">
        <v>35</v>
      </c>
      <c r="Z20" s="350">
        <v>50</v>
      </c>
      <c r="AA20" s="350">
        <v>18.5</v>
      </c>
      <c r="AB20" s="350">
        <v>11.5</v>
      </c>
      <c r="AC20" s="350">
        <v>13</v>
      </c>
      <c r="AD20" s="350" t="s">
        <v>664</v>
      </c>
      <c r="AE20" s="350">
        <v>50</v>
      </c>
      <c r="AF20" s="350" t="s">
        <v>665</v>
      </c>
      <c r="AG20" s="350">
        <v>50</v>
      </c>
      <c r="AH20" s="350" t="s">
        <v>662</v>
      </c>
      <c r="AI20" s="350">
        <v>0</v>
      </c>
      <c r="AJ20" s="350">
        <v>17</v>
      </c>
      <c r="AK20" s="350">
        <v>7</v>
      </c>
      <c r="AL20" s="350">
        <v>18</v>
      </c>
    </row>
    <row r="21" spans="1:38" s="349" customFormat="1" ht="14" customHeight="1">
      <c r="A21" s="357">
        <v>68</v>
      </c>
      <c r="B21" s="357">
        <v>18</v>
      </c>
      <c r="C21" s="356" t="s">
        <v>682</v>
      </c>
      <c r="D21" s="356" t="s">
        <v>333</v>
      </c>
      <c r="E21" s="355" t="s">
        <v>678</v>
      </c>
      <c r="F21" s="348">
        <v>907413</v>
      </c>
      <c r="G21" s="347">
        <v>7.25</v>
      </c>
      <c r="H21" s="354" t="s">
        <v>28</v>
      </c>
      <c r="I21" s="353">
        <v>0.29630000000000001</v>
      </c>
      <c r="J21" s="354" t="s">
        <v>660</v>
      </c>
      <c r="K21" s="353">
        <v>1.3849157232704399</v>
      </c>
      <c r="L21" s="319" t="s">
        <v>41</v>
      </c>
      <c r="M21" s="352">
        <v>21.044933302129653</v>
      </c>
      <c r="N21" s="324" t="s">
        <v>28</v>
      </c>
      <c r="O21" s="352">
        <v>50</v>
      </c>
      <c r="P21" s="354" t="s">
        <v>41</v>
      </c>
      <c r="Q21" s="351">
        <v>15</v>
      </c>
      <c r="R21" s="351">
        <v>9</v>
      </c>
      <c r="S21" s="351">
        <v>15</v>
      </c>
      <c r="T21" s="351">
        <v>18</v>
      </c>
      <c r="U21" s="351">
        <v>9</v>
      </c>
      <c r="V21" s="351">
        <v>24</v>
      </c>
      <c r="W21" s="350" t="s">
        <v>39</v>
      </c>
      <c r="X21" s="350">
        <v>50</v>
      </c>
      <c r="Y21" s="350" t="s">
        <v>35</v>
      </c>
      <c r="Z21" s="350">
        <v>50</v>
      </c>
      <c r="AA21" s="350">
        <v>18.5</v>
      </c>
      <c r="AB21" s="350">
        <v>11.5</v>
      </c>
      <c r="AC21" s="350">
        <v>13</v>
      </c>
      <c r="AD21" s="350" t="s">
        <v>664</v>
      </c>
      <c r="AE21" s="350">
        <v>50</v>
      </c>
      <c r="AF21" s="350" t="s">
        <v>665</v>
      </c>
      <c r="AG21" s="350">
        <v>50</v>
      </c>
      <c r="AH21" s="350" t="s">
        <v>662</v>
      </c>
      <c r="AI21" s="350">
        <v>0</v>
      </c>
      <c r="AJ21" s="350">
        <v>17</v>
      </c>
      <c r="AK21" s="350">
        <v>7</v>
      </c>
      <c r="AL21" s="350">
        <v>18</v>
      </c>
    </row>
    <row r="22" spans="1:38" s="349" customFormat="1" ht="14" customHeight="1">
      <c r="A22" s="357">
        <v>68</v>
      </c>
      <c r="B22" s="357">
        <v>19</v>
      </c>
      <c r="C22" s="356" t="s">
        <v>683</v>
      </c>
      <c r="D22" s="356" t="s">
        <v>333</v>
      </c>
      <c r="E22" s="355" t="s">
        <v>678</v>
      </c>
      <c r="F22" s="348">
        <v>907117</v>
      </c>
      <c r="G22" s="347">
        <v>7.4</v>
      </c>
      <c r="H22" s="354" t="s">
        <v>40</v>
      </c>
      <c r="I22" s="353">
        <v>0.2321</v>
      </c>
      <c r="J22" s="354" t="s">
        <v>660</v>
      </c>
      <c r="K22" s="353">
        <v>1.6424855345911955</v>
      </c>
      <c r="L22" s="319" t="s">
        <v>28</v>
      </c>
      <c r="M22" s="352">
        <v>25.19892347296981</v>
      </c>
      <c r="N22" s="324" t="s">
        <v>28</v>
      </c>
      <c r="O22" s="352">
        <v>52</v>
      </c>
      <c r="P22" s="354" t="s">
        <v>41</v>
      </c>
      <c r="Q22" s="351">
        <v>15</v>
      </c>
      <c r="R22" s="351">
        <v>9</v>
      </c>
      <c r="S22" s="351">
        <v>15</v>
      </c>
      <c r="T22" s="351">
        <v>18</v>
      </c>
      <c r="U22" s="351">
        <v>9</v>
      </c>
      <c r="V22" s="351">
        <v>24</v>
      </c>
      <c r="W22" s="350" t="s">
        <v>39</v>
      </c>
      <c r="X22" s="350">
        <v>50</v>
      </c>
      <c r="Y22" s="350" t="s">
        <v>35</v>
      </c>
      <c r="Z22" s="350">
        <v>50</v>
      </c>
      <c r="AA22" s="350">
        <v>18.5</v>
      </c>
      <c r="AB22" s="350">
        <v>11.5</v>
      </c>
      <c r="AC22" s="350">
        <v>13</v>
      </c>
      <c r="AD22" s="350" t="s">
        <v>664</v>
      </c>
      <c r="AE22" s="350">
        <v>50</v>
      </c>
      <c r="AF22" s="350" t="s">
        <v>665</v>
      </c>
      <c r="AG22" s="350">
        <v>50</v>
      </c>
      <c r="AH22" s="350" t="s">
        <v>662</v>
      </c>
      <c r="AI22" s="350">
        <v>0</v>
      </c>
      <c r="AJ22" s="350">
        <v>17</v>
      </c>
      <c r="AK22" s="350">
        <v>7</v>
      </c>
      <c r="AL22" s="350">
        <v>18</v>
      </c>
    </row>
    <row r="23" spans="1:38" s="349" customFormat="1" ht="14" customHeight="1">
      <c r="A23" s="357">
        <v>68</v>
      </c>
      <c r="B23" s="357">
        <v>20</v>
      </c>
      <c r="C23" s="356" t="s">
        <v>684</v>
      </c>
      <c r="D23" s="356" t="s">
        <v>378</v>
      </c>
      <c r="E23" s="355" t="s">
        <v>685</v>
      </c>
      <c r="F23" s="348">
        <v>927122</v>
      </c>
      <c r="G23" s="347">
        <v>7.53</v>
      </c>
      <c r="H23" s="354" t="s">
        <v>40</v>
      </c>
      <c r="I23" s="353">
        <v>0.2293</v>
      </c>
      <c r="J23" s="354" t="s">
        <v>660</v>
      </c>
      <c r="K23" s="353">
        <v>0.99856100628930955</v>
      </c>
      <c r="L23" s="319" t="s">
        <v>41</v>
      </c>
      <c r="M23" s="352">
        <v>31.459162181137376</v>
      </c>
      <c r="N23" s="324" t="s">
        <v>28</v>
      </c>
      <c r="O23" s="352">
        <v>57</v>
      </c>
      <c r="P23" s="354" t="s">
        <v>41</v>
      </c>
      <c r="Q23" s="351">
        <v>18</v>
      </c>
      <c r="R23" s="351">
        <v>6</v>
      </c>
      <c r="S23" s="351">
        <v>15</v>
      </c>
      <c r="T23" s="351">
        <v>24</v>
      </c>
      <c r="U23" s="351">
        <v>6</v>
      </c>
      <c r="V23" s="351">
        <v>24</v>
      </c>
      <c r="W23" s="350" t="s">
        <v>39</v>
      </c>
      <c r="X23" s="350">
        <v>50</v>
      </c>
      <c r="Y23" s="350" t="s">
        <v>35</v>
      </c>
      <c r="Z23" s="350">
        <v>50</v>
      </c>
      <c r="AA23" s="350">
        <v>18.5</v>
      </c>
      <c r="AB23" s="350">
        <v>11.5</v>
      </c>
      <c r="AC23" s="350">
        <v>13</v>
      </c>
      <c r="AD23" s="350" t="s">
        <v>664</v>
      </c>
      <c r="AE23" s="350">
        <v>50</v>
      </c>
      <c r="AF23" s="350" t="s">
        <v>665</v>
      </c>
      <c r="AG23" s="350">
        <v>50</v>
      </c>
      <c r="AH23" s="350" t="s">
        <v>662</v>
      </c>
      <c r="AI23" s="350">
        <v>0</v>
      </c>
      <c r="AJ23" s="350">
        <v>17</v>
      </c>
      <c r="AK23" s="350">
        <v>7</v>
      </c>
      <c r="AL23" s="350">
        <v>18</v>
      </c>
    </row>
    <row r="24" spans="1:38" s="349" customFormat="1" ht="14" customHeight="1">
      <c r="A24" s="357">
        <v>68</v>
      </c>
      <c r="B24" s="357">
        <v>21</v>
      </c>
      <c r="C24" s="356" t="s">
        <v>686</v>
      </c>
      <c r="D24" s="356" t="s">
        <v>378</v>
      </c>
      <c r="E24" s="355" t="s">
        <v>685</v>
      </c>
      <c r="F24" s="348">
        <v>927123</v>
      </c>
      <c r="G24" s="347">
        <v>7.95</v>
      </c>
      <c r="H24" s="354" t="s">
        <v>40</v>
      </c>
      <c r="I24" s="353">
        <v>0.20130000000000001</v>
      </c>
      <c r="J24" s="354" t="s">
        <v>660</v>
      </c>
      <c r="K24" s="353">
        <v>0.86977610062893185</v>
      </c>
      <c r="L24" s="319" t="s">
        <v>41</v>
      </c>
      <c r="M24" s="352">
        <v>26.837116779780008</v>
      </c>
      <c r="N24" s="324" t="s">
        <v>28</v>
      </c>
      <c r="O24" s="352">
        <v>260</v>
      </c>
      <c r="P24" s="354" t="s">
        <v>30</v>
      </c>
      <c r="Q24" s="351">
        <v>18</v>
      </c>
      <c r="R24" s="351">
        <v>9</v>
      </c>
      <c r="S24" s="351">
        <v>10</v>
      </c>
      <c r="T24" s="351">
        <v>24</v>
      </c>
      <c r="U24" s="351">
        <v>9</v>
      </c>
      <c r="V24" s="351">
        <v>12</v>
      </c>
      <c r="W24" s="350" t="s">
        <v>39</v>
      </c>
      <c r="X24" s="350">
        <v>50</v>
      </c>
      <c r="Y24" s="350" t="s">
        <v>35</v>
      </c>
      <c r="Z24" s="350">
        <v>50</v>
      </c>
      <c r="AA24" s="350">
        <v>18.5</v>
      </c>
      <c r="AB24" s="350">
        <v>11.5</v>
      </c>
      <c r="AC24" s="350">
        <v>13</v>
      </c>
      <c r="AD24" s="350" t="s">
        <v>664</v>
      </c>
      <c r="AE24" s="350">
        <v>50</v>
      </c>
      <c r="AF24" s="350" t="s">
        <v>665</v>
      </c>
      <c r="AG24" s="350">
        <v>50</v>
      </c>
      <c r="AH24" s="350" t="s">
        <v>662</v>
      </c>
      <c r="AI24" s="350">
        <v>0</v>
      </c>
      <c r="AJ24" s="350">
        <v>17</v>
      </c>
      <c r="AK24" s="350">
        <v>7</v>
      </c>
      <c r="AL24" s="350">
        <v>18</v>
      </c>
    </row>
    <row r="25" spans="1:38" s="349" customFormat="1" ht="14" customHeight="1">
      <c r="A25" s="357">
        <v>68</v>
      </c>
      <c r="B25" s="357">
        <v>22</v>
      </c>
      <c r="C25" s="356" t="s">
        <v>687</v>
      </c>
      <c r="D25" s="356" t="s">
        <v>378</v>
      </c>
      <c r="E25" s="355" t="s">
        <v>685</v>
      </c>
      <c r="F25" s="348">
        <v>927402</v>
      </c>
      <c r="G25" s="347">
        <v>7.6</v>
      </c>
      <c r="H25" s="354" t="s">
        <v>40</v>
      </c>
      <c r="I25" s="353">
        <v>0.1792</v>
      </c>
      <c r="J25" s="354" t="s">
        <v>660</v>
      </c>
      <c r="K25" s="353">
        <v>1.3205232704402519</v>
      </c>
      <c r="L25" s="319" t="s">
        <v>41</v>
      </c>
      <c r="M25" s="352">
        <v>15.837818862625795</v>
      </c>
      <c r="N25" s="324" t="s">
        <v>41</v>
      </c>
      <c r="O25" s="352">
        <v>130</v>
      </c>
      <c r="P25" s="354" t="s">
        <v>30</v>
      </c>
      <c r="Q25" s="351">
        <v>15</v>
      </c>
      <c r="R25" s="351">
        <v>9</v>
      </c>
      <c r="S25" s="351">
        <v>10</v>
      </c>
      <c r="T25" s="351">
        <v>18</v>
      </c>
      <c r="U25" s="351">
        <v>9</v>
      </c>
      <c r="V25" s="351">
        <v>12</v>
      </c>
      <c r="W25" s="350" t="s">
        <v>39</v>
      </c>
      <c r="X25" s="350">
        <v>50</v>
      </c>
      <c r="Y25" s="350" t="s">
        <v>45</v>
      </c>
      <c r="Z25" s="350">
        <v>50</v>
      </c>
      <c r="AA25" s="350">
        <v>18</v>
      </c>
      <c r="AB25" s="350">
        <v>12</v>
      </c>
      <c r="AC25" s="350">
        <v>14</v>
      </c>
      <c r="AD25" s="350" t="s">
        <v>39</v>
      </c>
      <c r="AE25" s="350">
        <v>50</v>
      </c>
      <c r="AF25" s="350" t="s">
        <v>661</v>
      </c>
      <c r="AG25" s="350">
        <v>50</v>
      </c>
      <c r="AH25" s="350" t="s">
        <v>662</v>
      </c>
      <c r="AI25" s="350">
        <v>30</v>
      </c>
      <c r="AJ25" s="350">
        <v>21.3</v>
      </c>
      <c r="AK25" s="350">
        <v>11.5</v>
      </c>
      <c r="AL25" s="350">
        <v>21.5</v>
      </c>
    </row>
    <row r="26" spans="1:38" s="349" customFormat="1" ht="14" customHeight="1">
      <c r="A26" s="357">
        <v>68</v>
      </c>
      <c r="B26" s="357">
        <v>23</v>
      </c>
      <c r="C26" s="356" t="s">
        <v>688</v>
      </c>
      <c r="D26" s="356" t="s">
        <v>378</v>
      </c>
      <c r="E26" s="355" t="s">
        <v>685</v>
      </c>
      <c r="F26" s="348">
        <v>927116</v>
      </c>
      <c r="G26" s="347">
        <v>7.63</v>
      </c>
      <c r="H26" s="354" t="s">
        <v>40</v>
      </c>
      <c r="I26" s="353">
        <v>0.15630000000000002</v>
      </c>
      <c r="J26" s="354" t="s">
        <v>660</v>
      </c>
      <c r="K26" s="353">
        <v>0.54781383647798843</v>
      </c>
      <c r="L26" s="319" t="s">
        <v>41</v>
      </c>
      <c r="M26" s="352">
        <v>27.422185817926518</v>
      </c>
      <c r="N26" s="324" t="s">
        <v>28</v>
      </c>
      <c r="O26" s="352">
        <v>250</v>
      </c>
      <c r="P26" s="354" t="s">
        <v>30</v>
      </c>
      <c r="Q26" s="351">
        <v>18</v>
      </c>
      <c r="R26" s="351">
        <v>9</v>
      </c>
      <c r="S26" s="351">
        <v>10</v>
      </c>
      <c r="T26" s="351">
        <v>24</v>
      </c>
      <c r="U26" s="351">
        <v>9</v>
      </c>
      <c r="V26" s="351">
        <v>12</v>
      </c>
      <c r="W26" s="350" t="s">
        <v>39</v>
      </c>
      <c r="X26" s="350">
        <v>50</v>
      </c>
      <c r="Y26" s="350" t="s">
        <v>35</v>
      </c>
      <c r="Z26" s="350">
        <v>50</v>
      </c>
      <c r="AA26" s="350">
        <v>18.5</v>
      </c>
      <c r="AB26" s="350">
        <v>11.5</v>
      </c>
      <c r="AC26" s="350">
        <v>13</v>
      </c>
      <c r="AD26" s="350" t="s">
        <v>664</v>
      </c>
      <c r="AE26" s="350">
        <v>50</v>
      </c>
      <c r="AF26" s="350" t="s">
        <v>665</v>
      </c>
      <c r="AG26" s="350">
        <v>50</v>
      </c>
      <c r="AH26" s="350" t="s">
        <v>662</v>
      </c>
      <c r="AI26" s="350">
        <v>0</v>
      </c>
      <c r="AJ26" s="350">
        <v>17</v>
      </c>
      <c r="AK26" s="350">
        <v>7</v>
      </c>
      <c r="AL26" s="350">
        <v>18</v>
      </c>
    </row>
    <row r="27" spans="1:38" s="349" customFormat="1" ht="14" customHeight="1">
      <c r="A27" s="357">
        <v>68</v>
      </c>
      <c r="B27" s="357">
        <v>24</v>
      </c>
      <c r="C27" s="356" t="s">
        <v>689</v>
      </c>
      <c r="D27" s="356" t="s">
        <v>402</v>
      </c>
      <c r="E27" s="355" t="s">
        <v>401</v>
      </c>
      <c r="F27" s="348">
        <v>900105</v>
      </c>
      <c r="G27" s="347">
        <v>5.96</v>
      </c>
      <c r="H27" s="354" t="s">
        <v>28</v>
      </c>
      <c r="I27" s="353">
        <v>2.402E-2</v>
      </c>
      <c r="J27" s="354" t="s">
        <v>660</v>
      </c>
      <c r="K27" s="353">
        <v>1.0844176100628933</v>
      </c>
      <c r="L27" s="319" t="s">
        <v>41</v>
      </c>
      <c r="M27" s="352">
        <v>15.837818862625795</v>
      </c>
      <c r="N27" s="324" t="s">
        <v>41</v>
      </c>
      <c r="O27" s="352">
        <v>58</v>
      </c>
      <c r="P27" s="354" t="s">
        <v>41</v>
      </c>
      <c r="Q27" s="351">
        <v>15</v>
      </c>
      <c r="R27" s="351">
        <v>9</v>
      </c>
      <c r="S27" s="351">
        <v>15</v>
      </c>
      <c r="T27" s="351">
        <v>18</v>
      </c>
      <c r="U27" s="351">
        <v>9</v>
      </c>
      <c r="V27" s="351">
        <v>24</v>
      </c>
      <c r="W27" s="350" t="s">
        <v>39</v>
      </c>
      <c r="X27" s="350">
        <v>50</v>
      </c>
      <c r="Y27" s="350" t="s">
        <v>35</v>
      </c>
      <c r="Z27" s="350">
        <v>50</v>
      </c>
      <c r="AA27" s="350">
        <v>18.5</v>
      </c>
      <c r="AB27" s="350">
        <v>11.5</v>
      </c>
      <c r="AC27" s="350">
        <v>13</v>
      </c>
      <c r="AD27" s="350" t="s">
        <v>664</v>
      </c>
      <c r="AE27" s="350">
        <v>50</v>
      </c>
      <c r="AF27" s="350" t="s">
        <v>665</v>
      </c>
      <c r="AG27" s="350">
        <v>50</v>
      </c>
      <c r="AH27" s="350" t="s">
        <v>662</v>
      </c>
      <c r="AI27" s="350">
        <v>0</v>
      </c>
      <c r="AJ27" s="350">
        <v>17</v>
      </c>
      <c r="AK27" s="350">
        <v>7</v>
      </c>
      <c r="AL27" s="350">
        <v>18</v>
      </c>
    </row>
    <row r="28" spans="1:38" s="349" customFormat="1" ht="14" customHeight="1">
      <c r="A28" s="357">
        <v>68</v>
      </c>
      <c r="B28" s="357">
        <v>25</v>
      </c>
      <c r="C28" s="356" t="s">
        <v>690</v>
      </c>
      <c r="D28" s="356" t="s">
        <v>402</v>
      </c>
      <c r="E28" s="355" t="s">
        <v>401</v>
      </c>
      <c r="F28" s="348">
        <v>900104</v>
      </c>
      <c r="G28" s="347">
        <v>6.69</v>
      </c>
      <c r="H28" s="354" t="s">
        <v>28</v>
      </c>
      <c r="I28" s="353">
        <v>0.12590000000000001</v>
      </c>
      <c r="J28" s="354" t="s">
        <v>660</v>
      </c>
      <c r="K28" s="353">
        <v>2.0288402515723272</v>
      </c>
      <c r="L28" s="319" t="s">
        <v>28</v>
      </c>
      <c r="M28" s="352">
        <v>33.389890007020831</v>
      </c>
      <c r="N28" s="324" t="s">
        <v>28</v>
      </c>
      <c r="O28" s="352">
        <v>100</v>
      </c>
      <c r="P28" s="354" t="s">
        <v>29</v>
      </c>
      <c r="Q28" s="351">
        <v>12</v>
      </c>
      <c r="R28" s="351">
        <v>6</v>
      </c>
      <c r="S28" s="351">
        <v>10</v>
      </c>
      <c r="T28" s="351">
        <v>15</v>
      </c>
      <c r="U28" s="351">
        <v>6</v>
      </c>
      <c r="V28" s="351">
        <v>12</v>
      </c>
      <c r="W28" s="350" t="s">
        <v>39</v>
      </c>
      <c r="X28" s="350">
        <v>50</v>
      </c>
      <c r="Y28" s="350" t="s">
        <v>35</v>
      </c>
      <c r="Z28" s="350">
        <v>50</v>
      </c>
      <c r="AA28" s="350">
        <v>18.5</v>
      </c>
      <c r="AB28" s="350">
        <v>11.5</v>
      </c>
      <c r="AC28" s="350">
        <v>13</v>
      </c>
      <c r="AD28" s="350" t="s">
        <v>664</v>
      </c>
      <c r="AE28" s="350">
        <v>50</v>
      </c>
      <c r="AF28" s="350" t="s">
        <v>665</v>
      </c>
      <c r="AG28" s="350">
        <v>50</v>
      </c>
      <c r="AH28" s="350" t="s">
        <v>662</v>
      </c>
      <c r="AI28" s="350">
        <v>0</v>
      </c>
      <c r="AJ28" s="350">
        <v>17</v>
      </c>
      <c r="AK28" s="350">
        <v>7</v>
      </c>
      <c r="AL28" s="350">
        <v>18</v>
      </c>
    </row>
    <row r="29" spans="1:38" s="349" customFormat="1" ht="14" customHeight="1">
      <c r="A29" s="357">
        <v>68</v>
      </c>
      <c r="B29" s="357">
        <v>26</v>
      </c>
      <c r="C29" s="356" t="s">
        <v>691</v>
      </c>
      <c r="D29" s="356" t="s">
        <v>402</v>
      </c>
      <c r="E29" s="355" t="s">
        <v>401</v>
      </c>
      <c r="F29" s="348">
        <v>900107</v>
      </c>
      <c r="G29" s="347">
        <v>6.23</v>
      </c>
      <c r="H29" s="354" t="s">
        <v>28</v>
      </c>
      <c r="I29" s="353">
        <v>2.1520000000000001E-2</v>
      </c>
      <c r="J29" s="354" t="s">
        <v>660</v>
      </c>
      <c r="K29" s="353">
        <v>0.99856100628930955</v>
      </c>
      <c r="L29" s="319" t="s">
        <v>41</v>
      </c>
      <c r="M29" s="352">
        <v>19.933302129651299</v>
      </c>
      <c r="N29" s="324" t="s">
        <v>41</v>
      </c>
      <c r="O29" s="352">
        <v>40</v>
      </c>
      <c r="P29" s="354" t="s">
        <v>41</v>
      </c>
      <c r="Q29" s="351">
        <v>18</v>
      </c>
      <c r="R29" s="351">
        <v>9</v>
      </c>
      <c r="S29" s="351">
        <v>15</v>
      </c>
      <c r="T29" s="351">
        <v>24</v>
      </c>
      <c r="U29" s="351">
        <v>9</v>
      </c>
      <c r="V29" s="351">
        <v>24</v>
      </c>
      <c r="W29" s="350" t="s">
        <v>39</v>
      </c>
      <c r="X29" s="350">
        <v>50</v>
      </c>
      <c r="Y29" s="350" t="s">
        <v>35</v>
      </c>
      <c r="Z29" s="350">
        <v>50</v>
      </c>
      <c r="AA29" s="350">
        <v>18.5</v>
      </c>
      <c r="AB29" s="350">
        <v>11.5</v>
      </c>
      <c r="AC29" s="350">
        <v>13</v>
      </c>
      <c r="AD29" s="350" t="s">
        <v>664</v>
      </c>
      <c r="AE29" s="350">
        <v>50</v>
      </c>
      <c r="AF29" s="350" t="s">
        <v>665</v>
      </c>
      <c r="AG29" s="350">
        <v>50</v>
      </c>
      <c r="AH29" s="350" t="s">
        <v>662</v>
      </c>
      <c r="AI29" s="350">
        <v>0</v>
      </c>
      <c r="AJ29" s="350">
        <v>17</v>
      </c>
      <c r="AK29" s="350">
        <v>7</v>
      </c>
      <c r="AL29" s="350">
        <v>18</v>
      </c>
    </row>
    <row r="30" spans="1:38" s="349" customFormat="1" ht="14" customHeight="1">
      <c r="A30" s="357">
        <v>68</v>
      </c>
      <c r="B30" s="357">
        <v>27</v>
      </c>
      <c r="C30" s="356" t="s">
        <v>692</v>
      </c>
      <c r="D30" s="356" t="s">
        <v>402</v>
      </c>
      <c r="E30" s="355" t="s">
        <v>401</v>
      </c>
      <c r="F30" s="348">
        <v>900113</v>
      </c>
      <c r="G30" s="347">
        <v>3.57</v>
      </c>
      <c r="H30" s="354" t="s">
        <v>693</v>
      </c>
      <c r="I30" s="353">
        <v>1.7520000000000001E-2</v>
      </c>
      <c r="J30" s="354" t="s">
        <v>660</v>
      </c>
      <c r="K30" s="353">
        <v>2.2434817610062896</v>
      </c>
      <c r="L30" s="319" t="s">
        <v>28</v>
      </c>
      <c r="M30" s="352">
        <v>15.428270535923241</v>
      </c>
      <c r="N30" s="324" t="s">
        <v>41</v>
      </c>
      <c r="O30" s="352">
        <v>58</v>
      </c>
      <c r="P30" s="354" t="s">
        <v>41</v>
      </c>
      <c r="Q30" s="351">
        <v>12</v>
      </c>
      <c r="R30" s="351">
        <v>9</v>
      </c>
      <c r="S30" s="351">
        <v>15</v>
      </c>
      <c r="T30" s="351">
        <v>15</v>
      </c>
      <c r="U30" s="351">
        <v>9</v>
      </c>
      <c r="V30" s="351">
        <v>24</v>
      </c>
      <c r="W30" s="350" t="s">
        <v>39</v>
      </c>
      <c r="X30" s="350">
        <v>50</v>
      </c>
      <c r="Y30" s="350" t="s">
        <v>35</v>
      </c>
      <c r="Z30" s="350">
        <v>50</v>
      </c>
      <c r="AA30" s="350">
        <v>18.5</v>
      </c>
      <c r="AB30" s="350">
        <v>11.5</v>
      </c>
      <c r="AC30" s="350">
        <v>13</v>
      </c>
      <c r="AD30" s="350" t="s">
        <v>664</v>
      </c>
      <c r="AE30" s="350">
        <v>50</v>
      </c>
      <c r="AF30" s="350" t="s">
        <v>665</v>
      </c>
      <c r="AG30" s="350">
        <v>50</v>
      </c>
      <c r="AH30" s="350" t="s">
        <v>662</v>
      </c>
      <c r="AI30" s="350">
        <v>0</v>
      </c>
      <c r="AJ30" s="350">
        <v>17</v>
      </c>
      <c r="AK30" s="350">
        <v>7</v>
      </c>
      <c r="AL30" s="350">
        <v>18</v>
      </c>
    </row>
    <row r="31" spans="1:38" s="349" customFormat="1" ht="14" customHeight="1">
      <c r="A31" s="357">
        <v>68</v>
      </c>
      <c r="B31" s="357">
        <v>28</v>
      </c>
      <c r="C31" s="356" t="s">
        <v>694</v>
      </c>
      <c r="D31" s="356" t="s">
        <v>402</v>
      </c>
      <c r="E31" s="355" t="s">
        <v>401</v>
      </c>
      <c r="F31" s="348">
        <v>900114</v>
      </c>
      <c r="G31" s="347">
        <v>4.83</v>
      </c>
      <c r="H31" s="354" t="s">
        <v>56</v>
      </c>
      <c r="I31" s="353">
        <v>1.755E-2</v>
      </c>
      <c r="J31" s="354" t="s">
        <v>660</v>
      </c>
      <c r="K31" s="353">
        <v>1.6854138364779878</v>
      </c>
      <c r="L31" s="319" t="s">
        <v>28</v>
      </c>
      <c r="M31" s="352">
        <v>8.2319213667212754</v>
      </c>
      <c r="N31" s="324" t="s">
        <v>37</v>
      </c>
      <c r="O31" s="352">
        <v>50</v>
      </c>
      <c r="P31" s="354" t="s">
        <v>41</v>
      </c>
      <c r="Q31" s="351">
        <v>15</v>
      </c>
      <c r="R31" s="351">
        <v>12</v>
      </c>
      <c r="S31" s="351">
        <v>15</v>
      </c>
      <c r="T31" s="351">
        <v>18</v>
      </c>
      <c r="U31" s="351">
        <v>12</v>
      </c>
      <c r="V31" s="351">
        <v>24</v>
      </c>
      <c r="W31" s="350" t="s">
        <v>39</v>
      </c>
      <c r="X31" s="350">
        <v>50</v>
      </c>
      <c r="Y31" s="350" t="s">
        <v>45</v>
      </c>
      <c r="Z31" s="350">
        <v>50</v>
      </c>
      <c r="AA31" s="350">
        <v>18</v>
      </c>
      <c r="AB31" s="350">
        <v>12</v>
      </c>
      <c r="AC31" s="350">
        <v>14</v>
      </c>
      <c r="AD31" s="350" t="s">
        <v>39</v>
      </c>
      <c r="AE31" s="350">
        <v>50</v>
      </c>
      <c r="AF31" s="350" t="s">
        <v>661</v>
      </c>
      <c r="AG31" s="350">
        <v>50</v>
      </c>
      <c r="AH31" s="350" t="s">
        <v>662</v>
      </c>
      <c r="AI31" s="350">
        <v>30</v>
      </c>
      <c r="AJ31" s="350">
        <v>21.3</v>
      </c>
      <c r="AK31" s="350">
        <v>11.5</v>
      </c>
      <c r="AL31" s="350">
        <v>21.5</v>
      </c>
    </row>
    <row r="32" spans="1:38" s="349" customFormat="1" ht="14" customHeight="1">
      <c r="A32" s="357">
        <v>68</v>
      </c>
      <c r="B32" s="357">
        <v>29</v>
      </c>
      <c r="C32" s="356" t="s">
        <v>695</v>
      </c>
      <c r="D32" s="356" t="s">
        <v>402</v>
      </c>
      <c r="E32" s="355" t="s">
        <v>401</v>
      </c>
      <c r="F32" s="348">
        <v>900111</v>
      </c>
      <c r="G32" s="347">
        <v>5.91</v>
      </c>
      <c r="H32" s="354" t="s">
        <v>28</v>
      </c>
      <c r="I32" s="353">
        <v>3.7690000000000001</v>
      </c>
      <c r="J32" s="354" t="s">
        <v>696</v>
      </c>
      <c r="K32" s="353">
        <v>2.6513006289308172</v>
      </c>
      <c r="L32" s="319" t="s">
        <v>29</v>
      </c>
      <c r="M32" s="352">
        <v>2.4397378890709112</v>
      </c>
      <c r="N32" s="324" t="s">
        <v>47</v>
      </c>
      <c r="O32" s="352">
        <v>56</v>
      </c>
      <c r="P32" s="354" t="s">
        <v>41</v>
      </c>
      <c r="Q32" s="351">
        <v>12</v>
      </c>
      <c r="R32" s="351">
        <v>12</v>
      </c>
      <c r="S32" s="351">
        <v>15</v>
      </c>
      <c r="T32" s="351">
        <v>15</v>
      </c>
      <c r="U32" s="351">
        <v>12</v>
      </c>
      <c r="V32" s="351">
        <v>24</v>
      </c>
      <c r="W32" s="350" t="s">
        <v>39</v>
      </c>
      <c r="X32" s="350">
        <v>50</v>
      </c>
      <c r="Y32" s="350" t="s">
        <v>35</v>
      </c>
      <c r="Z32" s="350">
        <v>50</v>
      </c>
      <c r="AA32" s="350">
        <v>18.5</v>
      </c>
      <c r="AB32" s="350">
        <v>11.5</v>
      </c>
      <c r="AC32" s="350">
        <v>13</v>
      </c>
      <c r="AD32" s="350" t="s">
        <v>664</v>
      </c>
      <c r="AE32" s="350">
        <v>50</v>
      </c>
      <c r="AF32" s="350" t="s">
        <v>665</v>
      </c>
      <c r="AG32" s="350">
        <v>50</v>
      </c>
      <c r="AH32" s="350" t="s">
        <v>662</v>
      </c>
      <c r="AI32" s="350">
        <v>0</v>
      </c>
      <c r="AJ32" s="350">
        <v>17</v>
      </c>
      <c r="AK32" s="350">
        <v>7</v>
      </c>
      <c r="AL32" s="350">
        <v>18</v>
      </c>
    </row>
    <row r="33" spans="1:38" s="349" customFormat="1" ht="14" customHeight="1">
      <c r="A33" s="357">
        <v>68</v>
      </c>
      <c r="B33" s="357">
        <v>30</v>
      </c>
      <c r="C33" s="356" t="s">
        <v>697</v>
      </c>
      <c r="D33" s="356" t="s">
        <v>402</v>
      </c>
      <c r="E33" s="355" t="s">
        <v>401</v>
      </c>
      <c r="F33" s="348">
        <v>900119</v>
      </c>
      <c r="G33" s="347">
        <v>5.7166666666666659</v>
      </c>
      <c r="H33" s="354" t="s">
        <v>28</v>
      </c>
      <c r="I33" s="346">
        <v>5.0353333333333333E-2</v>
      </c>
      <c r="J33" s="354" t="s">
        <v>660</v>
      </c>
      <c r="K33" s="353">
        <v>0.70807949685534677</v>
      </c>
      <c r="L33" s="319" t="s">
        <v>41</v>
      </c>
      <c r="M33" s="352">
        <v>11.13776425618223</v>
      </c>
      <c r="N33" s="324" t="s">
        <v>41</v>
      </c>
      <c r="O33" s="352">
        <v>53.333333333333336</v>
      </c>
      <c r="P33" s="354" t="s">
        <v>41</v>
      </c>
      <c r="Q33" s="351">
        <v>18</v>
      </c>
      <c r="R33" s="351">
        <v>12</v>
      </c>
      <c r="S33" s="351">
        <v>15</v>
      </c>
      <c r="T33" s="351">
        <v>24</v>
      </c>
      <c r="U33" s="351">
        <v>12</v>
      </c>
      <c r="V33" s="351">
        <v>24</v>
      </c>
      <c r="W33" s="350" t="s">
        <v>39</v>
      </c>
      <c r="X33" s="350">
        <v>50</v>
      </c>
      <c r="Y33" s="350" t="s">
        <v>45</v>
      </c>
      <c r="Z33" s="350">
        <v>50</v>
      </c>
      <c r="AA33" s="350">
        <v>18</v>
      </c>
      <c r="AB33" s="350">
        <v>12</v>
      </c>
      <c r="AC33" s="350">
        <v>14</v>
      </c>
      <c r="AD33" s="350" t="s">
        <v>39</v>
      </c>
      <c r="AE33" s="350">
        <v>50</v>
      </c>
      <c r="AF33" s="350" t="s">
        <v>661</v>
      </c>
      <c r="AG33" s="350">
        <v>50</v>
      </c>
      <c r="AH33" s="350" t="s">
        <v>662</v>
      </c>
      <c r="AI33" s="350">
        <v>30</v>
      </c>
      <c r="AJ33" s="350">
        <v>21.3</v>
      </c>
      <c r="AK33" s="350">
        <v>11.5</v>
      </c>
      <c r="AL33" s="350">
        <v>21.5</v>
      </c>
    </row>
    <row r="34" spans="1:38" s="349" customFormat="1" ht="14" customHeight="1">
      <c r="A34" s="357">
        <v>68</v>
      </c>
      <c r="B34" s="357">
        <v>31</v>
      </c>
      <c r="C34" s="356" t="s">
        <v>698</v>
      </c>
      <c r="D34" s="356" t="s">
        <v>402</v>
      </c>
      <c r="E34" s="355" t="s">
        <v>401</v>
      </c>
      <c r="F34" s="348">
        <v>900120</v>
      </c>
      <c r="G34" s="347">
        <v>5.62</v>
      </c>
      <c r="H34" s="354" t="s">
        <v>28</v>
      </c>
      <c r="I34" s="353">
        <v>3.2990000000000005E-2</v>
      </c>
      <c r="J34" s="354" t="s">
        <v>660</v>
      </c>
      <c r="K34" s="353">
        <v>1.6854138364779878</v>
      </c>
      <c r="L34" s="319" t="s">
        <v>28</v>
      </c>
      <c r="M34" s="352">
        <v>6.18417973320852</v>
      </c>
      <c r="N34" s="324" t="s">
        <v>37</v>
      </c>
      <c r="O34" s="352">
        <v>10</v>
      </c>
      <c r="P34" s="354" t="s">
        <v>37</v>
      </c>
      <c r="Q34" s="351">
        <v>15</v>
      </c>
      <c r="R34" s="351">
        <v>12</v>
      </c>
      <c r="S34" s="351">
        <v>15</v>
      </c>
      <c r="T34" s="351">
        <v>18</v>
      </c>
      <c r="U34" s="351">
        <v>12</v>
      </c>
      <c r="V34" s="351">
        <v>24</v>
      </c>
      <c r="W34" s="350" t="s">
        <v>39</v>
      </c>
      <c r="X34" s="350">
        <v>50</v>
      </c>
      <c r="Y34" s="350" t="s">
        <v>45</v>
      </c>
      <c r="Z34" s="350">
        <v>50</v>
      </c>
      <c r="AA34" s="350">
        <v>18</v>
      </c>
      <c r="AB34" s="350">
        <v>12</v>
      </c>
      <c r="AC34" s="350">
        <v>14</v>
      </c>
      <c r="AD34" s="350" t="s">
        <v>39</v>
      </c>
      <c r="AE34" s="350">
        <v>50</v>
      </c>
      <c r="AF34" s="350" t="s">
        <v>661</v>
      </c>
      <c r="AG34" s="350">
        <v>50</v>
      </c>
      <c r="AH34" s="350" t="s">
        <v>662</v>
      </c>
      <c r="AI34" s="350">
        <v>30</v>
      </c>
      <c r="AJ34" s="350">
        <v>21.3</v>
      </c>
      <c r="AK34" s="350">
        <v>11.5</v>
      </c>
      <c r="AL34" s="350">
        <v>21.5</v>
      </c>
    </row>
    <row r="35" spans="1:38" s="349" customFormat="1" ht="14" customHeight="1">
      <c r="A35" s="357">
        <v>68</v>
      </c>
      <c r="B35" s="357">
        <v>32</v>
      </c>
      <c r="C35" s="356" t="s">
        <v>699</v>
      </c>
      <c r="D35" s="356" t="s">
        <v>700</v>
      </c>
      <c r="E35" s="355" t="s">
        <v>701</v>
      </c>
      <c r="F35" s="348">
        <v>901111</v>
      </c>
      <c r="G35" s="347">
        <v>6.64</v>
      </c>
      <c r="H35" s="354" t="s">
        <v>28</v>
      </c>
      <c r="I35" s="353">
        <v>7.8200000000000006E-2</v>
      </c>
      <c r="J35" s="354" t="s">
        <v>660</v>
      </c>
      <c r="K35" s="353">
        <v>2.4366591194968543</v>
      </c>
      <c r="L35" s="319" t="s">
        <v>28</v>
      </c>
      <c r="M35" s="352">
        <v>4.9555347531008689</v>
      </c>
      <c r="N35" s="324" t="s">
        <v>47</v>
      </c>
      <c r="O35" s="352">
        <v>100</v>
      </c>
      <c r="P35" s="354" t="s">
        <v>29</v>
      </c>
      <c r="Q35" s="351">
        <v>12</v>
      </c>
      <c r="R35" s="351">
        <v>12</v>
      </c>
      <c r="S35" s="351">
        <v>10</v>
      </c>
      <c r="T35" s="351">
        <v>15</v>
      </c>
      <c r="U35" s="351">
        <v>12</v>
      </c>
      <c r="V35" s="351">
        <v>12</v>
      </c>
      <c r="W35" s="350" t="s">
        <v>39</v>
      </c>
      <c r="X35" s="350">
        <v>50</v>
      </c>
      <c r="Y35" s="350" t="s">
        <v>35</v>
      </c>
      <c r="Z35" s="350">
        <v>50</v>
      </c>
      <c r="AA35" s="350">
        <v>18.5</v>
      </c>
      <c r="AB35" s="350">
        <v>11.5</v>
      </c>
      <c r="AC35" s="350">
        <v>13</v>
      </c>
      <c r="AD35" s="350" t="s">
        <v>664</v>
      </c>
      <c r="AE35" s="350">
        <v>50</v>
      </c>
      <c r="AF35" s="350" t="s">
        <v>665</v>
      </c>
      <c r="AG35" s="350">
        <v>50</v>
      </c>
      <c r="AH35" s="350" t="s">
        <v>662</v>
      </c>
      <c r="AI35" s="350">
        <v>0</v>
      </c>
      <c r="AJ35" s="350">
        <v>17</v>
      </c>
      <c r="AK35" s="350">
        <v>7</v>
      </c>
      <c r="AL35" s="350">
        <v>18</v>
      </c>
    </row>
    <row r="36" spans="1:38" s="349" customFormat="1" ht="14" customHeight="1">
      <c r="A36" s="357">
        <v>68</v>
      </c>
      <c r="B36" s="357">
        <v>33</v>
      </c>
      <c r="C36" s="356" t="s">
        <v>702</v>
      </c>
      <c r="D36" s="356" t="s">
        <v>700</v>
      </c>
      <c r="E36" s="355" t="s">
        <v>701</v>
      </c>
      <c r="F36" s="348">
        <v>901122</v>
      </c>
      <c r="G36" s="347">
        <v>6.9</v>
      </c>
      <c r="H36" s="354" t="s">
        <v>28</v>
      </c>
      <c r="I36" s="353">
        <v>8.6080000000000004E-2</v>
      </c>
      <c r="J36" s="354" t="s">
        <v>660</v>
      </c>
      <c r="K36" s="353">
        <v>1.4278440251572329</v>
      </c>
      <c r="L36" s="319" t="s">
        <v>41</v>
      </c>
      <c r="M36" s="352">
        <v>6.5937280599110695</v>
      </c>
      <c r="N36" s="324" t="s">
        <v>37</v>
      </c>
      <c r="O36" s="352">
        <v>170</v>
      </c>
      <c r="P36" s="354" t="s">
        <v>30</v>
      </c>
      <c r="Q36" s="351">
        <v>15</v>
      </c>
      <c r="R36" s="351">
        <v>12</v>
      </c>
      <c r="S36" s="351">
        <v>10</v>
      </c>
      <c r="T36" s="351">
        <v>18</v>
      </c>
      <c r="U36" s="351">
        <v>12</v>
      </c>
      <c r="V36" s="351">
        <v>12</v>
      </c>
      <c r="W36" s="350" t="s">
        <v>39</v>
      </c>
      <c r="X36" s="350">
        <v>50</v>
      </c>
      <c r="Y36" s="350" t="s">
        <v>45</v>
      </c>
      <c r="Z36" s="350">
        <v>50</v>
      </c>
      <c r="AA36" s="350">
        <v>18</v>
      </c>
      <c r="AB36" s="350">
        <v>12</v>
      </c>
      <c r="AC36" s="350">
        <v>14</v>
      </c>
      <c r="AD36" s="350" t="s">
        <v>39</v>
      </c>
      <c r="AE36" s="350">
        <v>50</v>
      </c>
      <c r="AF36" s="350" t="s">
        <v>661</v>
      </c>
      <c r="AG36" s="350">
        <v>50</v>
      </c>
      <c r="AH36" s="350" t="s">
        <v>662</v>
      </c>
      <c r="AI36" s="350">
        <v>30</v>
      </c>
      <c r="AJ36" s="350">
        <v>21.3</v>
      </c>
      <c r="AK36" s="350">
        <v>11.5</v>
      </c>
      <c r="AL36" s="350">
        <v>21.5</v>
      </c>
    </row>
    <row r="37" spans="1:38" s="349" customFormat="1" ht="14" customHeight="1">
      <c r="A37" s="357">
        <v>68</v>
      </c>
      <c r="B37" s="357">
        <v>34</v>
      </c>
      <c r="C37" s="356" t="s">
        <v>703</v>
      </c>
      <c r="D37" s="356" t="s">
        <v>700</v>
      </c>
      <c r="E37" s="355" t="s">
        <v>701</v>
      </c>
      <c r="F37" s="348">
        <v>901112</v>
      </c>
      <c r="G37" s="347">
        <v>6.71</v>
      </c>
      <c r="H37" s="354" t="s">
        <v>28</v>
      </c>
      <c r="I37" s="353">
        <v>4.9570000000000003E-2</v>
      </c>
      <c r="J37" s="354" t="s">
        <v>660</v>
      </c>
      <c r="K37" s="353">
        <v>2.050304402515724</v>
      </c>
      <c r="L37" s="319" t="s">
        <v>28</v>
      </c>
      <c r="M37" s="352">
        <v>10.513690615492626</v>
      </c>
      <c r="N37" s="324" t="s">
        <v>41</v>
      </c>
      <c r="O37" s="352">
        <v>60</v>
      </c>
      <c r="P37" s="354" t="s">
        <v>28</v>
      </c>
      <c r="Q37" s="351">
        <v>12</v>
      </c>
      <c r="R37" s="351">
        <v>12</v>
      </c>
      <c r="S37" s="351">
        <v>12</v>
      </c>
      <c r="T37" s="351">
        <v>15</v>
      </c>
      <c r="U37" s="351">
        <v>12</v>
      </c>
      <c r="V37" s="351">
        <v>18</v>
      </c>
      <c r="W37" s="350" t="s">
        <v>39</v>
      </c>
      <c r="X37" s="350">
        <v>50</v>
      </c>
      <c r="Y37" s="350" t="s">
        <v>45</v>
      </c>
      <c r="Z37" s="350">
        <v>50</v>
      </c>
      <c r="AA37" s="350">
        <v>18</v>
      </c>
      <c r="AB37" s="350">
        <v>12</v>
      </c>
      <c r="AC37" s="350">
        <v>14</v>
      </c>
      <c r="AD37" s="350" t="s">
        <v>39</v>
      </c>
      <c r="AE37" s="350">
        <v>50</v>
      </c>
      <c r="AF37" s="350" t="s">
        <v>661</v>
      </c>
      <c r="AG37" s="350">
        <v>50</v>
      </c>
      <c r="AH37" s="350" t="s">
        <v>662</v>
      </c>
      <c r="AI37" s="350">
        <v>30</v>
      </c>
      <c r="AJ37" s="350">
        <v>21.3</v>
      </c>
      <c r="AK37" s="350">
        <v>11.5</v>
      </c>
      <c r="AL37" s="350">
        <v>21.5</v>
      </c>
    </row>
    <row r="38" spans="1:38" s="349" customFormat="1" ht="14" customHeight="1">
      <c r="A38" s="357">
        <v>68</v>
      </c>
      <c r="B38" s="357">
        <v>35</v>
      </c>
      <c r="C38" s="356" t="s">
        <v>704</v>
      </c>
      <c r="D38" s="356" t="s">
        <v>700</v>
      </c>
      <c r="E38" s="355" t="s">
        <v>701</v>
      </c>
      <c r="F38" s="348">
        <v>901123</v>
      </c>
      <c r="G38" s="347">
        <v>7.38</v>
      </c>
      <c r="H38" s="354" t="s">
        <v>40</v>
      </c>
      <c r="I38" s="353">
        <v>0.27850000000000003</v>
      </c>
      <c r="J38" s="354" t="s">
        <v>660</v>
      </c>
      <c r="K38" s="353">
        <v>1.6854138364779878</v>
      </c>
      <c r="L38" s="319" t="s">
        <v>28</v>
      </c>
      <c r="M38" s="352">
        <v>11.391294172712378</v>
      </c>
      <c r="N38" s="324" t="s">
        <v>41</v>
      </c>
      <c r="O38" s="352">
        <v>109.99999999999999</v>
      </c>
      <c r="P38" s="354" t="s">
        <v>29</v>
      </c>
      <c r="Q38" s="351">
        <v>15</v>
      </c>
      <c r="R38" s="351">
        <v>12</v>
      </c>
      <c r="S38" s="351">
        <v>10</v>
      </c>
      <c r="T38" s="351">
        <v>18</v>
      </c>
      <c r="U38" s="351">
        <v>12</v>
      </c>
      <c r="V38" s="351">
        <v>12</v>
      </c>
      <c r="W38" s="350" t="s">
        <v>39</v>
      </c>
      <c r="X38" s="350">
        <v>50</v>
      </c>
      <c r="Y38" s="350" t="s">
        <v>35</v>
      </c>
      <c r="Z38" s="350">
        <v>50</v>
      </c>
      <c r="AA38" s="350">
        <v>18.5</v>
      </c>
      <c r="AB38" s="350">
        <v>11.5</v>
      </c>
      <c r="AC38" s="350">
        <v>13</v>
      </c>
      <c r="AD38" s="350" t="s">
        <v>664</v>
      </c>
      <c r="AE38" s="350">
        <v>50</v>
      </c>
      <c r="AF38" s="350" t="s">
        <v>665</v>
      </c>
      <c r="AG38" s="350">
        <v>50</v>
      </c>
      <c r="AH38" s="350" t="s">
        <v>662</v>
      </c>
      <c r="AI38" s="350">
        <v>0</v>
      </c>
      <c r="AJ38" s="350">
        <v>17</v>
      </c>
      <c r="AK38" s="350">
        <v>7</v>
      </c>
      <c r="AL38" s="350">
        <v>18</v>
      </c>
    </row>
    <row r="39" spans="1:38" s="349" customFormat="1" ht="14" customHeight="1">
      <c r="A39" s="357">
        <v>68</v>
      </c>
      <c r="B39" s="357">
        <v>36</v>
      </c>
      <c r="C39" s="356" t="s">
        <v>705</v>
      </c>
      <c r="D39" s="356" t="s">
        <v>700</v>
      </c>
      <c r="E39" s="355" t="s">
        <v>701</v>
      </c>
      <c r="F39" s="348">
        <v>901118</v>
      </c>
      <c r="G39" s="347">
        <v>5.82</v>
      </c>
      <c r="H39" s="354" t="s">
        <v>28</v>
      </c>
      <c r="I39" s="353">
        <v>3.8249999999999999E-2</v>
      </c>
      <c r="J39" s="354" t="s">
        <v>660</v>
      </c>
      <c r="K39" s="353">
        <v>0.6551345911949702</v>
      </c>
      <c r="L39" s="319" t="s">
        <v>41</v>
      </c>
      <c r="M39" s="352">
        <v>6.125672829393868</v>
      </c>
      <c r="N39" s="324" t="s">
        <v>37</v>
      </c>
      <c r="O39" s="352">
        <v>20</v>
      </c>
      <c r="P39" s="354" t="s">
        <v>37</v>
      </c>
      <c r="Q39" s="351">
        <v>18</v>
      </c>
      <c r="R39" s="351">
        <v>12</v>
      </c>
      <c r="S39" s="351">
        <v>15</v>
      </c>
      <c r="T39" s="351">
        <v>24</v>
      </c>
      <c r="U39" s="351">
        <v>12</v>
      </c>
      <c r="V39" s="351">
        <v>24</v>
      </c>
      <c r="W39" s="350" t="s">
        <v>39</v>
      </c>
      <c r="X39" s="350">
        <v>50</v>
      </c>
      <c r="Y39" s="350" t="s">
        <v>45</v>
      </c>
      <c r="Z39" s="350">
        <v>50</v>
      </c>
      <c r="AA39" s="350">
        <v>18</v>
      </c>
      <c r="AB39" s="350">
        <v>12</v>
      </c>
      <c r="AC39" s="350">
        <v>14</v>
      </c>
      <c r="AD39" s="350" t="s">
        <v>39</v>
      </c>
      <c r="AE39" s="350">
        <v>50</v>
      </c>
      <c r="AF39" s="350" t="s">
        <v>661</v>
      </c>
      <c r="AG39" s="350">
        <v>50</v>
      </c>
      <c r="AH39" s="350" t="s">
        <v>662</v>
      </c>
      <c r="AI39" s="350">
        <v>30</v>
      </c>
      <c r="AJ39" s="350">
        <v>21.3</v>
      </c>
      <c r="AK39" s="350">
        <v>11.5</v>
      </c>
      <c r="AL39" s="350">
        <v>21.5</v>
      </c>
    </row>
    <row r="40" spans="1:38" s="349" customFormat="1" ht="14" customHeight="1">
      <c r="A40" s="357">
        <v>68</v>
      </c>
      <c r="B40" s="357">
        <v>37</v>
      </c>
      <c r="C40" s="356" t="s">
        <v>706</v>
      </c>
      <c r="D40" s="356" t="s">
        <v>700</v>
      </c>
      <c r="E40" s="355" t="s">
        <v>701</v>
      </c>
      <c r="F40" s="348">
        <v>901128</v>
      </c>
      <c r="G40" s="347">
        <v>6.48</v>
      </c>
      <c r="H40" s="354" t="s">
        <v>28</v>
      </c>
      <c r="I40" s="353">
        <v>0.24559999999999998</v>
      </c>
      <c r="J40" s="354" t="s">
        <v>660</v>
      </c>
      <c r="K40" s="353">
        <v>2.0073761006289312</v>
      </c>
      <c r="L40" s="319" t="s">
        <v>28</v>
      </c>
      <c r="M40" s="352">
        <v>8.6999765972384768</v>
      </c>
      <c r="N40" s="324" t="s">
        <v>37</v>
      </c>
      <c r="O40" s="352">
        <v>109.99999999999999</v>
      </c>
      <c r="P40" s="354" t="s">
        <v>29</v>
      </c>
      <c r="Q40" s="351">
        <v>12</v>
      </c>
      <c r="R40" s="351">
        <v>12</v>
      </c>
      <c r="S40" s="351">
        <v>10</v>
      </c>
      <c r="T40" s="351">
        <v>15</v>
      </c>
      <c r="U40" s="351">
        <v>12</v>
      </c>
      <c r="V40" s="351">
        <v>12</v>
      </c>
      <c r="W40" s="350" t="s">
        <v>39</v>
      </c>
      <c r="X40" s="350">
        <v>50</v>
      </c>
      <c r="Y40" s="350" t="s">
        <v>35</v>
      </c>
      <c r="Z40" s="350">
        <v>50</v>
      </c>
      <c r="AA40" s="350">
        <v>18.5</v>
      </c>
      <c r="AB40" s="350">
        <v>11.5</v>
      </c>
      <c r="AC40" s="350">
        <v>13</v>
      </c>
      <c r="AD40" s="350" t="s">
        <v>664</v>
      </c>
      <c r="AE40" s="350">
        <v>50</v>
      </c>
      <c r="AF40" s="350" t="s">
        <v>665</v>
      </c>
      <c r="AG40" s="350">
        <v>50</v>
      </c>
      <c r="AH40" s="350" t="s">
        <v>662</v>
      </c>
      <c r="AI40" s="350">
        <v>0</v>
      </c>
      <c r="AJ40" s="350">
        <v>17</v>
      </c>
      <c r="AK40" s="350">
        <v>7</v>
      </c>
      <c r="AL40" s="350">
        <v>18</v>
      </c>
    </row>
    <row r="41" spans="1:38" s="349" customFormat="1" ht="14" customHeight="1">
      <c r="A41" s="357">
        <v>68</v>
      </c>
      <c r="B41" s="357">
        <v>38</v>
      </c>
      <c r="C41" s="356" t="s">
        <v>707</v>
      </c>
      <c r="D41" s="356" t="s">
        <v>503</v>
      </c>
      <c r="E41" s="355" t="s">
        <v>708</v>
      </c>
      <c r="F41" s="348">
        <v>924130</v>
      </c>
      <c r="G41" s="347">
        <v>5.67</v>
      </c>
      <c r="H41" s="354" t="s">
        <v>28</v>
      </c>
      <c r="I41" s="353">
        <v>9.3620000000000009E-2</v>
      </c>
      <c r="J41" s="354" t="s">
        <v>660</v>
      </c>
      <c r="K41" s="353">
        <v>2.6513006289308172</v>
      </c>
      <c r="L41" s="319" t="s">
        <v>29</v>
      </c>
      <c r="M41" s="352">
        <v>14.726187690147436</v>
      </c>
      <c r="N41" s="324" t="s">
        <v>41</v>
      </c>
      <c r="O41" s="352">
        <v>109.99999999999999</v>
      </c>
      <c r="P41" s="354" t="s">
        <v>29</v>
      </c>
      <c r="Q41" s="351">
        <v>12</v>
      </c>
      <c r="R41" s="351">
        <v>12</v>
      </c>
      <c r="S41" s="351">
        <v>10</v>
      </c>
      <c r="T41" s="351">
        <v>15</v>
      </c>
      <c r="U41" s="351">
        <v>12</v>
      </c>
      <c r="V41" s="351">
        <v>12</v>
      </c>
      <c r="W41" s="350" t="s">
        <v>34</v>
      </c>
      <c r="X41" s="350">
        <v>50</v>
      </c>
      <c r="Y41" s="350" t="s">
        <v>51</v>
      </c>
      <c r="Z41" s="350">
        <v>50</v>
      </c>
      <c r="AA41" s="350">
        <v>15.5</v>
      </c>
      <c r="AB41" s="350">
        <v>7.5</v>
      </c>
      <c r="AC41" s="350">
        <v>13</v>
      </c>
      <c r="AD41" s="350" t="s">
        <v>34</v>
      </c>
      <c r="AE41" s="350">
        <v>50</v>
      </c>
      <c r="AF41" s="350" t="s">
        <v>51</v>
      </c>
      <c r="AG41" s="350">
        <v>50</v>
      </c>
      <c r="AH41" s="350" t="s">
        <v>662</v>
      </c>
      <c r="AI41" s="350">
        <v>0</v>
      </c>
      <c r="AJ41" s="350">
        <v>15.5</v>
      </c>
      <c r="AK41" s="350">
        <v>7.5</v>
      </c>
      <c r="AL41" s="350">
        <v>13</v>
      </c>
    </row>
    <row r="42" spans="1:38" s="349" customFormat="1" ht="14" customHeight="1">
      <c r="A42" s="357">
        <v>68</v>
      </c>
      <c r="B42" s="357">
        <v>39</v>
      </c>
      <c r="C42" s="356" t="s">
        <v>709</v>
      </c>
      <c r="D42" s="356" t="s">
        <v>503</v>
      </c>
      <c r="E42" s="355" t="s">
        <v>708</v>
      </c>
      <c r="F42" s="348">
        <v>924131</v>
      </c>
      <c r="G42" s="347">
        <v>6.7</v>
      </c>
      <c r="H42" s="354" t="s">
        <v>28</v>
      </c>
      <c r="I42" s="353">
        <v>0.11220000000000001</v>
      </c>
      <c r="J42" s="354" t="s">
        <v>660</v>
      </c>
      <c r="K42" s="353">
        <v>2.5225157232704403</v>
      </c>
      <c r="L42" s="319" t="s">
        <v>29</v>
      </c>
      <c r="M42" s="352">
        <v>2.8492862157734624</v>
      </c>
      <c r="N42" s="324" t="s">
        <v>47</v>
      </c>
      <c r="O42" s="352">
        <v>10</v>
      </c>
      <c r="P42" s="354" t="s">
        <v>37</v>
      </c>
      <c r="Q42" s="351">
        <v>12</v>
      </c>
      <c r="R42" s="351">
        <v>12</v>
      </c>
      <c r="S42" s="351">
        <v>15</v>
      </c>
      <c r="T42" s="351">
        <v>15</v>
      </c>
      <c r="U42" s="351">
        <v>12</v>
      </c>
      <c r="V42" s="351">
        <v>24</v>
      </c>
      <c r="W42" s="350" t="s">
        <v>39</v>
      </c>
      <c r="X42" s="350">
        <v>50</v>
      </c>
      <c r="Y42" s="350" t="s">
        <v>35</v>
      </c>
      <c r="Z42" s="350">
        <v>50</v>
      </c>
      <c r="AA42" s="350">
        <v>18.5</v>
      </c>
      <c r="AB42" s="350">
        <v>11.5</v>
      </c>
      <c r="AC42" s="350">
        <v>13</v>
      </c>
      <c r="AD42" s="350" t="s">
        <v>664</v>
      </c>
      <c r="AE42" s="350">
        <v>50</v>
      </c>
      <c r="AF42" s="350" t="s">
        <v>665</v>
      </c>
      <c r="AG42" s="350">
        <v>50</v>
      </c>
      <c r="AH42" s="350" t="s">
        <v>662</v>
      </c>
      <c r="AI42" s="350">
        <v>0</v>
      </c>
      <c r="AJ42" s="350">
        <v>17</v>
      </c>
      <c r="AK42" s="350">
        <v>7</v>
      </c>
      <c r="AL42" s="350">
        <v>18</v>
      </c>
    </row>
    <row r="43" spans="1:38" s="349" customFormat="1" ht="14" customHeight="1">
      <c r="A43" s="357">
        <v>68</v>
      </c>
      <c r="B43" s="357">
        <v>40</v>
      </c>
      <c r="C43" s="356" t="s">
        <v>710</v>
      </c>
      <c r="D43" s="356" t="s">
        <v>503</v>
      </c>
      <c r="E43" s="355" t="s">
        <v>708</v>
      </c>
      <c r="F43" s="348">
        <v>924135</v>
      </c>
      <c r="G43" s="347">
        <v>5.98</v>
      </c>
      <c r="H43" s="354" t="s">
        <v>28</v>
      </c>
      <c r="I43" s="353">
        <v>0.1502</v>
      </c>
      <c r="J43" s="354" t="s">
        <v>660</v>
      </c>
      <c r="K43" s="353">
        <v>1.5137006289308175</v>
      </c>
      <c r="L43" s="319" t="s">
        <v>41</v>
      </c>
      <c r="M43" s="352">
        <v>8.2319213667212754</v>
      </c>
      <c r="N43" s="324" t="s">
        <v>37</v>
      </c>
      <c r="O43" s="352">
        <v>360</v>
      </c>
      <c r="P43" s="354" t="s">
        <v>30</v>
      </c>
      <c r="Q43" s="351">
        <v>15</v>
      </c>
      <c r="R43" s="351">
        <v>12</v>
      </c>
      <c r="S43" s="351">
        <v>10</v>
      </c>
      <c r="T43" s="351">
        <v>18</v>
      </c>
      <c r="U43" s="351">
        <v>12</v>
      </c>
      <c r="V43" s="351">
        <v>12</v>
      </c>
      <c r="W43" s="350" t="s">
        <v>39</v>
      </c>
      <c r="X43" s="350">
        <v>50</v>
      </c>
      <c r="Y43" s="350" t="s">
        <v>35</v>
      </c>
      <c r="Z43" s="350">
        <v>50</v>
      </c>
      <c r="AA43" s="350">
        <v>18.5</v>
      </c>
      <c r="AB43" s="350">
        <v>11.5</v>
      </c>
      <c r="AC43" s="350">
        <v>13</v>
      </c>
      <c r="AD43" s="350" t="s">
        <v>664</v>
      </c>
      <c r="AE43" s="350">
        <v>50</v>
      </c>
      <c r="AF43" s="350" t="s">
        <v>665</v>
      </c>
      <c r="AG43" s="350">
        <v>50</v>
      </c>
      <c r="AH43" s="350" t="s">
        <v>662</v>
      </c>
      <c r="AI43" s="350">
        <v>0</v>
      </c>
      <c r="AJ43" s="350">
        <v>17</v>
      </c>
      <c r="AK43" s="350">
        <v>7</v>
      </c>
      <c r="AL43" s="350">
        <v>18</v>
      </c>
    </row>
    <row r="44" spans="1:38" s="349" customFormat="1" ht="14" customHeight="1">
      <c r="A44" s="357">
        <v>68</v>
      </c>
      <c r="B44" s="357">
        <v>41</v>
      </c>
      <c r="C44" s="356" t="s">
        <v>711</v>
      </c>
      <c r="D44" s="356" t="s">
        <v>503</v>
      </c>
      <c r="E44" s="355" t="s">
        <v>708</v>
      </c>
      <c r="F44" s="348">
        <v>924122</v>
      </c>
      <c r="G44" s="347">
        <v>6.93</v>
      </c>
      <c r="H44" s="354" t="s">
        <v>28</v>
      </c>
      <c r="I44" s="353">
        <v>0.1772</v>
      </c>
      <c r="J44" s="354" t="s">
        <v>660</v>
      </c>
      <c r="K44" s="353">
        <v>1.0844176100628933</v>
      </c>
      <c r="L44" s="319" t="s">
        <v>41</v>
      </c>
      <c r="M44" s="352">
        <v>15.837818862625795</v>
      </c>
      <c r="N44" s="324" t="s">
        <v>41</v>
      </c>
      <c r="O44" s="352">
        <v>550</v>
      </c>
      <c r="P44" s="354" t="s">
        <v>30</v>
      </c>
      <c r="Q44" s="351">
        <v>15</v>
      </c>
      <c r="R44" s="351">
        <v>9</v>
      </c>
      <c r="S44" s="351">
        <v>10</v>
      </c>
      <c r="T44" s="351">
        <v>18</v>
      </c>
      <c r="U44" s="351">
        <v>9</v>
      </c>
      <c r="V44" s="351">
        <v>12</v>
      </c>
      <c r="W44" s="350" t="s">
        <v>39</v>
      </c>
      <c r="X44" s="350">
        <v>50</v>
      </c>
      <c r="Y44" s="350" t="s">
        <v>35</v>
      </c>
      <c r="Z44" s="350">
        <v>50</v>
      </c>
      <c r="AA44" s="350">
        <v>18.5</v>
      </c>
      <c r="AB44" s="350">
        <v>11.5</v>
      </c>
      <c r="AC44" s="350">
        <v>13</v>
      </c>
      <c r="AD44" s="350" t="s">
        <v>664</v>
      </c>
      <c r="AE44" s="350">
        <v>50</v>
      </c>
      <c r="AF44" s="350" t="s">
        <v>665</v>
      </c>
      <c r="AG44" s="350">
        <v>50</v>
      </c>
      <c r="AH44" s="350" t="s">
        <v>662</v>
      </c>
      <c r="AI44" s="350">
        <v>0</v>
      </c>
      <c r="AJ44" s="350">
        <v>17</v>
      </c>
      <c r="AK44" s="350">
        <v>7</v>
      </c>
      <c r="AL44" s="350">
        <v>18</v>
      </c>
    </row>
    <row r="45" spans="1:38" s="349" customFormat="1" ht="14" customHeight="1">
      <c r="A45" s="357">
        <v>68</v>
      </c>
      <c r="B45" s="357">
        <v>42</v>
      </c>
      <c r="C45" s="356" t="s">
        <v>712</v>
      </c>
      <c r="D45" s="356" t="s">
        <v>503</v>
      </c>
      <c r="E45" s="355" t="s">
        <v>708</v>
      </c>
      <c r="F45" s="348">
        <v>924121</v>
      </c>
      <c r="G45" s="347">
        <v>6.76</v>
      </c>
      <c r="H45" s="354" t="s">
        <v>28</v>
      </c>
      <c r="I45" s="353">
        <v>0.1472</v>
      </c>
      <c r="J45" s="354" t="s">
        <v>660</v>
      </c>
      <c r="K45" s="353">
        <v>0.59074213836478062</v>
      </c>
      <c r="L45" s="319" t="s">
        <v>41</v>
      </c>
      <c r="M45" s="352">
        <v>4.663000234027618</v>
      </c>
      <c r="N45" s="324" t="s">
        <v>47</v>
      </c>
      <c r="O45" s="352">
        <v>350</v>
      </c>
      <c r="P45" s="354" t="s">
        <v>30</v>
      </c>
      <c r="Q45" s="351">
        <v>18</v>
      </c>
      <c r="R45" s="351">
        <v>12</v>
      </c>
      <c r="S45" s="351">
        <v>10</v>
      </c>
      <c r="T45" s="351">
        <v>24</v>
      </c>
      <c r="U45" s="351">
        <v>12</v>
      </c>
      <c r="V45" s="351">
        <v>12</v>
      </c>
      <c r="W45" s="350" t="s">
        <v>39</v>
      </c>
      <c r="X45" s="350">
        <v>50</v>
      </c>
      <c r="Y45" s="350" t="s">
        <v>45</v>
      </c>
      <c r="Z45" s="350">
        <v>50</v>
      </c>
      <c r="AA45" s="350">
        <v>18</v>
      </c>
      <c r="AB45" s="350">
        <v>12</v>
      </c>
      <c r="AC45" s="350">
        <v>14</v>
      </c>
      <c r="AD45" s="350" t="s">
        <v>39</v>
      </c>
      <c r="AE45" s="350">
        <v>50</v>
      </c>
      <c r="AF45" s="350" t="s">
        <v>661</v>
      </c>
      <c r="AG45" s="350">
        <v>50</v>
      </c>
      <c r="AH45" s="350" t="s">
        <v>662</v>
      </c>
      <c r="AI45" s="350">
        <v>30</v>
      </c>
      <c r="AJ45" s="350">
        <v>21.3</v>
      </c>
      <c r="AK45" s="350">
        <v>11.5</v>
      </c>
      <c r="AL45" s="350">
        <v>21.5</v>
      </c>
    </row>
    <row r="46" spans="1:38" s="349" customFormat="1" ht="14" customHeight="1">
      <c r="A46" s="357">
        <v>68</v>
      </c>
      <c r="B46" s="357">
        <v>43</v>
      </c>
      <c r="C46" s="356" t="s">
        <v>713</v>
      </c>
      <c r="D46" s="356" t="s">
        <v>503</v>
      </c>
      <c r="E46" s="355" t="s">
        <v>708</v>
      </c>
      <c r="F46" s="348">
        <v>924123</v>
      </c>
      <c r="G46" s="347">
        <v>6.8866666666666667</v>
      </c>
      <c r="H46" s="354" t="s">
        <v>28</v>
      </c>
      <c r="I46" s="346">
        <v>0.14026666666666668</v>
      </c>
      <c r="J46" s="354" t="s">
        <v>660</v>
      </c>
      <c r="K46" s="345">
        <v>0.61936100628930968</v>
      </c>
      <c r="L46" s="319" t="s">
        <v>41</v>
      </c>
      <c r="M46" s="352">
        <v>16.383883298229193</v>
      </c>
      <c r="N46" s="324" t="s">
        <v>41</v>
      </c>
      <c r="O46" s="345">
        <v>340</v>
      </c>
      <c r="P46" s="354" t="s">
        <v>30</v>
      </c>
      <c r="Q46" s="351">
        <v>18</v>
      </c>
      <c r="R46" s="351">
        <v>9</v>
      </c>
      <c r="S46" s="351">
        <v>10</v>
      </c>
      <c r="T46" s="351">
        <v>24</v>
      </c>
      <c r="U46" s="351">
        <v>9</v>
      </c>
      <c r="V46" s="351">
        <v>12</v>
      </c>
      <c r="W46" s="350" t="s">
        <v>39</v>
      </c>
      <c r="X46" s="350">
        <v>50</v>
      </c>
      <c r="Y46" s="350" t="s">
        <v>35</v>
      </c>
      <c r="Z46" s="350">
        <v>50</v>
      </c>
      <c r="AA46" s="350">
        <v>18.5</v>
      </c>
      <c r="AB46" s="350">
        <v>11.5</v>
      </c>
      <c r="AC46" s="350">
        <v>13</v>
      </c>
      <c r="AD46" s="350" t="s">
        <v>664</v>
      </c>
      <c r="AE46" s="350">
        <v>50</v>
      </c>
      <c r="AF46" s="350" t="s">
        <v>665</v>
      </c>
      <c r="AG46" s="350">
        <v>50</v>
      </c>
      <c r="AH46" s="350" t="s">
        <v>662</v>
      </c>
      <c r="AI46" s="350">
        <v>0</v>
      </c>
      <c r="AJ46" s="350">
        <v>17</v>
      </c>
      <c r="AK46" s="350">
        <v>7</v>
      </c>
      <c r="AL46" s="350">
        <v>18</v>
      </c>
    </row>
    <row r="47" spans="1:38" s="349" customFormat="1" ht="14" customHeight="1">
      <c r="A47" s="357">
        <v>68</v>
      </c>
      <c r="B47" s="357">
        <v>44</v>
      </c>
      <c r="C47" s="356" t="s">
        <v>714</v>
      </c>
      <c r="D47" s="356" t="s">
        <v>503</v>
      </c>
      <c r="E47" s="355" t="s">
        <v>708</v>
      </c>
      <c r="F47" s="348">
        <v>924136</v>
      </c>
      <c r="G47" s="347">
        <v>6.99</v>
      </c>
      <c r="H47" s="354" t="s">
        <v>28</v>
      </c>
      <c r="I47" s="353">
        <v>8.5169999999999996E-2</v>
      </c>
      <c r="J47" s="354" t="s">
        <v>660</v>
      </c>
      <c r="K47" s="353">
        <v>1.0414893081761032</v>
      </c>
      <c r="L47" s="319" t="s">
        <v>41</v>
      </c>
      <c r="M47" s="352">
        <v>15.896325766440441</v>
      </c>
      <c r="N47" s="324" t="s">
        <v>41</v>
      </c>
      <c r="O47" s="352">
        <v>219.99999999999997</v>
      </c>
      <c r="P47" s="354" t="s">
        <v>30</v>
      </c>
      <c r="Q47" s="351">
        <v>15</v>
      </c>
      <c r="R47" s="351">
        <v>9</v>
      </c>
      <c r="S47" s="351">
        <v>10</v>
      </c>
      <c r="T47" s="351">
        <v>18</v>
      </c>
      <c r="U47" s="351">
        <v>9</v>
      </c>
      <c r="V47" s="351">
        <v>12</v>
      </c>
      <c r="W47" s="350" t="s">
        <v>39</v>
      </c>
      <c r="X47" s="350">
        <v>50</v>
      </c>
      <c r="Y47" s="350" t="s">
        <v>35</v>
      </c>
      <c r="Z47" s="350">
        <v>50</v>
      </c>
      <c r="AA47" s="350">
        <v>18.5</v>
      </c>
      <c r="AB47" s="350">
        <v>11.5</v>
      </c>
      <c r="AC47" s="350">
        <v>13</v>
      </c>
      <c r="AD47" s="350" t="s">
        <v>664</v>
      </c>
      <c r="AE47" s="350">
        <v>50</v>
      </c>
      <c r="AF47" s="350" t="s">
        <v>665</v>
      </c>
      <c r="AG47" s="350">
        <v>50</v>
      </c>
      <c r="AH47" s="350" t="s">
        <v>662</v>
      </c>
      <c r="AI47" s="350">
        <v>0</v>
      </c>
      <c r="AJ47" s="350">
        <v>17</v>
      </c>
      <c r="AK47" s="350">
        <v>7</v>
      </c>
      <c r="AL47" s="350">
        <v>18</v>
      </c>
    </row>
    <row r="48" spans="1:38" s="349" customFormat="1" ht="14" customHeight="1">
      <c r="A48" s="357">
        <v>68</v>
      </c>
      <c r="B48" s="357">
        <v>45</v>
      </c>
      <c r="C48" s="356" t="s">
        <v>715</v>
      </c>
      <c r="D48" s="356" t="s">
        <v>503</v>
      </c>
      <c r="E48" s="355" t="s">
        <v>708</v>
      </c>
      <c r="F48" s="348">
        <v>924114</v>
      </c>
      <c r="G48" s="347">
        <v>6.74</v>
      </c>
      <c r="H48" s="354" t="s">
        <v>28</v>
      </c>
      <c r="I48" s="353">
        <v>0.1242</v>
      </c>
      <c r="J48" s="354" t="s">
        <v>660</v>
      </c>
      <c r="K48" s="353">
        <v>0.59074213836478062</v>
      </c>
      <c r="L48" s="319" t="s">
        <v>41</v>
      </c>
      <c r="M48" s="352">
        <v>8.8169904048677772</v>
      </c>
      <c r="N48" s="324" t="s">
        <v>37</v>
      </c>
      <c r="O48" s="352">
        <v>350</v>
      </c>
      <c r="P48" s="354" t="s">
        <v>30</v>
      </c>
      <c r="Q48" s="351">
        <v>18</v>
      </c>
      <c r="R48" s="351">
        <v>12</v>
      </c>
      <c r="S48" s="351">
        <v>10</v>
      </c>
      <c r="T48" s="351">
        <v>24</v>
      </c>
      <c r="U48" s="351">
        <v>12</v>
      </c>
      <c r="V48" s="351">
        <v>12</v>
      </c>
      <c r="W48" s="350" t="s">
        <v>39</v>
      </c>
      <c r="X48" s="350">
        <v>50</v>
      </c>
      <c r="Y48" s="350" t="s">
        <v>45</v>
      </c>
      <c r="Z48" s="350">
        <v>50</v>
      </c>
      <c r="AA48" s="350">
        <v>18</v>
      </c>
      <c r="AB48" s="350">
        <v>12</v>
      </c>
      <c r="AC48" s="350">
        <v>14</v>
      </c>
      <c r="AD48" s="350" t="s">
        <v>39</v>
      </c>
      <c r="AE48" s="350">
        <v>50</v>
      </c>
      <c r="AF48" s="350" t="s">
        <v>661</v>
      </c>
      <c r="AG48" s="350">
        <v>50</v>
      </c>
      <c r="AH48" s="350" t="s">
        <v>662</v>
      </c>
      <c r="AI48" s="350">
        <v>30</v>
      </c>
      <c r="AJ48" s="350">
        <v>21.3</v>
      </c>
      <c r="AK48" s="350">
        <v>11.5</v>
      </c>
      <c r="AL48" s="350">
        <v>21.5</v>
      </c>
    </row>
    <row r="49" spans="1:38" s="349" customFormat="1" ht="14" customHeight="1">
      <c r="A49" s="357">
        <v>68</v>
      </c>
      <c r="B49" s="357">
        <v>46</v>
      </c>
      <c r="C49" s="356" t="s">
        <v>716</v>
      </c>
      <c r="D49" s="356" t="s">
        <v>503</v>
      </c>
      <c r="E49" s="355" t="s">
        <v>708</v>
      </c>
      <c r="F49" s="348">
        <v>924113</v>
      </c>
      <c r="G49" s="347">
        <v>6.62</v>
      </c>
      <c r="H49" s="354" t="s">
        <v>28</v>
      </c>
      <c r="I49" s="353">
        <v>0.10440000000000001</v>
      </c>
      <c r="J49" s="354" t="s">
        <v>660</v>
      </c>
      <c r="K49" s="353">
        <v>0.9770968553459134</v>
      </c>
      <c r="L49" s="319" t="s">
        <v>41</v>
      </c>
      <c r="M49" s="352">
        <v>9.402059443014279</v>
      </c>
      <c r="N49" s="324" t="s">
        <v>37</v>
      </c>
      <c r="O49" s="352">
        <v>320</v>
      </c>
      <c r="P49" s="354" t="s">
        <v>30</v>
      </c>
      <c r="Q49" s="351">
        <v>18</v>
      </c>
      <c r="R49" s="351">
        <v>12</v>
      </c>
      <c r="S49" s="351">
        <v>10</v>
      </c>
      <c r="T49" s="351">
        <v>24</v>
      </c>
      <c r="U49" s="351">
        <v>12</v>
      </c>
      <c r="V49" s="351">
        <v>12</v>
      </c>
      <c r="W49" s="350" t="s">
        <v>39</v>
      </c>
      <c r="X49" s="350">
        <v>50</v>
      </c>
      <c r="Y49" s="350" t="s">
        <v>45</v>
      </c>
      <c r="Z49" s="350">
        <v>50</v>
      </c>
      <c r="AA49" s="350">
        <v>18</v>
      </c>
      <c r="AB49" s="350">
        <v>12</v>
      </c>
      <c r="AC49" s="350">
        <v>14</v>
      </c>
      <c r="AD49" s="350" t="s">
        <v>39</v>
      </c>
      <c r="AE49" s="350">
        <v>50</v>
      </c>
      <c r="AF49" s="350" t="s">
        <v>661</v>
      </c>
      <c r="AG49" s="350">
        <v>50</v>
      </c>
      <c r="AH49" s="350" t="s">
        <v>662</v>
      </c>
      <c r="AI49" s="350">
        <v>30</v>
      </c>
      <c r="AJ49" s="350">
        <v>21.3</v>
      </c>
      <c r="AK49" s="350">
        <v>11.5</v>
      </c>
      <c r="AL49" s="350">
        <v>21.5</v>
      </c>
    </row>
    <row r="50" spans="1:38" s="349" customFormat="1" ht="14" customHeight="1">
      <c r="A50" s="357">
        <v>68</v>
      </c>
      <c r="B50" s="357">
        <v>47</v>
      </c>
      <c r="C50" s="356" t="s">
        <v>717</v>
      </c>
      <c r="D50" s="356" t="s">
        <v>503</v>
      </c>
      <c r="E50" s="355" t="s">
        <v>708</v>
      </c>
      <c r="F50" s="348">
        <v>924115</v>
      </c>
      <c r="G50" s="347">
        <v>6.7</v>
      </c>
      <c r="H50" s="354" t="s">
        <v>28</v>
      </c>
      <c r="I50" s="353">
        <v>6.2859999999999999E-2</v>
      </c>
      <c r="J50" s="354" t="s">
        <v>660</v>
      </c>
      <c r="K50" s="353">
        <v>2.2434817610062896</v>
      </c>
      <c r="L50" s="319" t="s">
        <v>28</v>
      </c>
      <c r="M50" s="352">
        <v>16.100000000000001</v>
      </c>
      <c r="N50" s="324" t="s">
        <v>41</v>
      </c>
      <c r="O50" s="352">
        <v>70</v>
      </c>
      <c r="P50" s="354" t="s">
        <v>28</v>
      </c>
      <c r="Q50" s="351">
        <v>12</v>
      </c>
      <c r="R50" s="351">
        <v>9</v>
      </c>
      <c r="S50" s="351">
        <v>12</v>
      </c>
      <c r="T50" s="351">
        <v>15</v>
      </c>
      <c r="U50" s="351">
        <v>9</v>
      </c>
      <c r="V50" s="351">
        <v>18</v>
      </c>
      <c r="W50" s="350" t="s">
        <v>39</v>
      </c>
      <c r="X50" s="350">
        <v>50</v>
      </c>
      <c r="Y50" s="350" t="s">
        <v>35</v>
      </c>
      <c r="Z50" s="350">
        <v>50</v>
      </c>
      <c r="AA50" s="350">
        <v>18.5</v>
      </c>
      <c r="AB50" s="350">
        <v>11.5</v>
      </c>
      <c r="AC50" s="350">
        <v>13</v>
      </c>
      <c r="AD50" s="350" t="s">
        <v>664</v>
      </c>
      <c r="AE50" s="350">
        <v>50</v>
      </c>
      <c r="AF50" s="350" t="s">
        <v>665</v>
      </c>
      <c r="AG50" s="350">
        <v>50</v>
      </c>
      <c r="AH50" s="350" t="s">
        <v>662</v>
      </c>
      <c r="AI50" s="350">
        <v>0</v>
      </c>
      <c r="AJ50" s="350">
        <v>17</v>
      </c>
      <c r="AK50" s="350">
        <v>7</v>
      </c>
      <c r="AL50" s="350">
        <v>18</v>
      </c>
    </row>
    <row r="51" spans="1:38" s="349" customFormat="1" ht="14" customHeight="1">
      <c r="A51" s="357">
        <v>68</v>
      </c>
      <c r="B51" s="357">
        <v>48</v>
      </c>
      <c r="C51" s="356" t="s">
        <v>718</v>
      </c>
      <c r="D51" s="356" t="s">
        <v>503</v>
      </c>
      <c r="E51" s="355" t="s">
        <v>708</v>
      </c>
      <c r="F51" s="348">
        <v>924107</v>
      </c>
      <c r="G51" s="347">
        <v>6.66</v>
      </c>
      <c r="H51" s="354" t="s">
        <v>28</v>
      </c>
      <c r="I51" s="353">
        <v>5.11E-2</v>
      </c>
      <c r="J51" s="354" t="s">
        <v>660</v>
      </c>
      <c r="K51" s="353">
        <v>0.61220628930817811</v>
      </c>
      <c r="L51" s="319" t="s">
        <v>41</v>
      </c>
      <c r="M51" s="352">
        <v>17.476012169435997</v>
      </c>
      <c r="N51" s="324" t="s">
        <v>41</v>
      </c>
      <c r="O51" s="352">
        <v>100</v>
      </c>
      <c r="P51" s="354" t="s">
        <v>29</v>
      </c>
      <c r="Q51" s="351">
        <v>18</v>
      </c>
      <c r="R51" s="351">
        <v>9</v>
      </c>
      <c r="S51" s="351">
        <v>10</v>
      </c>
      <c r="T51" s="351">
        <v>24</v>
      </c>
      <c r="U51" s="351">
        <v>9</v>
      </c>
      <c r="V51" s="351">
        <v>12</v>
      </c>
      <c r="W51" s="350" t="s">
        <v>39</v>
      </c>
      <c r="X51" s="350">
        <v>50</v>
      </c>
      <c r="Y51" s="350" t="s">
        <v>35</v>
      </c>
      <c r="Z51" s="350">
        <v>50</v>
      </c>
      <c r="AA51" s="350">
        <v>18.5</v>
      </c>
      <c r="AB51" s="350">
        <v>11.5</v>
      </c>
      <c r="AC51" s="350">
        <v>13</v>
      </c>
      <c r="AD51" s="350" t="s">
        <v>664</v>
      </c>
      <c r="AE51" s="350">
        <v>50</v>
      </c>
      <c r="AF51" s="350" t="s">
        <v>665</v>
      </c>
      <c r="AG51" s="350">
        <v>50</v>
      </c>
      <c r="AH51" s="350" t="s">
        <v>662</v>
      </c>
      <c r="AI51" s="350">
        <v>0</v>
      </c>
      <c r="AJ51" s="350">
        <v>17</v>
      </c>
      <c r="AK51" s="350">
        <v>7</v>
      </c>
      <c r="AL51" s="350">
        <v>18</v>
      </c>
    </row>
    <row r="52" spans="1:38" s="349" customFormat="1" ht="14" customHeight="1">
      <c r="A52" s="357">
        <v>68</v>
      </c>
      <c r="B52" s="357">
        <v>49</v>
      </c>
      <c r="C52" s="356" t="s">
        <v>719</v>
      </c>
      <c r="D52" s="356" t="s">
        <v>267</v>
      </c>
      <c r="E52" s="344" t="s">
        <v>97</v>
      </c>
      <c r="F52" s="356">
        <v>903117</v>
      </c>
      <c r="G52" s="343">
        <v>8.17</v>
      </c>
      <c r="H52" s="354" t="s">
        <v>40</v>
      </c>
      <c r="I52" s="407">
        <v>9.819E-2</v>
      </c>
      <c r="J52" s="354" t="s">
        <v>660</v>
      </c>
      <c r="K52" s="353">
        <v>1.419258364779874</v>
      </c>
      <c r="L52" s="319" t="s">
        <v>41</v>
      </c>
      <c r="M52" s="352">
        <v>23.520535906746915</v>
      </c>
      <c r="N52" s="324" t="s">
        <v>28</v>
      </c>
      <c r="O52" s="352">
        <v>58</v>
      </c>
      <c r="P52" s="354" t="s">
        <v>41</v>
      </c>
      <c r="Q52" s="351">
        <v>15</v>
      </c>
      <c r="R52" s="351">
        <v>9</v>
      </c>
      <c r="S52" s="351">
        <v>15</v>
      </c>
      <c r="T52" s="351">
        <v>18</v>
      </c>
      <c r="U52" s="351">
        <v>9</v>
      </c>
      <c r="V52" s="351">
        <v>24</v>
      </c>
      <c r="W52" s="350" t="s">
        <v>39</v>
      </c>
      <c r="X52" s="350">
        <v>50</v>
      </c>
      <c r="Y52" s="350" t="s">
        <v>45</v>
      </c>
      <c r="Z52" s="350">
        <v>50</v>
      </c>
      <c r="AA52" s="350">
        <v>18</v>
      </c>
      <c r="AB52" s="350">
        <v>12</v>
      </c>
      <c r="AC52" s="350">
        <v>14</v>
      </c>
      <c r="AD52" s="350" t="s">
        <v>39</v>
      </c>
      <c r="AE52" s="350">
        <v>50</v>
      </c>
      <c r="AF52" s="350" t="s">
        <v>661</v>
      </c>
      <c r="AG52" s="350">
        <v>50</v>
      </c>
      <c r="AH52" s="350" t="s">
        <v>662</v>
      </c>
      <c r="AI52" s="350">
        <v>30</v>
      </c>
      <c r="AJ52" s="350">
        <v>21.3</v>
      </c>
      <c r="AK52" s="350">
        <v>11.5</v>
      </c>
      <c r="AL52" s="350">
        <v>21.5</v>
      </c>
    </row>
    <row r="53" spans="1:38" s="349" customFormat="1" ht="14" customHeight="1">
      <c r="A53" s="357">
        <v>68</v>
      </c>
      <c r="B53" s="357">
        <v>50</v>
      </c>
      <c r="C53" s="356" t="s">
        <v>720</v>
      </c>
      <c r="D53" s="356" t="s">
        <v>267</v>
      </c>
      <c r="E53" s="344" t="s">
        <v>97</v>
      </c>
      <c r="F53" s="356">
        <v>903152</v>
      </c>
      <c r="G53" s="343">
        <v>6.7</v>
      </c>
      <c r="H53" s="354" t="s">
        <v>28</v>
      </c>
      <c r="I53" s="407">
        <v>5.7169999999999999E-2</v>
      </c>
      <c r="J53" s="354" t="s">
        <v>660</v>
      </c>
      <c r="K53" s="353">
        <v>0.50488553459119645</v>
      </c>
      <c r="L53" s="319" t="s">
        <v>41</v>
      </c>
      <c r="M53" s="352">
        <v>26.973586031935536</v>
      </c>
      <c r="N53" s="324" t="s">
        <v>28</v>
      </c>
      <c r="O53" s="352">
        <v>58</v>
      </c>
      <c r="P53" s="354" t="s">
        <v>41</v>
      </c>
      <c r="Q53" s="351">
        <v>18</v>
      </c>
      <c r="R53" s="351">
        <v>9</v>
      </c>
      <c r="S53" s="351">
        <v>15</v>
      </c>
      <c r="T53" s="351">
        <v>24</v>
      </c>
      <c r="U53" s="351">
        <v>9</v>
      </c>
      <c r="V53" s="351">
        <v>24</v>
      </c>
      <c r="W53" s="350" t="s">
        <v>39</v>
      </c>
      <c r="X53" s="350">
        <v>50</v>
      </c>
      <c r="Y53" s="350" t="s">
        <v>45</v>
      </c>
      <c r="Z53" s="350">
        <v>50</v>
      </c>
      <c r="AA53" s="350">
        <v>18</v>
      </c>
      <c r="AB53" s="350">
        <v>12</v>
      </c>
      <c r="AC53" s="350">
        <v>14</v>
      </c>
      <c r="AD53" s="350" t="s">
        <v>39</v>
      </c>
      <c r="AE53" s="350">
        <v>50</v>
      </c>
      <c r="AF53" s="350" t="s">
        <v>661</v>
      </c>
      <c r="AG53" s="350">
        <v>50</v>
      </c>
      <c r="AH53" s="350" t="s">
        <v>662</v>
      </c>
      <c r="AI53" s="350">
        <v>30</v>
      </c>
      <c r="AJ53" s="350">
        <v>21.3</v>
      </c>
      <c r="AK53" s="350">
        <v>11.5</v>
      </c>
      <c r="AL53" s="350">
        <v>21.5</v>
      </c>
    </row>
    <row r="54" spans="1:38" s="349" customFormat="1" ht="14" customHeight="1">
      <c r="A54" s="357">
        <v>68</v>
      </c>
      <c r="B54" s="357">
        <v>51</v>
      </c>
      <c r="C54" s="356" t="s">
        <v>721</v>
      </c>
      <c r="D54" s="356" t="s">
        <v>267</v>
      </c>
      <c r="E54" s="344" t="s">
        <v>97</v>
      </c>
      <c r="F54" s="356">
        <v>903114</v>
      </c>
      <c r="G54" s="343">
        <v>7.99</v>
      </c>
      <c r="H54" s="354" t="s">
        <v>40</v>
      </c>
      <c r="I54" s="407">
        <v>4.9409999999999996E-2</v>
      </c>
      <c r="J54" s="354" t="s">
        <v>660</v>
      </c>
      <c r="K54" s="353">
        <v>1.3935013836477992</v>
      </c>
      <c r="L54" s="319" t="s">
        <v>41</v>
      </c>
      <c r="M54" s="352">
        <v>49.901341424994619</v>
      </c>
      <c r="N54" s="324" t="s">
        <v>29</v>
      </c>
      <c r="O54" s="352">
        <v>58</v>
      </c>
      <c r="P54" s="354" t="s">
        <v>41</v>
      </c>
      <c r="Q54" s="351">
        <v>15</v>
      </c>
      <c r="R54" s="351">
        <v>6</v>
      </c>
      <c r="S54" s="351">
        <v>15</v>
      </c>
      <c r="T54" s="351">
        <v>18</v>
      </c>
      <c r="U54" s="351">
        <v>6</v>
      </c>
      <c r="V54" s="351">
        <v>24</v>
      </c>
      <c r="W54" s="350" t="s">
        <v>39</v>
      </c>
      <c r="X54" s="350">
        <v>50</v>
      </c>
      <c r="Y54" s="350" t="s">
        <v>45</v>
      </c>
      <c r="Z54" s="350">
        <v>50</v>
      </c>
      <c r="AA54" s="350">
        <v>18</v>
      </c>
      <c r="AB54" s="350">
        <v>12</v>
      </c>
      <c r="AC54" s="350">
        <v>14</v>
      </c>
      <c r="AD54" s="350" t="s">
        <v>39</v>
      </c>
      <c r="AE54" s="350">
        <v>50</v>
      </c>
      <c r="AF54" s="350" t="s">
        <v>661</v>
      </c>
      <c r="AG54" s="350">
        <v>50</v>
      </c>
      <c r="AH54" s="350" t="s">
        <v>662</v>
      </c>
      <c r="AI54" s="350">
        <v>30</v>
      </c>
      <c r="AJ54" s="350">
        <v>21.3</v>
      </c>
      <c r="AK54" s="350">
        <v>11.5</v>
      </c>
      <c r="AL54" s="350">
        <v>21.5</v>
      </c>
    </row>
    <row r="55" spans="1:38" s="349" customFormat="1" ht="14" customHeight="1">
      <c r="A55" s="357">
        <v>68</v>
      </c>
      <c r="B55" s="357">
        <v>52</v>
      </c>
      <c r="C55" s="356" t="s">
        <v>722</v>
      </c>
      <c r="D55" s="356" t="s">
        <v>267</v>
      </c>
      <c r="E55" s="344" t="s">
        <v>97</v>
      </c>
      <c r="F55" s="356">
        <v>903112</v>
      </c>
      <c r="G55" s="343">
        <v>7.78</v>
      </c>
      <c r="H55" s="354" t="s">
        <v>40</v>
      </c>
      <c r="I55" s="407">
        <v>0.1011</v>
      </c>
      <c r="J55" s="354" t="s">
        <v>660</v>
      </c>
      <c r="K55" s="353">
        <v>1.84424855345912</v>
      </c>
      <c r="L55" s="319" t="s">
        <v>28</v>
      </c>
      <c r="M55" s="352">
        <v>51.447545142516041</v>
      </c>
      <c r="N55" s="324" t="s">
        <v>29</v>
      </c>
      <c r="O55" s="352">
        <v>569.20000000000005</v>
      </c>
      <c r="P55" s="354" t="s">
        <v>30</v>
      </c>
      <c r="Q55" s="351">
        <v>15</v>
      </c>
      <c r="R55" s="351">
        <v>6</v>
      </c>
      <c r="S55" s="351">
        <v>10</v>
      </c>
      <c r="T55" s="351">
        <v>18</v>
      </c>
      <c r="U55" s="351">
        <v>6</v>
      </c>
      <c r="V55" s="351">
        <v>12</v>
      </c>
      <c r="W55" s="350" t="s">
        <v>39</v>
      </c>
      <c r="X55" s="350">
        <v>50</v>
      </c>
      <c r="Y55" s="350" t="s">
        <v>35</v>
      </c>
      <c r="Z55" s="350">
        <v>50</v>
      </c>
      <c r="AA55" s="350">
        <v>18.5</v>
      </c>
      <c r="AB55" s="350">
        <v>11.5</v>
      </c>
      <c r="AC55" s="350">
        <v>13</v>
      </c>
      <c r="AD55" s="350" t="s">
        <v>664</v>
      </c>
      <c r="AE55" s="350">
        <v>50</v>
      </c>
      <c r="AF55" s="350" t="s">
        <v>665</v>
      </c>
      <c r="AG55" s="350">
        <v>50</v>
      </c>
      <c r="AH55" s="350" t="s">
        <v>662</v>
      </c>
      <c r="AI55" s="350">
        <v>0</v>
      </c>
      <c r="AJ55" s="350">
        <v>17</v>
      </c>
      <c r="AK55" s="350">
        <v>7</v>
      </c>
      <c r="AL55" s="350">
        <v>18</v>
      </c>
    </row>
    <row r="56" spans="1:38" s="349" customFormat="1" ht="14" customHeight="1">
      <c r="A56" s="357">
        <v>68</v>
      </c>
      <c r="B56" s="357">
        <v>53</v>
      </c>
      <c r="C56" s="356" t="s">
        <v>723</v>
      </c>
      <c r="D56" s="356" t="s">
        <v>267</v>
      </c>
      <c r="E56" s="344" t="s">
        <v>97</v>
      </c>
      <c r="F56" s="356">
        <v>903149</v>
      </c>
      <c r="G56" s="343">
        <v>7.27</v>
      </c>
      <c r="H56" s="354" t="s">
        <v>28</v>
      </c>
      <c r="I56" s="407">
        <v>1.472E-2</v>
      </c>
      <c r="J56" s="354" t="s">
        <v>660</v>
      </c>
      <c r="K56" s="353">
        <v>0.36966138364779899</v>
      </c>
      <c r="L56" s="319" t="s">
        <v>41</v>
      </c>
      <c r="M56" s="352">
        <v>21.025054303669432</v>
      </c>
      <c r="N56" s="324" t="s">
        <v>28</v>
      </c>
      <c r="O56" s="352">
        <v>26.400000000000002</v>
      </c>
      <c r="P56" s="354" t="s">
        <v>37</v>
      </c>
      <c r="Q56" s="351">
        <v>18</v>
      </c>
      <c r="R56" s="351">
        <v>9</v>
      </c>
      <c r="S56" s="351">
        <v>15</v>
      </c>
      <c r="T56" s="351">
        <v>24</v>
      </c>
      <c r="U56" s="351">
        <v>9</v>
      </c>
      <c r="V56" s="351">
        <v>24</v>
      </c>
      <c r="W56" s="350" t="s">
        <v>39</v>
      </c>
      <c r="X56" s="350">
        <v>50</v>
      </c>
      <c r="Y56" s="350" t="s">
        <v>45</v>
      </c>
      <c r="Z56" s="350">
        <v>50</v>
      </c>
      <c r="AA56" s="350">
        <v>18</v>
      </c>
      <c r="AB56" s="350">
        <v>12</v>
      </c>
      <c r="AC56" s="350">
        <v>14</v>
      </c>
      <c r="AD56" s="350" t="s">
        <v>39</v>
      </c>
      <c r="AE56" s="350">
        <v>50</v>
      </c>
      <c r="AF56" s="350" t="s">
        <v>661</v>
      </c>
      <c r="AG56" s="350">
        <v>50</v>
      </c>
      <c r="AH56" s="350" t="s">
        <v>662</v>
      </c>
      <c r="AI56" s="350">
        <v>30</v>
      </c>
      <c r="AJ56" s="350">
        <v>21.3</v>
      </c>
      <c r="AK56" s="350">
        <v>11.5</v>
      </c>
      <c r="AL56" s="350">
        <v>21.5</v>
      </c>
    </row>
    <row r="57" spans="1:38" s="349" customFormat="1" ht="14" customHeight="1">
      <c r="A57" s="357">
        <v>68</v>
      </c>
      <c r="B57" s="357">
        <v>54</v>
      </c>
      <c r="C57" s="356" t="s">
        <v>724</v>
      </c>
      <c r="D57" s="356" t="s">
        <v>267</v>
      </c>
      <c r="E57" s="344" t="s">
        <v>97</v>
      </c>
      <c r="F57" s="356">
        <v>903151</v>
      </c>
      <c r="G57" s="343">
        <v>6.92</v>
      </c>
      <c r="H57" s="354" t="s">
        <v>28</v>
      </c>
      <c r="I57" s="407">
        <v>1.8609999999999998E-2</v>
      </c>
      <c r="J57" s="354" t="s">
        <v>660</v>
      </c>
      <c r="K57" s="353">
        <v>0.19150893081761103</v>
      </c>
      <c r="L57" s="319" t="s">
        <v>41</v>
      </c>
      <c r="M57" s="352">
        <v>25.609776318625745</v>
      </c>
      <c r="N57" s="324" t="s">
        <v>28</v>
      </c>
      <c r="O57" s="352">
        <v>16.399999999999999</v>
      </c>
      <c r="P57" s="354" t="s">
        <v>37</v>
      </c>
      <c r="Q57" s="351">
        <v>18</v>
      </c>
      <c r="R57" s="351">
        <v>9</v>
      </c>
      <c r="S57" s="351">
        <v>15</v>
      </c>
      <c r="T57" s="351">
        <v>24</v>
      </c>
      <c r="U57" s="351">
        <v>9</v>
      </c>
      <c r="V57" s="351">
        <v>24</v>
      </c>
      <c r="W57" s="350" t="s">
        <v>39</v>
      </c>
      <c r="X57" s="350">
        <v>50</v>
      </c>
      <c r="Y57" s="350" t="s">
        <v>45</v>
      </c>
      <c r="Z57" s="350">
        <v>50</v>
      </c>
      <c r="AA57" s="350">
        <v>18</v>
      </c>
      <c r="AB57" s="350">
        <v>12</v>
      </c>
      <c r="AC57" s="350">
        <v>14</v>
      </c>
      <c r="AD57" s="350" t="s">
        <v>39</v>
      </c>
      <c r="AE57" s="350">
        <v>50</v>
      </c>
      <c r="AF57" s="350" t="s">
        <v>661</v>
      </c>
      <c r="AG57" s="350">
        <v>50</v>
      </c>
      <c r="AH57" s="350" t="s">
        <v>662</v>
      </c>
      <c r="AI57" s="350">
        <v>30</v>
      </c>
      <c r="AJ57" s="350">
        <v>21.3</v>
      </c>
      <c r="AK57" s="350">
        <v>11.5</v>
      </c>
      <c r="AL57" s="350">
        <v>21.5</v>
      </c>
    </row>
    <row r="58" spans="1:38" s="349" customFormat="1" ht="14" customHeight="1">
      <c r="A58" s="357">
        <v>68</v>
      </c>
      <c r="B58" s="357">
        <v>55</v>
      </c>
      <c r="C58" s="356" t="s">
        <v>725</v>
      </c>
      <c r="D58" s="356" t="s">
        <v>267</v>
      </c>
      <c r="E58" s="344" t="s">
        <v>97</v>
      </c>
      <c r="F58" s="356">
        <v>903145</v>
      </c>
      <c r="G58" s="343">
        <v>6.98</v>
      </c>
      <c r="H58" s="354" t="s">
        <v>28</v>
      </c>
      <c r="I58" s="407">
        <v>0.15290000000000001</v>
      </c>
      <c r="J58" s="354" t="s">
        <v>660</v>
      </c>
      <c r="K58" s="353">
        <v>0.5800100628930831</v>
      </c>
      <c r="L58" s="319" t="s">
        <v>41</v>
      </c>
      <c r="M58" s="352">
        <v>21.298645309986899</v>
      </c>
      <c r="N58" s="324" t="s">
        <v>28</v>
      </c>
      <c r="O58" s="352">
        <v>301.2</v>
      </c>
      <c r="P58" s="354" t="s">
        <v>30</v>
      </c>
      <c r="Q58" s="351">
        <v>18</v>
      </c>
      <c r="R58" s="351">
        <v>9</v>
      </c>
      <c r="S58" s="351">
        <v>10</v>
      </c>
      <c r="T58" s="351">
        <v>24</v>
      </c>
      <c r="U58" s="351">
        <v>9</v>
      </c>
      <c r="V58" s="351">
        <v>12</v>
      </c>
      <c r="W58" s="350" t="s">
        <v>39</v>
      </c>
      <c r="X58" s="350">
        <v>50</v>
      </c>
      <c r="Y58" s="350" t="s">
        <v>45</v>
      </c>
      <c r="Z58" s="350">
        <v>50</v>
      </c>
      <c r="AA58" s="350">
        <v>18</v>
      </c>
      <c r="AB58" s="350">
        <v>12</v>
      </c>
      <c r="AC58" s="350">
        <v>14</v>
      </c>
      <c r="AD58" s="350" t="s">
        <v>39</v>
      </c>
      <c r="AE58" s="350">
        <v>50</v>
      </c>
      <c r="AF58" s="350" t="s">
        <v>661</v>
      </c>
      <c r="AG58" s="350">
        <v>50</v>
      </c>
      <c r="AH58" s="350" t="s">
        <v>662</v>
      </c>
      <c r="AI58" s="350">
        <v>30</v>
      </c>
      <c r="AJ58" s="350">
        <v>21.3</v>
      </c>
      <c r="AK58" s="350">
        <v>11.5</v>
      </c>
      <c r="AL58" s="350">
        <v>21.5</v>
      </c>
    </row>
    <row r="59" spans="1:38" s="349" customFormat="1" ht="14" customHeight="1">
      <c r="A59" s="357">
        <v>68</v>
      </c>
      <c r="B59" s="357">
        <v>56</v>
      </c>
      <c r="C59" s="356" t="s">
        <v>726</v>
      </c>
      <c r="D59" s="356" t="s">
        <v>267</v>
      </c>
      <c r="E59" s="344" t="s">
        <v>97</v>
      </c>
      <c r="F59" s="356">
        <v>903123</v>
      </c>
      <c r="G59" s="343">
        <v>7.36</v>
      </c>
      <c r="H59" s="354" t="s">
        <v>40</v>
      </c>
      <c r="I59" s="407">
        <v>5.6939999999999998E-2</v>
      </c>
      <c r="J59" s="354" t="s">
        <v>660</v>
      </c>
      <c r="K59" s="353">
        <v>1.8936161006289307</v>
      </c>
      <c r="L59" s="319" t="s">
        <v>28</v>
      </c>
      <c r="M59" s="352">
        <v>45.92598119683629</v>
      </c>
      <c r="N59" s="324" t="s">
        <v>29</v>
      </c>
      <c r="O59" s="352">
        <v>333.59999999999997</v>
      </c>
      <c r="P59" s="354" t="s">
        <v>30</v>
      </c>
      <c r="Q59" s="351">
        <v>15</v>
      </c>
      <c r="R59" s="351">
        <v>6</v>
      </c>
      <c r="S59" s="351">
        <v>10</v>
      </c>
      <c r="T59" s="351">
        <v>18</v>
      </c>
      <c r="U59" s="351">
        <v>6</v>
      </c>
      <c r="V59" s="351">
        <v>12</v>
      </c>
      <c r="W59" s="350" t="s">
        <v>39</v>
      </c>
      <c r="X59" s="350">
        <v>50</v>
      </c>
      <c r="Y59" s="350" t="s">
        <v>35</v>
      </c>
      <c r="Z59" s="350">
        <v>50</v>
      </c>
      <c r="AA59" s="350">
        <v>18.5</v>
      </c>
      <c r="AB59" s="350">
        <v>11.5</v>
      </c>
      <c r="AC59" s="350">
        <v>13</v>
      </c>
      <c r="AD59" s="350" t="s">
        <v>664</v>
      </c>
      <c r="AE59" s="350">
        <v>50</v>
      </c>
      <c r="AF59" s="350" t="s">
        <v>665</v>
      </c>
      <c r="AG59" s="350">
        <v>50</v>
      </c>
      <c r="AH59" s="350" t="s">
        <v>662</v>
      </c>
      <c r="AI59" s="350">
        <v>0</v>
      </c>
      <c r="AJ59" s="350">
        <v>17</v>
      </c>
      <c r="AK59" s="350">
        <v>7</v>
      </c>
      <c r="AL59" s="350">
        <v>18</v>
      </c>
    </row>
    <row r="60" spans="1:38" s="349" customFormat="1" ht="14" customHeight="1">
      <c r="A60" s="357">
        <v>68</v>
      </c>
      <c r="B60" s="357">
        <v>57</v>
      </c>
      <c r="C60" s="356" t="s">
        <v>727</v>
      </c>
      <c r="D60" s="356" t="s">
        <v>267</v>
      </c>
      <c r="E60" s="344" t="s">
        <v>97</v>
      </c>
      <c r="F60" s="356">
        <v>903122</v>
      </c>
      <c r="G60" s="343">
        <v>7.1</v>
      </c>
      <c r="H60" s="354" t="s">
        <v>28</v>
      </c>
      <c r="I60" s="407">
        <v>4.147E-2</v>
      </c>
      <c r="J60" s="354" t="s">
        <v>660</v>
      </c>
      <c r="K60" s="353">
        <v>1.0629534591194971</v>
      </c>
      <c r="L60" s="319" t="s">
        <v>41</v>
      </c>
      <c r="M60" s="352">
        <v>50.970833540599251</v>
      </c>
      <c r="N60" s="324" t="s">
        <v>29</v>
      </c>
      <c r="O60" s="352">
        <v>43.199999999999996</v>
      </c>
      <c r="P60" s="354" t="s">
        <v>41</v>
      </c>
      <c r="Q60" s="351">
        <v>15</v>
      </c>
      <c r="R60" s="351">
        <v>6</v>
      </c>
      <c r="S60" s="351">
        <v>15</v>
      </c>
      <c r="T60" s="351">
        <v>18</v>
      </c>
      <c r="U60" s="351">
        <v>6</v>
      </c>
      <c r="V60" s="351">
        <v>24</v>
      </c>
      <c r="W60" s="350" t="s">
        <v>39</v>
      </c>
      <c r="X60" s="350">
        <v>50</v>
      </c>
      <c r="Y60" s="350" t="s">
        <v>45</v>
      </c>
      <c r="Z60" s="350">
        <v>50</v>
      </c>
      <c r="AA60" s="350">
        <v>18</v>
      </c>
      <c r="AB60" s="350">
        <v>12</v>
      </c>
      <c r="AC60" s="350">
        <v>14</v>
      </c>
      <c r="AD60" s="350" t="s">
        <v>39</v>
      </c>
      <c r="AE60" s="350">
        <v>50</v>
      </c>
      <c r="AF60" s="350" t="s">
        <v>661</v>
      </c>
      <c r="AG60" s="350">
        <v>50</v>
      </c>
      <c r="AH60" s="350" t="s">
        <v>662</v>
      </c>
      <c r="AI60" s="350">
        <v>30</v>
      </c>
      <c r="AJ60" s="350">
        <v>21.3</v>
      </c>
      <c r="AK60" s="350">
        <v>11.5</v>
      </c>
      <c r="AL60" s="350">
        <v>21.5</v>
      </c>
    </row>
    <row r="61" spans="1:38" s="349" customFormat="1" ht="14" customHeight="1">
      <c r="A61" s="357">
        <v>68</v>
      </c>
      <c r="B61" s="357">
        <v>58</v>
      </c>
      <c r="C61" s="356" t="s">
        <v>728</v>
      </c>
      <c r="D61" s="356" t="s">
        <v>267</v>
      </c>
      <c r="E61" s="344" t="s">
        <v>97</v>
      </c>
      <c r="F61" s="356">
        <v>903115</v>
      </c>
      <c r="G61" s="343">
        <v>8.24</v>
      </c>
      <c r="H61" s="354" t="s">
        <v>40</v>
      </c>
      <c r="I61" s="407">
        <v>0.10150000000000001</v>
      </c>
      <c r="J61" s="354" t="s">
        <v>660</v>
      </c>
      <c r="K61" s="353">
        <v>1.4235511949685538</v>
      </c>
      <c r="L61" s="319" t="s">
        <v>41</v>
      </c>
      <c r="M61" s="352">
        <v>26.434694655855676</v>
      </c>
      <c r="N61" s="324" t="s">
        <v>28</v>
      </c>
      <c r="O61" s="352">
        <v>196.39999999999998</v>
      </c>
      <c r="P61" s="354" t="s">
        <v>30</v>
      </c>
      <c r="Q61" s="351">
        <v>15</v>
      </c>
      <c r="R61" s="351">
        <v>9</v>
      </c>
      <c r="S61" s="351">
        <v>10</v>
      </c>
      <c r="T61" s="351">
        <v>18</v>
      </c>
      <c r="U61" s="351">
        <v>9</v>
      </c>
      <c r="V61" s="351">
        <v>12</v>
      </c>
      <c r="W61" s="350" t="s">
        <v>39</v>
      </c>
      <c r="X61" s="350">
        <v>50</v>
      </c>
      <c r="Y61" s="350" t="s">
        <v>45</v>
      </c>
      <c r="Z61" s="350">
        <v>50</v>
      </c>
      <c r="AA61" s="350">
        <v>18</v>
      </c>
      <c r="AB61" s="350">
        <v>12</v>
      </c>
      <c r="AC61" s="350">
        <v>14</v>
      </c>
      <c r="AD61" s="350" t="s">
        <v>39</v>
      </c>
      <c r="AE61" s="350">
        <v>50</v>
      </c>
      <c r="AF61" s="350" t="s">
        <v>661</v>
      </c>
      <c r="AG61" s="350">
        <v>50</v>
      </c>
      <c r="AH61" s="350" t="s">
        <v>662</v>
      </c>
      <c r="AI61" s="350">
        <v>30</v>
      </c>
      <c r="AJ61" s="350">
        <v>21.3</v>
      </c>
      <c r="AK61" s="350">
        <v>11.5</v>
      </c>
      <c r="AL61" s="350">
        <v>21.5</v>
      </c>
    </row>
    <row r="62" spans="1:38" s="349" customFormat="1" ht="14" customHeight="1">
      <c r="A62" s="357">
        <v>68</v>
      </c>
      <c r="B62" s="357">
        <v>59</v>
      </c>
      <c r="C62" s="356" t="s">
        <v>729</v>
      </c>
      <c r="D62" s="356" t="s">
        <v>267</v>
      </c>
      <c r="E62" s="344" t="s">
        <v>97</v>
      </c>
      <c r="F62" s="356">
        <v>903138</v>
      </c>
      <c r="G62" s="343">
        <v>8.65</v>
      </c>
      <c r="H62" s="354" t="s">
        <v>36</v>
      </c>
      <c r="I62" s="407">
        <v>0.1638</v>
      </c>
      <c r="J62" s="354" t="s">
        <v>660</v>
      </c>
      <c r="K62" s="353">
        <v>1.2110561006289318</v>
      </c>
      <c r="L62" s="319" t="s">
        <v>41</v>
      </c>
      <c r="M62" s="352">
        <v>48.015221608715109</v>
      </c>
      <c r="N62" s="324" t="s">
        <v>29</v>
      </c>
      <c r="O62" s="352">
        <v>44.800000000000004</v>
      </c>
      <c r="P62" s="354" t="s">
        <v>41</v>
      </c>
      <c r="Q62" s="351">
        <v>15</v>
      </c>
      <c r="R62" s="351">
        <v>6</v>
      </c>
      <c r="S62" s="351">
        <v>15</v>
      </c>
      <c r="T62" s="351">
        <v>18</v>
      </c>
      <c r="U62" s="351">
        <v>6</v>
      </c>
      <c r="V62" s="351">
        <v>24</v>
      </c>
      <c r="W62" s="350" t="s">
        <v>39</v>
      </c>
      <c r="X62" s="350">
        <v>50</v>
      </c>
      <c r="Y62" s="350" t="s">
        <v>45</v>
      </c>
      <c r="Z62" s="350">
        <v>50</v>
      </c>
      <c r="AA62" s="350">
        <v>18</v>
      </c>
      <c r="AB62" s="350">
        <v>12</v>
      </c>
      <c r="AC62" s="350">
        <v>14</v>
      </c>
      <c r="AD62" s="350" t="s">
        <v>39</v>
      </c>
      <c r="AE62" s="350">
        <v>50</v>
      </c>
      <c r="AF62" s="350" t="s">
        <v>661</v>
      </c>
      <c r="AG62" s="350">
        <v>50</v>
      </c>
      <c r="AH62" s="350" t="s">
        <v>662</v>
      </c>
      <c r="AI62" s="350">
        <v>30</v>
      </c>
      <c r="AJ62" s="350">
        <v>21.3</v>
      </c>
      <c r="AK62" s="350">
        <v>11.5</v>
      </c>
      <c r="AL62" s="350">
        <v>21.5</v>
      </c>
    </row>
    <row r="63" spans="1:38" s="349" customFormat="1" ht="14" customHeight="1">
      <c r="A63" s="357">
        <v>68</v>
      </c>
      <c r="B63" s="357">
        <v>60</v>
      </c>
      <c r="C63" s="356" t="s">
        <v>730</v>
      </c>
      <c r="D63" s="356" t="s">
        <v>267</v>
      </c>
      <c r="E63" s="344" t="s">
        <v>97</v>
      </c>
      <c r="F63" s="356">
        <v>903113</v>
      </c>
      <c r="G63" s="343">
        <v>8.68</v>
      </c>
      <c r="H63" s="354" t="s">
        <v>36</v>
      </c>
      <c r="I63" s="407">
        <v>8.1019999999999995E-2</v>
      </c>
      <c r="J63" s="354" t="s">
        <v>660</v>
      </c>
      <c r="K63" s="353">
        <v>0.91485081761006481</v>
      </c>
      <c r="L63" s="319" t="s">
        <v>41</v>
      </c>
      <c r="M63" s="352">
        <v>44.997429902667925</v>
      </c>
      <c r="N63" s="324" t="s">
        <v>29</v>
      </c>
      <c r="O63" s="352">
        <v>455.6</v>
      </c>
      <c r="P63" s="354" t="s">
        <v>30</v>
      </c>
      <c r="Q63" s="351">
        <v>18</v>
      </c>
      <c r="R63" s="351">
        <v>6</v>
      </c>
      <c r="S63" s="351">
        <v>10</v>
      </c>
      <c r="T63" s="351">
        <v>24</v>
      </c>
      <c r="U63" s="351">
        <v>6</v>
      </c>
      <c r="V63" s="351">
        <v>12</v>
      </c>
      <c r="W63" s="350" t="s">
        <v>39</v>
      </c>
      <c r="X63" s="350">
        <v>50</v>
      </c>
      <c r="Y63" s="350" t="s">
        <v>45</v>
      </c>
      <c r="Z63" s="350">
        <v>50</v>
      </c>
      <c r="AA63" s="350">
        <v>18</v>
      </c>
      <c r="AB63" s="350">
        <v>12</v>
      </c>
      <c r="AC63" s="350">
        <v>14</v>
      </c>
      <c r="AD63" s="350" t="s">
        <v>39</v>
      </c>
      <c r="AE63" s="350">
        <v>50</v>
      </c>
      <c r="AF63" s="350" t="s">
        <v>661</v>
      </c>
      <c r="AG63" s="350">
        <v>50</v>
      </c>
      <c r="AH63" s="350" t="s">
        <v>662</v>
      </c>
      <c r="AI63" s="350">
        <v>30</v>
      </c>
      <c r="AJ63" s="350">
        <v>21.3</v>
      </c>
      <c r="AK63" s="350">
        <v>11.5</v>
      </c>
      <c r="AL63" s="350">
        <v>21.5</v>
      </c>
    </row>
    <row r="64" spans="1:38" s="349" customFormat="1" ht="14" customHeight="1">
      <c r="A64" s="357">
        <v>68</v>
      </c>
      <c r="B64" s="357">
        <v>61</v>
      </c>
      <c r="C64" s="356" t="s">
        <v>731</v>
      </c>
      <c r="D64" s="356" t="s">
        <v>267</v>
      </c>
      <c r="E64" s="344" t="s">
        <v>97</v>
      </c>
      <c r="F64" s="356">
        <v>903109</v>
      </c>
      <c r="G64" s="343">
        <v>8.33</v>
      </c>
      <c r="H64" s="354" t="s">
        <v>40</v>
      </c>
      <c r="I64" s="407">
        <v>7.6069999999999999E-2</v>
      </c>
      <c r="J64" s="354" t="s">
        <v>660</v>
      </c>
      <c r="K64" s="353">
        <v>1.0543677987421396</v>
      </c>
      <c r="L64" s="319" t="s">
        <v>41</v>
      </c>
      <c r="M64" s="352">
        <v>45.892818650616</v>
      </c>
      <c r="N64" s="324" t="s">
        <v>29</v>
      </c>
      <c r="O64" s="352">
        <v>122</v>
      </c>
      <c r="P64" s="354" t="s">
        <v>30</v>
      </c>
      <c r="Q64" s="351">
        <v>15</v>
      </c>
      <c r="R64" s="351">
        <v>6</v>
      </c>
      <c r="S64" s="351">
        <v>10</v>
      </c>
      <c r="T64" s="351">
        <v>18</v>
      </c>
      <c r="U64" s="351">
        <v>6</v>
      </c>
      <c r="V64" s="351">
        <v>12</v>
      </c>
      <c r="W64" s="350" t="s">
        <v>39</v>
      </c>
      <c r="X64" s="350">
        <v>50</v>
      </c>
      <c r="Y64" s="350" t="s">
        <v>45</v>
      </c>
      <c r="Z64" s="350">
        <v>50</v>
      </c>
      <c r="AA64" s="350">
        <v>18</v>
      </c>
      <c r="AB64" s="350">
        <v>12</v>
      </c>
      <c r="AC64" s="350">
        <v>14</v>
      </c>
      <c r="AD64" s="350" t="s">
        <v>39</v>
      </c>
      <c r="AE64" s="350">
        <v>50</v>
      </c>
      <c r="AF64" s="350" t="s">
        <v>661</v>
      </c>
      <c r="AG64" s="350">
        <v>50</v>
      </c>
      <c r="AH64" s="350" t="s">
        <v>662</v>
      </c>
      <c r="AI64" s="350">
        <v>30</v>
      </c>
      <c r="AJ64" s="350">
        <v>21.3</v>
      </c>
      <c r="AK64" s="350">
        <v>11.5</v>
      </c>
      <c r="AL64" s="350">
        <v>21.5</v>
      </c>
    </row>
    <row r="65" spans="1:38" s="349" customFormat="1" ht="14" customHeight="1">
      <c r="A65" s="357">
        <v>68</v>
      </c>
      <c r="B65" s="357">
        <v>62</v>
      </c>
      <c r="C65" s="356" t="s">
        <v>732</v>
      </c>
      <c r="D65" s="356" t="s">
        <v>267</v>
      </c>
      <c r="E65" s="344" t="s">
        <v>97</v>
      </c>
      <c r="F65" s="356">
        <v>903137</v>
      </c>
      <c r="G65" s="343">
        <v>8.5299999999999994</v>
      </c>
      <c r="H65" s="354" t="s">
        <v>36</v>
      </c>
      <c r="I65" s="407">
        <v>8.1769999999999995E-2</v>
      </c>
      <c r="J65" s="354" t="s">
        <v>660</v>
      </c>
      <c r="K65" s="353">
        <v>6.701685534591223E-2</v>
      </c>
      <c r="L65" s="319" t="s">
        <v>41</v>
      </c>
      <c r="M65" s="352">
        <v>25.709263957286641</v>
      </c>
      <c r="N65" s="324" t="s">
        <v>28</v>
      </c>
      <c r="O65" s="352">
        <v>108.80000000000001</v>
      </c>
      <c r="P65" s="354" t="s">
        <v>29</v>
      </c>
      <c r="Q65" s="351">
        <v>18</v>
      </c>
      <c r="R65" s="351">
        <v>9</v>
      </c>
      <c r="S65" s="351">
        <v>10</v>
      </c>
      <c r="T65" s="351">
        <v>24</v>
      </c>
      <c r="U65" s="351">
        <v>9</v>
      </c>
      <c r="V65" s="351">
        <v>12</v>
      </c>
      <c r="W65" s="350" t="s">
        <v>39</v>
      </c>
      <c r="X65" s="350">
        <v>50</v>
      </c>
      <c r="Y65" s="350" t="s">
        <v>45</v>
      </c>
      <c r="Z65" s="350">
        <v>50</v>
      </c>
      <c r="AA65" s="350">
        <v>18</v>
      </c>
      <c r="AB65" s="350">
        <v>12</v>
      </c>
      <c r="AC65" s="350">
        <v>14</v>
      </c>
      <c r="AD65" s="350" t="s">
        <v>39</v>
      </c>
      <c r="AE65" s="350">
        <v>50</v>
      </c>
      <c r="AF65" s="350" t="s">
        <v>661</v>
      </c>
      <c r="AG65" s="350">
        <v>50</v>
      </c>
      <c r="AH65" s="350" t="s">
        <v>662</v>
      </c>
      <c r="AI65" s="350">
        <v>30</v>
      </c>
      <c r="AJ65" s="350">
        <v>21.3</v>
      </c>
      <c r="AK65" s="350">
        <v>11.5</v>
      </c>
      <c r="AL65" s="350">
        <v>21.5</v>
      </c>
    </row>
    <row r="66" spans="1:38" s="349" customFormat="1" ht="14" customHeight="1">
      <c r="A66" s="357">
        <v>68</v>
      </c>
      <c r="B66" s="357">
        <v>63</v>
      </c>
      <c r="C66" s="356" t="s">
        <v>733</v>
      </c>
      <c r="D66" s="356" t="s">
        <v>267</v>
      </c>
      <c r="E66" s="344" t="s">
        <v>97</v>
      </c>
      <c r="F66" s="356">
        <v>903150</v>
      </c>
      <c r="G66" s="342">
        <v>8.1999999999999993</v>
      </c>
      <c r="H66" s="354" t="s">
        <v>40</v>
      </c>
      <c r="I66" s="346">
        <v>6.9000000000000006E-2</v>
      </c>
      <c r="J66" s="354" t="s">
        <v>660</v>
      </c>
      <c r="K66" s="353">
        <v>0.52134138364779992</v>
      </c>
      <c r="L66" s="319" t="s">
        <v>41</v>
      </c>
      <c r="M66" s="352">
        <v>24.743404798620436</v>
      </c>
      <c r="N66" s="324" t="s">
        <v>28</v>
      </c>
      <c r="O66" s="352">
        <v>26</v>
      </c>
      <c r="P66" s="354" t="s">
        <v>37</v>
      </c>
      <c r="Q66" s="351">
        <v>18</v>
      </c>
      <c r="R66" s="351">
        <v>9</v>
      </c>
      <c r="S66" s="351">
        <v>15</v>
      </c>
      <c r="T66" s="351">
        <v>24</v>
      </c>
      <c r="U66" s="351">
        <v>9</v>
      </c>
      <c r="V66" s="351">
        <v>24</v>
      </c>
      <c r="W66" s="350" t="s">
        <v>39</v>
      </c>
      <c r="X66" s="350">
        <v>50</v>
      </c>
      <c r="Y66" s="350" t="s">
        <v>45</v>
      </c>
      <c r="Z66" s="350">
        <v>50</v>
      </c>
      <c r="AA66" s="350">
        <v>18</v>
      </c>
      <c r="AB66" s="350">
        <v>12</v>
      </c>
      <c r="AC66" s="350">
        <v>14</v>
      </c>
      <c r="AD66" s="350" t="s">
        <v>39</v>
      </c>
      <c r="AE66" s="350">
        <v>50</v>
      </c>
      <c r="AF66" s="350" t="s">
        <v>661</v>
      </c>
      <c r="AG66" s="350">
        <v>50</v>
      </c>
      <c r="AH66" s="350" t="s">
        <v>662</v>
      </c>
      <c r="AI66" s="350">
        <v>30</v>
      </c>
      <c r="AJ66" s="350">
        <v>21.3</v>
      </c>
      <c r="AK66" s="350">
        <v>11.5</v>
      </c>
      <c r="AL66" s="350">
        <v>21.5</v>
      </c>
    </row>
    <row r="67" spans="1:38" s="349" customFormat="1" ht="14" customHeight="1">
      <c r="A67" s="357">
        <v>68</v>
      </c>
      <c r="B67" s="357">
        <v>64</v>
      </c>
      <c r="C67" s="356" t="s">
        <v>734</v>
      </c>
      <c r="D67" s="356" t="s">
        <v>267</v>
      </c>
      <c r="E67" s="344" t="s">
        <v>97</v>
      </c>
      <c r="F67" s="356">
        <v>903121</v>
      </c>
      <c r="G67" s="343">
        <v>7.5</v>
      </c>
      <c r="H67" s="354" t="s">
        <v>40</v>
      </c>
      <c r="I67" s="407">
        <v>3.6479999999999999E-2</v>
      </c>
      <c r="J67" s="354" t="s">
        <v>660</v>
      </c>
      <c r="K67" s="353">
        <v>0.82470138364779888</v>
      </c>
      <c r="L67" s="319" t="s">
        <v>41</v>
      </c>
      <c r="M67" s="352">
        <v>49.329287502694463</v>
      </c>
      <c r="N67" s="324" t="s">
        <v>29</v>
      </c>
      <c r="O67" s="352">
        <v>5.9999999999999991</v>
      </c>
      <c r="P67" s="354" t="s">
        <v>37</v>
      </c>
      <c r="Q67" s="351">
        <v>18</v>
      </c>
      <c r="R67" s="351">
        <v>6</v>
      </c>
      <c r="S67" s="351">
        <v>15</v>
      </c>
      <c r="T67" s="351">
        <v>24</v>
      </c>
      <c r="U67" s="351">
        <v>6</v>
      </c>
      <c r="V67" s="351">
        <v>24</v>
      </c>
      <c r="W67" s="350" t="s">
        <v>39</v>
      </c>
      <c r="X67" s="350">
        <v>50</v>
      </c>
      <c r="Y67" s="350" t="s">
        <v>35</v>
      </c>
      <c r="Z67" s="350">
        <v>50</v>
      </c>
      <c r="AA67" s="350">
        <v>18.5</v>
      </c>
      <c r="AB67" s="350">
        <v>11.5</v>
      </c>
      <c r="AC67" s="350">
        <v>13</v>
      </c>
      <c r="AD67" s="350" t="s">
        <v>664</v>
      </c>
      <c r="AE67" s="350">
        <v>50</v>
      </c>
      <c r="AF67" s="350" t="s">
        <v>665</v>
      </c>
      <c r="AG67" s="350">
        <v>50</v>
      </c>
      <c r="AH67" s="350" t="s">
        <v>662</v>
      </c>
      <c r="AI67" s="350">
        <v>0</v>
      </c>
      <c r="AJ67" s="350">
        <v>17</v>
      </c>
      <c r="AK67" s="350">
        <v>7</v>
      </c>
      <c r="AL67" s="350">
        <v>18</v>
      </c>
    </row>
    <row r="68" spans="1:38" s="349" customFormat="1" ht="14" customHeight="1">
      <c r="A68" s="357">
        <v>68</v>
      </c>
      <c r="B68" s="357">
        <v>65</v>
      </c>
      <c r="C68" s="356" t="s">
        <v>735</v>
      </c>
      <c r="D68" s="356" t="s">
        <v>267</v>
      </c>
      <c r="E68" s="344" t="s">
        <v>97</v>
      </c>
      <c r="F68" s="356">
        <v>903153</v>
      </c>
      <c r="G68" s="343">
        <v>7.81</v>
      </c>
      <c r="H68" s="354" t="s">
        <v>40</v>
      </c>
      <c r="I68" s="407">
        <v>0.1361</v>
      </c>
      <c r="J68" s="354" t="s">
        <v>660</v>
      </c>
      <c r="K68" s="353">
        <v>1.3054983647798744</v>
      </c>
      <c r="L68" s="319" t="s">
        <v>41</v>
      </c>
      <c r="M68" s="352">
        <v>31.317879586794671</v>
      </c>
      <c r="N68" s="324" t="s">
        <v>28</v>
      </c>
      <c r="O68" s="352">
        <v>5.9999999999999991</v>
      </c>
      <c r="P68" s="354" t="s">
        <v>37</v>
      </c>
      <c r="Q68" s="351">
        <v>15</v>
      </c>
      <c r="R68" s="351">
        <v>6</v>
      </c>
      <c r="S68" s="351">
        <v>15</v>
      </c>
      <c r="T68" s="351">
        <v>18</v>
      </c>
      <c r="U68" s="351">
        <v>6</v>
      </c>
      <c r="V68" s="351">
        <v>24</v>
      </c>
      <c r="W68" s="350" t="s">
        <v>39</v>
      </c>
      <c r="X68" s="350">
        <v>50</v>
      </c>
      <c r="Y68" s="350" t="s">
        <v>45</v>
      </c>
      <c r="Z68" s="350">
        <v>50</v>
      </c>
      <c r="AA68" s="350">
        <v>18</v>
      </c>
      <c r="AB68" s="350">
        <v>12</v>
      </c>
      <c r="AC68" s="350">
        <v>14</v>
      </c>
      <c r="AD68" s="350" t="s">
        <v>39</v>
      </c>
      <c r="AE68" s="350">
        <v>50</v>
      </c>
      <c r="AF68" s="350" t="s">
        <v>661</v>
      </c>
      <c r="AG68" s="350">
        <v>50</v>
      </c>
      <c r="AH68" s="350" t="s">
        <v>662</v>
      </c>
      <c r="AI68" s="350">
        <v>30</v>
      </c>
      <c r="AJ68" s="350">
        <v>21.3</v>
      </c>
      <c r="AK68" s="350">
        <v>11.5</v>
      </c>
      <c r="AL68" s="350">
        <v>21.5</v>
      </c>
    </row>
    <row r="69" spans="1:38" s="349" customFormat="1" ht="14" customHeight="1">
      <c r="A69" s="357">
        <v>68</v>
      </c>
      <c r="B69" s="357">
        <v>66</v>
      </c>
      <c r="C69" s="356" t="s">
        <v>736</v>
      </c>
      <c r="D69" s="356" t="s">
        <v>267</v>
      </c>
      <c r="E69" s="344" t="s">
        <v>97</v>
      </c>
      <c r="F69" s="356">
        <v>903155</v>
      </c>
      <c r="G69" s="343">
        <v>7.9</v>
      </c>
      <c r="H69" s="354" t="s">
        <v>40</v>
      </c>
      <c r="I69" s="407">
        <v>7.7640000000000001E-2</v>
      </c>
      <c r="J69" s="354" t="s">
        <v>660</v>
      </c>
      <c r="K69" s="353">
        <v>0.11853081761006365</v>
      </c>
      <c r="L69" s="319" t="s">
        <v>41</v>
      </c>
      <c r="M69" s="352">
        <v>38.638511664925623</v>
      </c>
      <c r="N69" s="324" t="s">
        <v>28</v>
      </c>
      <c r="O69" s="352">
        <v>58</v>
      </c>
      <c r="P69" s="354" t="s">
        <v>41</v>
      </c>
      <c r="Q69" s="351">
        <v>18</v>
      </c>
      <c r="R69" s="351">
        <v>6</v>
      </c>
      <c r="S69" s="351">
        <v>15</v>
      </c>
      <c r="T69" s="351">
        <v>24</v>
      </c>
      <c r="U69" s="351">
        <v>6</v>
      </c>
      <c r="V69" s="351">
        <v>24</v>
      </c>
      <c r="W69" s="350" t="s">
        <v>39</v>
      </c>
      <c r="X69" s="350">
        <v>50</v>
      </c>
      <c r="Y69" s="350" t="s">
        <v>45</v>
      </c>
      <c r="Z69" s="350">
        <v>50</v>
      </c>
      <c r="AA69" s="350">
        <v>18</v>
      </c>
      <c r="AB69" s="350">
        <v>12</v>
      </c>
      <c r="AC69" s="350">
        <v>14</v>
      </c>
      <c r="AD69" s="350" t="s">
        <v>39</v>
      </c>
      <c r="AE69" s="350">
        <v>50</v>
      </c>
      <c r="AF69" s="350" t="s">
        <v>661</v>
      </c>
      <c r="AG69" s="350">
        <v>50</v>
      </c>
      <c r="AH69" s="350" t="s">
        <v>662</v>
      </c>
      <c r="AI69" s="350">
        <v>30</v>
      </c>
      <c r="AJ69" s="350">
        <v>21.3</v>
      </c>
      <c r="AK69" s="350">
        <v>11.5</v>
      </c>
      <c r="AL69" s="350">
        <v>21.5</v>
      </c>
    </row>
    <row r="70" spans="1:38" s="349" customFormat="1" ht="14" customHeight="1">
      <c r="A70" s="357">
        <v>68</v>
      </c>
      <c r="B70" s="357">
        <v>67</v>
      </c>
      <c r="C70" s="356" t="s">
        <v>737</v>
      </c>
      <c r="D70" s="356" t="s">
        <v>267</v>
      </c>
      <c r="E70" s="344" t="s">
        <v>97</v>
      </c>
      <c r="F70" s="356">
        <v>903141</v>
      </c>
      <c r="G70" s="343">
        <v>8.2200000000000006</v>
      </c>
      <c r="H70" s="354" t="s">
        <v>40</v>
      </c>
      <c r="I70" s="407">
        <v>8.3979999999999999E-2</v>
      </c>
      <c r="J70" s="354" t="s">
        <v>660</v>
      </c>
      <c r="K70" s="353">
        <v>0.80323723270440273</v>
      </c>
      <c r="L70" s="319" t="s">
        <v>41</v>
      </c>
      <c r="M70" s="352">
        <v>20.137956192276437</v>
      </c>
      <c r="N70" s="324" t="s">
        <v>28</v>
      </c>
      <c r="O70" s="352">
        <v>18</v>
      </c>
      <c r="P70" s="354" t="s">
        <v>37</v>
      </c>
      <c r="Q70" s="351">
        <v>18</v>
      </c>
      <c r="R70" s="351">
        <v>9</v>
      </c>
      <c r="S70" s="351">
        <v>15</v>
      </c>
      <c r="T70" s="351">
        <v>24</v>
      </c>
      <c r="U70" s="351">
        <v>9</v>
      </c>
      <c r="V70" s="351">
        <v>24</v>
      </c>
      <c r="W70" s="350" t="s">
        <v>39</v>
      </c>
      <c r="X70" s="350">
        <v>50</v>
      </c>
      <c r="Y70" s="350" t="s">
        <v>45</v>
      </c>
      <c r="Z70" s="350">
        <v>50</v>
      </c>
      <c r="AA70" s="350">
        <v>18</v>
      </c>
      <c r="AB70" s="350">
        <v>12</v>
      </c>
      <c r="AC70" s="350">
        <v>14</v>
      </c>
      <c r="AD70" s="350" t="s">
        <v>39</v>
      </c>
      <c r="AE70" s="350">
        <v>50</v>
      </c>
      <c r="AF70" s="350" t="s">
        <v>661</v>
      </c>
      <c r="AG70" s="350">
        <v>50</v>
      </c>
      <c r="AH70" s="350" t="s">
        <v>662</v>
      </c>
      <c r="AI70" s="350">
        <v>30</v>
      </c>
      <c r="AJ70" s="350">
        <v>21.3</v>
      </c>
      <c r="AK70" s="350">
        <v>11.5</v>
      </c>
      <c r="AL70" s="350">
        <v>21.5</v>
      </c>
    </row>
    <row r="71" spans="1:38" s="349" customFormat="1" ht="14" customHeight="1">
      <c r="A71" s="357">
        <v>68</v>
      </c>
      <c r="B71" s="357">
        <v>68</v>
      </c>
      <c r="C71" s="356" t="s">
        <v>738</v>
      </c>
      <c r="D71" s="356" t="s">
        <v>267</v>
      </c>
      <c r="E71" s="344" t="s">
        <v>97</v>
      </c>
      <c r="F71" s="356">
        <v>903154</v>
      </c>
      <c r="G71" s="343">
        <v>8.34</v>
      </c>
      <c r="H71" s="354" t="s">
        <v>40</v>
      </c>
      <c r="I71" s="407">
        <v>8.5949999999999999E-2</v>
      </c>
      <c r="J71" s="354" t="s">
        <v>660</v>
      </c>
      <c r="K71" s="353">
        <v>0.59074213836478062</v>
      </c>
      <c r="L71" s="319" t="s">
        <v>41</v>
      </c>
      <c r="M71" s="352">
        <v>21.195012353048465</v>
      </c>
      <c r="N71" s="324" t="s">
        <v>28</v>
      </c>
      <c r="O71" s="352">
        <v>1</v>
      </c>
      <c r="P71" s="354" t="s">
        <v>37</v>
      </c>
      <c r="Q71" s="351">
        <v>18</v>
      </c>
      <c r="R71" s="351">
        <v>9</v>
      </c>
      <c r="S71" s="351">
        <v>15</v>
      </c>
      <c r="T71" s="351">
        <v>24</v>
      </c>
      <c r="U71" s="351">
        <v>9</v>
      </c>
      <c r="V71" s="351">
        <v>24</v>
      </c>
      <c r="W71" s="350" t="s">
        <v>39</v>
      </c>
      <c r="X71" s="350">
        <v>50</v>
      </c>
      <c r="Y71" s="350" t="s">
        <v>45</v>
      </c>
      <c r="Z71" s="350">
        <v>50</v>
      </c>
      <c r="AA71" s="350">
        <v>18</v>
      </c>
      <c r="AB71" s="350">
        <v>12</v>
      </c>
      <c r="AC71" s="350">
        <v>14</v>
      </c>
      <c r="AD71" s="350" t="s">
        <v>39</v>
      </c>
      <c r="AE71" s="350">
        <v>50</v>
      </c>
      <c r="AF71" s="350" t="s">
        <v>661</v>
      </c>
      <c r="AG71" s="350">
        <v>50</v>
      </c>
      <c r="AH71" s="350" t="s">
        <v>662</v>
      </c>
      <c r="AI71" s="350">
        <v>30</v>
      </c>
      <c r="AJ71" s="350">
        <v>21.3</v>
      </c>
      <c r="AK71" s="350">
        <v>11.5</v>
      </c>
      <c r="AL71" s="350">
        <v>21.5</v>
      </c>
    </row>
    <row r="72" spans="1:38" s="349" customFormat="1" ht="14" customHeight="1">
      <c r="A72" s="357">
        <v>68</v>
      </c>
      <c r="B72" s="357">
        <v>69</v>
      </c>
      <c r="C72" s="356" t="s">
        <v>739</v>
      </c>
      <c r="D72" s="356" t="s">
        <v>267</v>
      </c>
      <c r="E72" s="344" t="s">
        <v>97</v>
      </c>
      <c r="F72" s="356">
        <v>903148</v>
      </c>
      <c r="G72" s="343">
        <v>6.85</v>
      </c>
      <c r="H72" s="354" t="s">
        <v>28</v>
      </c>
      <c r="I72" s="407">
        <v>6.207E-2</v>
      </c>
      <c r="J72" s="354" t="s">
        <v>660</v>
      </c>
      <c r="K72" s="353">
        <v>0.57786364779874388</v>
      </c>
      <c r="L72" s="319" t="s">
        <v>41</v>
      </c>
      <c r="M72" s="352">
        <v>23.255235536984525</v>
      </c>
      <c r="N72" s="324" t="s">
        <v>28</v>
      </c>
      <c r="O72" s="352">
        <v>43</v>
      </c>
      <c r="P72" s="354" t="s">
        <v>41</v>
      </c>
      <c r="Q72" s="351">
        <v>18</v>
      </c>
      <c r="R72" s="351">
        <v>9</v>
      </c>
      <c r="S72" s="351">
        <v>15</v>
      </c>
      <c r="T72" s="351">
        <v>24</v>
      </c>
      <c r="U72" s="351">
        <v>9</v>
      </c>
      <c r="V72" s="351">
        <v>24</v>
      </c>
      <c r="W72" s="350" t="s">
        <v>39</v>
      </c>
      <c r="X72" s="350">
        <v>50</v>
      </c>
      <c r="Y72" s="350" t="s">
        <v>45</v>
      </c>
      <c r="Z72" s="350">
        <v>50</v>
      </c>
      <c r="AA72" s="350">
        <v>18</v>
      </c>
      <c r="AB72" s="350">
        <v>12</v>
      </c>
      <c r="AC72" s="350">
        <v>14</v>
      </c>
      <c r="AD72" s="350" t="s">
        <v>39</v>
      </c>
      <c r="AE72" s="350">
        <v>50</v>
      </c>
      <c r="AF72" s="350" t="s">
        <v>661</v>
      </c>
      <c r="AG72" s="350">
        <v>50</v>
      </c>
      <c r="AH72" s="350" t="s">
        <v>662</v>
      </c>
      <c r="AI72" s="350">
        <v>30</v>
      </c>
      <c r="AJ72" s="350">
        <v>21.3</v>
      </c>
      <c r="AK72" s="350">
        <v>11.5</v>
      </c>
      <c r="AL72" s="350">
        <v>21.5</v>
      </c>
    </row>
    <row r="73" spans="1:38" s="349" customFormat="1" ht="14" customHeight="1">
      <c r="A73" s="357">
        <v>68</v>
      </c>
      <c r="B73" s="357">
        <v>70</v>
      </c>
      <c r="C73" s="356" t="s">
        <v>740</v>
      </c>
      <c r="D73" s="356" t="s">
        <v>267</v>
      </c>
      <c r="E73" s="344" t="s">
        <v>97</v>
      </c>
      <c r="F73" s="356">
        <v>903118</v>
      </c>
      <c r="G73" s="343">
        <v>7.89</v>
      </c>
      <c r="H73" s="354" t="s">
        <v>40</v>
      </c>
      <c r="I73" s="407">
        <v>0.11159999999999999</v>
      </c>
      <c r="J73" s="354" t="s">
        <v>660</v>
      </c>
      <c r="K73" s="353">
        <v>1.2475451572327045</v>
      </c>
      <c r="L73" s="319" t="s">
        <v>41</v>
      </c>
      <c r="M73" s="352">
        <v>33.655839095325732</v>
      </c>
      <c r="N73" s="324" t="s">
        <v>28</v>
      </c>
      <c r="O73" s="352">
        <v>27.999999999999996</v>
      </c>
      <c r="P73" s="354" t="s">
        <v>37</v>
      </c>
      <c r="Q73" s="351">
        <v>15</v>
      </c>
      <c r="R73" s="351">
        <v>6</v>
      </c>
      <c r="S73" s="351">
        <v>15</v>
      </c>
      <c r="T73" s="351">
        <v>18</v>
      </c>
      <c r="U73" s="351">
        <v>6</v>
      </c>
      <c r="V73" s="351">
        <v>24</v>
      </c>
      <c r="W73" s="350" t="s">
        <v>39</v>
      </c>
      <c r="X73" s="350">
        <v>50</v>
      </c>
      <c r="Y73" s="350" t="s">
        <v>45</v>
      </c>
      <c r="Z73" s="350">
        <v>50</v>
      </c>
      <c r="AA73" s="350">
        <v>18</v>
      </c>
      <c r="AB73" s="350">
        <v>12</v>
      </c>
      <c r="AC73" s="350">
        <v>14</v>
      </c>
      <c r="AD73" s="350" t="s">
        <v>39</v>
      </c>
      <c r="AE73" s="350">
        <v>50</v>
      </c>
      <c r="AF73" s="350" t="s">
        <v>661</v>
      </c>
      <c r="AG73" s="350">
        <v>50</v>
      </c>
      <c r="AH73" s="350" t="s">
        <v>662</v>
      </c>
      <c r="AI73" s="350">
        <v>30</v>
      </c>
      <c r="AJ73" s="350">
        <v>21.3</v>
      </c>
      <c r="AK73" s="350">
        <v>11.5</v>
      </c>
      <c r="AL73" s="350">
        <v>21.5</v>
      </c>
    </row>
    <row r="74" spans="1:38" s="349" customFormat="1" ht="14" customHeight="1">
      <c r="A74" s="357">
        <v>68</v>
      </c>
      <c r="B74" s="357">
        <v>71</v>
      </c>
      <c r="C74" s="356" t="s">
        <v>741</v>
      </c>
      <c r="D74" s="356" t="s">
        <v>267</v>
      </c>
      <c r="E74" s="344" t="s">
        <v>97</v>
      </c>
      <c r="F74" s="356">
        <v>903119</v>
      </c>
      <c r="G74" s="343">
        <v>8.11</v>
      </c>
      <c r="H74" s="354" t="s">
        <v>40</v>
      </c>
      <c r="I74" s="407">
        <v>8.1079999999999999E-2</v>
      </c>
      <c r="J74" s="354" t="s">
        <v>660</v>
      </c>
      <c r="K74" s="353">
        <v>1.6618032704402514</v>
      </c>
      <c r="L74" s="319" t="s">
        <v>28</v>
      </c>
      <c r="M74" s="352">
        <v>26.430549337578139</v>
      </c>
      <c r="N74" s="324" t="s">
        <v>28</v>
      </c>
      <c r="O74" s="352">
        <v>35</v>
      </c>
      <c r="P74" s="354" t="s">
        <v>41</v>
      </c>
      <c r="Q74" s="351">
        <v>15</v>
      </c>
      <c r="R74" s="351">
        <v>9</v>
      </c>
      <c r="S74" s="351">
        <v>15</v>
      </c>
      <c r="T74" s="351">
        <v>18</v>
      </c>
      <c r="U74" s="351">
        <v>9</v>
      </c>
      <c r="V74" s="351">
        <v>24</v>
      </c>
      <c r="W74" s="350" t="s">
        <v>39</v>
      </c>
      <c r="X74" s="350">
        <v>50</v>
      </c>
      <c r="Y74" s="350" t="s">
        <v>45</v>
      </c>
      <c r="Z74" s="350">
        <v>50</v>
      </c>
      <c r="AA74" s="350">
        <v>18</v>
      </c>
      <c r="AB74" s="350">
        <v>12</v>
      </c>
      <c r="AC74" s="350">
        <v>14</v>
      </c>
      <c r="AD74" s="350" t="s">
        <v>39</v>
      </c>
      <c r="AE74" s="350">
        <v>50</v>
      </c>
      <c r="AF74" s="350" t="s">
        <v>661</v>
      </c>
      <c r="AG74" s="350">
        <v>50</v>
      </c>
      <c r="AH74" s="350" t="s">
        <v>662</v>
      </c>
      <c r="AI74" s="350">
        <v>30</v>
      </c>
      <c r="AJ74" s="350">
        <v>21.3</v>
      </c>
      <c r="AK74" s="350">
        <v>11.5</v>
      </c>
      <c r="AL74" s="350">
        <v>21.5</v>
      </c>
    </row>
    <row r="75" spans="1:38" s="349" customFormat="1" ht="14" customHeight="1">
      <c r="A75" s="357">
        <v>68</v>
      </c>
      <c r="B75" s="357">
        <v>72</v>
      </c>
      <c r="C75" s="356" t="s">
        <v>742</v>
      </c>
      <c r="D75" s="356" t="s">
        <v>267</v>
      </c>
      <c r="E75" s="344" t="s">
        <v>97</v>
      </c>
      <c r="F75" s="356">
        <v>903147</v>
      </c>
      <c r="G75" s="343">
        <v>7.05</v>
      </c>
      <c r="H75" s="354" t="s">
        <v>28</v>
      </c>
      <c r="I75" s="407">
        <v>6.7209999999999992E-2</v>
      </c>
      <c r="J75" s="354" t="s">
        <v>660</v>
      </c>
      <c r="K75" s="353">
        <v>0.35463647798742276</v>
      </c>
      <c r="L75" s="319" t="s">
        <v>41</v>
      </c>
      <c r="M75" s="352">
        <v>23.176474489711321</v>
      </c>
      <c r="N75" s="324" t="s">
        <v>28</v>
      </c>
      <c r="O75" s="352">
        <v>20</v>
      </c>
      <c r="P75" s="354" t="s">
        <v>37</v>
      </c>
      <c r="Q75" s="351">
        <v>18</v>
      </c>
      <c r="R75" s="351">
        <v>9</v>
      </c>
      <c r="S75" s="351">
        <v>15</v>
      </c>
      <c r="T75" s="351">
        <v>24</v>
      </c>
      <c r="U75" s="351">
        <v>9</v>
      </c>
      <c r="V75" s="351">
        <v>24</v>
      </c>
      <c r="W75" s="350" t="s">
        <v>39</v>
      </c>
      <c r="X75" s="350">
        <v>50</v>
      </c>
      <c r="Y75" s="350" t="s">
        <v>45</v>
      </c>
      <c r="Z75" s="350">
        <v>50</v>
      </c>
      <c r="AA75" s="350">
        <v>18</v>
      </c>
      <c r="AB75" s="350">
        <v>12</v>
      </c>
      <c r="AC75" s="350">
        <v>14</v>
      </c>
      <c r="AD75" s="350" t="s">
        <v>39</v>
      </c>
      <c r="AE75" s="350">
        <v>50</v>
      </c>
      <c r="AF75" s="350" t="s">
        <v>661</v>
      </c>
      <c r="AG75" s="350">
        <v>50</v>
      </c>
      <c r="AH75" s="350" t="s">
        <v>662</v>
      </c>
      <c r="AI75" s="350">
        <v>30</v>
      </c>
      <c r="AJ75" s="350">
        <v>21.3</v>
      </c>
      <c r="AK75" s="350">
        <v>11.5</v>
      </c>
      <c r="AL75" s="350">
        <v>21.5</v>
      </c>
    </row>
    <row r="76" spans="1:38" s="349" customFormat="1" ht="14" customHeight="1">
      <c r="A76" s="357">
        <v>68</v>
      </c>
      <c r="B76" s="357">
        <v>73</v>
      </c>
      <c r="C76" s="356" t="s">
        <v>743</v>
      </c>
      <c r="D76" s="356" t="s">
        <v>558</v>
      </c>
      <c r="E76" s="344" t="s">
        <v>744</v>
      </c>
      <c r="F76" s="356">
        <v>919131</v>
      </c>
      <c r="G76" s="343">
        <v>7.15</v>
      </c>
      <c r="H76" s="354" t="s">
        <v>28</v>
      </c>
      <c r="I76" s="407">
        <v>2.7600000000000003E-2</v>
      </c>
      <c r="J76" s="354" t="s">
        <v>660</v>
      </c>
      <c r="K76" s="353">
        <v>0.3975647798742149</v>
      </c>
      <c r="L76" s="319" t="s">
        <v>41</v>
      </c>
      <c r="M76" s="352">
        <v>26.940423485715232</v>
      </c>
      <c r="N76" s="324" t="s">
        <v>28</v>
      </c>
      <c r="O76" s="352">
        <v>25</v>
      </c>
      <c r="P76" s="354" t="s">
        <v>37</v>
      </c>
      <c r="Q76" s="351">
        <v>18</v>
      </c>
      <c r="R76" s="351">
        <v>9</v>
      </c>
      <c r="S76" s="351">
        <v>15</v>
      </c>
      <c r="T76" s="351">
        <v>24</v>
      </c>
      <c r="U76" s="351">
        <v>9</v>
      </c>
      <c r="V76" s="351">
        <v>24</v>
      </c>
      <c r="W76" s="350" t="s">
        <v>39</v>
      </c>
      <c r="X76" s="350">
        <v>50</v>
      </c>
      <c r="Y76" s="350" t="s">
        <v>45</v>
      </c>
      <c r="Z76" s="350">
        <v>50</v>
      </c>
      <c r="AA76" s="350">
        <v>18</v>
      </c>
      <c r="AB76" s="350">
        <v>12</v>
      </c>
      <c r="AC76" s="350">
        <v>14</v>
      </c>
      <c r="AD76" s="350" t="s">
        <v>39</v>
      </c>
      <c r="AE76" s="350">
        <v>50</v>
      </c>
      <c r="AF76" s="350" t="s">
        <v>661</v>
      </c>
      <c r="AG76" s="350">
        <v>50</v>
      </c>
      <c r="AH76" s="350" t="s">
        <v>662</v>
      </c>
      <c r="AI76" s="350">
        <v>30</v>
      </c>
      <c r="AJ76" s="350">
        <v>21.3</v>
      </c>
      <c r="AK76" s="350">
        <v>11.5</v>
      </c>
      <c r="AL76" s="350">
        <v>21.5</v>
      </c>
    </row>
    <row r="77" spans="1:38" s="349" customFormat="1" ht="14" customHeight="1">
      <c r="A77" s="357">
        <v>68</v>
      </c>
      <c r="B77" s="357">
        <v>74</v>
      </c>
      <c r="C77" s="356" t="s">
        <v>745</v>
      </c>
      <c r="D77" s="356" t="s">
        <v>558</v>
      </c>
      <c r="E77" s="344" t="s">
        <v>744</v>
      </c>
      <c r="F77" s="356">
        <v>919133</v>
      </c>
      <c r="G77" s="343">
        <v>6.29</v>
      </c>
      <c r="H77" s="354" t="s">
        <v>28</v>
      </c>
      <c r="I77" s="407">
        <v>4.8070000000000002E-2</v>
      </c>
      <c r="J77" s="354" t="s">
        <v>660</v>
      </c>
      <c r="K77" s="353">
        <v>0.21941232704402697</v>
      </c>
      <c r="L77" s="319" t="s">
        <v>41</v>
      </c>
      <c r="M77" s="352">
        <v>30.675355253776385</v>
      </c>
      <c r="N77" s="324" t="s">
        <v>28</v>
      </c>
      <c r="O77" s="352">
        <v>26</v>
      </c>
      <c r="P77" s="354" t="s">
        <v>37</v>
      </c>
      <c r="Q77" s="351">
        <v>18</v>
      </c>
      <c r="R77" s="351">
        <v>6</v>
      </c>
      <c r="S77" s="351">
        <v>15</v>
      </c>
      <c r="T77" s="351">
        <v>24</v>
      </c>
      <c r="U77" s="351">
        <v>6</v>
      </c>
      <c r="V77" s="351">
        <v>24</v>
      </c>
      <c r="W77" s="350" t="s">
        <v>39</v>
      </c>
      <c r="X77" s="350">
        <v>50</v>
      </c>
      <c r="Y77" s="350" t="s">
        <v>45</v>
      </c>
      <c r="Z77" s="350">
        <v>50</v>
      </c>
      <c r="AA77" s="350">
        <v>18</v>
      </c>
      <c r="AB77" s="350">
        <v>12</v>
      </c>
      <c r="AC77" s="350">
        <v>14</v>
      </c>
      <c r="AD77" s="350" t="s">
        <v>39</v>
      </c>
      <c r="AE77" s="350">
        <v>50</v>
      </c>
      <c r="AF77" s="350" t="s">
        <v>661</v>
      </c>
      <c r="AG77" s="350">
        <v>50</v>
      </c>
      <c r="AH77" s="350" t="s">
        <v>662</v>
      </c>
      <c r="AI77" s="350">
        <v>30</v>
      </c>
      <c r="AJ77" s="350">
        <v>21.3</v>
      </c>
      <c r="AK77" s="350">
        <v>11.5</v>
      </c>
      <c r="AL77" s="350">
        <v>21.5</v>
      </c>
    </row>
    <row r="78" spans="1:38" s="349" customFormat="1" ht="14" customHeight="1">
      <c r="A78" s="357">
        <v>68</v>
      </c>
      <c r="B78" s="357">
        <v>75</v>
      </c>
      <c r="C78" s="356" t="s">
        <v>746</v>
      </c>
      <c r="D78" s="356" t="s">
        <v>451</v>
      </c>
      <c r="E78" s="344" t="s">
        <v>99</v>
      </c>
      <c r="F78" s="356">
        <v>908113</v>
      </c>
      <c r="G78" s="343">
        <v>7.18</v>
      </c>
      <c r="H78" s="354" t="s">
        <v>28</v>
      </c>
      <c r="I78" s="407">
        <v>7.9042000000000001E-2</v>
      </c>
      <c r="J78" s="354" t="s">
        <v>660</v>
      </c>
      <c r="K78" s="353">
        <v>0.74313761006289358</v>
      </c>
      <c r="L78" s="319" t="s">
        <v>41</v>
      </c>
      <c r="M78" s="352">
        <v>38.107910925400851</v>
      </c>
      <c r="N78" s="324" t="s">
        <v>28</v>
      </c>
      <c r="O78" s="352">
        <v>111.99999999999999</v>
      </c>
      <c r="P78" s="354" t="s">
        <v>29</v>
      </c>
      <c r="Q78" s="351">
        <v>18</v>
      </c>
      <c r="R78" s="351">
        <v>6</v>
      </c>
      <c r="S78" s="351">
        <v>10</v>
      </c>
      <c r="T78" s="351">
        <v>24</v>
      </c>
      <c r="U78" s="351">
        <v>6</v>
      </c>
      <c r="V78" s="351">
        <v>12</v>
      </c>
      <c r="W78" s="350" t="s">
        <v>39</v>
      </c>
      <c r="X78" s="350">
        <v>50</v>
      </c>
      <c r="Y78" s="350" t="s">
        <v>35</v>
      </c>
      <c r="Z78" s="350">
        <v>50</v>
      </c>
      <c r="AA78" s="350">
        <v>18.5</v>
      </c>
      <c r="AB78" s="350">
        <v>11.5</v>
      </c>
      <c r="AC78" s="350">
        <v>13</v>
      </c>
      <c r="AD78" s="350" t="s">
        <v>664</v>
      </c>
      <c r="AE78" s="350">
        <v>50</v>
      </c>
      <c r="AF78" s="350" t="s">
        <v>665</v>
      </c>
      <c r="AG78" s="350">
        <v>50</v>
      </c>
      <c r="AH78" s="350" t="s">
        <v>662</v>
      </c>
      <c r="AI78" s="350">
        <v>0</v>
      </c>
      <c r="AJ78" s="350">
        <v>17</v>
      </c>
      <c r="AK78" s="350">
        <v>7</v>
      </c>
      <c r="AL78" s="350">
        <v>18</v>
      </c>
    </row>
    <row r="79" spans="1:38" s="349" customFormat="1" ht="14" customHeight="1">
      <c r="A79" s="357">
        <v>68</v>
      </c>
      <c r="B79" s="357">
        <v>76</v>
      </c>
      <c r="C79" s="356" t="s">
        <v>747</v>
      </c>
      <c r="D79" s="356" t="s">
        <v>558</v>
      </c>
      <c r="E79" s="344" t="s">
        <v>744</v>
      </c>
      <c r="F79" s="356">
        <v>919127</v>
      </c>
      <c r="G79" s="343">
        <v>7.41</v>
      </c>
      <c r="H79" s="354" t="s">
        <v>40</v>
      </c>
      <c r="I79" s="407">
        <v>3.6889999999999999E-2</v>
      </c>
      <c r="J79" s="354" t="s">
        <v>660</v>
      </c>
      <c r="K79" s="353">
        <v>1.2</v>
      </c>
      <c r="L79" s="319" t="s">
        <v>41</v>
      </c>
      <c r="M79" s="352">
        <v>24.701951615845065</v>
      </c>
      <c r="N79" s="324" t="s">
        <v>28</v>
      </c>
      <c r="O79" s="352">
        <v>16</v>
      </c>
      <c r="P79" s="354" t="s">
        <v>37</v>
      </c>
      <c r="Q79" s="351">
        <v>15</v>
      </c>
      <c r="R79" s="351">
        <v>9</v>
      </c>
      <c r="S79" s="351">
        <v>15</v>
      </c>
      <c r="T79" s="351">
        <v>18</v>
      </c>
      <c r="U79" s="351">
        <v>9</v>
      </c>
      <c r="V79" s="351">
        <v>24</v>
      </c>
      <c r="W79" s="350" t="s">
        <v>39</v>
      </c>
      <c r="X79" s="350">
        <v>50</v>
      </c>
      <c r="Y79" s="350" t="s">
        <v>45</v>
      </c>
      <c r="Z79" s="350">
        <v>50</v>
      </c>
      <c r="AA79" s="350">
        <v>18</v>
      </c>
      <c r="AB79" s="350">
        <v>12</v>
      </c>
      <c r="AC79" s="350">
        <v>14</v>
      </c>
      <c r="AD79" s="350" t="s">
        <v>39</v>
      </c>
      <c r="AE79" s="350">
        <v>50</v>
      </c>
      <c r="AF79" s="350" t="s">
        <v>661</v>
      </c>
      <c r="AG79" s="350">
        <v>50</v>
      </c>
      <c r="AH79" s="350" t="s">
        <v>662</v>
      </c>
      <c r="AI79" s="350">
        <v>30</v>
      </c>
      <c r="AJ79" s="350">
        <v>21.3</v>
      </c>
      <c r="AK79" s="350">
        <v>11.5</v>
      </c>
      <c r="AL79" s="350">
        <v>21.5</v>
      </c>
    </row>
    <row r="80" spans="1:38" s="349" customFormat="1" ht="14" customHeight="1">
      <c r="A80" s="357">
        <v>68</v>
      </c>
      <c r="B80" s="357">
        <v>77</v>
      </c>
      <c r="C80" s="356" t="s">
        <v>748</v>
      </c>
      <c r="D80" s="356" t="s">
        <v>558</v>
      </c>
      <c r="E80" s="344" t="s">
        <v>744</v>
      </c>
      <c r="F80" s="356">
        <v>919128</v>
      </c>
      <c r="G80" s="343">
        <v>8.27</v>
      </c>
      <c r="H80" s="354" t="s">
        <v>40</v>
      </c>
      <c r="I80" s="407">
        <v>3.8679999999999999E-2</v>
      </c>
      <c r="J80" s="354" t="s">
        <v>660</v>
      </c>
      <c r="K80" s="353">
        <v>0.34605081761006351</v>
      </c>
      <c r="L80" s="319" t="s">
        <v>41</v>
      </c>
      <c r="M80" s="352">
        <v>24.639771841682002</v>
      </c>
      <c r="N80" s="324" t="s">
        <v>28</v>
      </c>
      <c r="O80" s="352">
        <v>120</v>
      </c>
      <c r="P80" s="354" t="s">
        <v>30</v>
      </c>
      <c r="Q80" s="351">
        <v>18</v>
      </c>
      <c r="R80" s="351">
        <v>9</v>
      </c>
      <c r="S80" s="351">
        <v>10</v>
      </c>
      <c r="T80" s="351">
        <v>24</v>
      </c>
      <c r="U80" s="351">
        <v>9</v>
      </c>
      <c r="V80" s="351">
        <v>12</v>
      </c>
      <c r="W80" s="350" t="s">
        <v>39</v>
      </c>
      <c r="X80" s="350">
        <v>50</v>
      </c>
      <c r="Y80" s="350" t="s">
        <v>45</v>
      </c>
      <c r="Z80" s="350">
        <v>50</v>
      </c>
      <c r="AA80" s="350">
        <v>18</v>
      </c>
      <c r="AB80" s="350">
        <v>12</v>
      </c>
      <c r="AC80" s="350">
        <v>14</v>
      </c>
      <c r="AD80" s="350" t="s">
        <v>39</v>
      </c>
      <c r="AE80" s="350">
        <v>50</v>
      </c>
      <c r="AF80" s="350" t="s">
        <v>661</v>
      </c>
      <c r="AG80" s="350">
        <v>50</v>
      </c>
      <c r="AH80" s="350" t="s">
        <v>662</v>
      </c>
      <c r="AI80" s="350">
        <v>30</v>
      </c>
      <c r="AJ80" s="350">
        <v>21.3</v>
      </c>
      <c r="AK80" s="350">
        <v>11.5</v>
      </c>
      <c r="AL80" s="350">
        <v>21.5</v>
      </c>
    </row>
    <row r="81" spans="1:38" s="349" customFormat="1" ht="14" customHeight="1">
      <c r="A81" s="357">
        <v>68</v>
      </c>
      <c r="B81" s="357">
        <v>78</v>
      </c>
      <c r="C81" s="356" t="s">
        <v>749</v>
      </c>
      <c r="D81" s="356" t="s">
        <v>451</v>
      </c>
      <c r="E81" s="344" t="s">
        <v>99</v>
      </c>
      <c r="F81" s="356">
        <v>908115</v>
      </c>
      <c r="G81" s="342">
        <v>6.5</v>
      </c>
      <c r="H81" s="354" t="s">
        <v>28</v>
      </c>
      <c r="I81" s="346">
        <v>4.3999999999999997E-2</v>
      </c>
      <c r="J81" s="354" t="s">
        <v>660</v>
      </c>
      <c r="K81" s="353">
        <v>1.6975768553459127</v>
      </c>
      <c r="L81" s="319" t="s">
        <v>28</v>
      </c>
      <c r="M81" s="352">
        <v>49.886141924643645</v>
      </c>
      <c r="N81" s="324" t="s">
        <v>29</v>
      </c>
      <c r="O81" s="352">
        <v>85.666666666666643</v>
      </c>
      <c r="P81" s="354" t="s">
        <v>28</v>
      </c>
      <c r="Q81" s="351">
        <v>15</v>
      </c>
      <c r="R81" s="351">
        <v>6</v>
      </c>
      <c r="S81" s="351">
        <v>12</v>
      </c>
      <c r="T81" s="351">
        <v>18</v>
      </c>
      <c r="U81" s="351">
        <v>6</v>
      </c>
      <c r="V81" s="351">
        <v>18</v>
      </c>
      <c r="W81" s="350" t="s">
        <v>39</v>
      </c>
      <c r="X81" s="350">
        <v>50</v>
      </c>
      <c r="Y81" s="350" t="s">
        <v>35</v>
      </c>
      <c r="Z81" s="350">
        <v>50</v>
      </c>
      <c r="AA81" s="350">
        <v>18.5</v>
      </c>
      <c r="AB81" s="350">
        <v>11.5</v>
      </c>
      <c r="AC81" s="350">
        <v>13</v>
      </c>
      <c r="AD81" s="350" t="s">
        <v>664</v>
      </c>
      <c r="AE81" s="350">
        <v>50</v>
      </c>
      <c r="AF81" s="350" t="s">
        <v>665</v>
      </c>
      <c r="AG81" s="350">
        <v>50</v>
      </c>
      <c r="AH81" s="350" t="s">
        <v>662</v>
      </c>
      <c r="AI81" s="350">
        <v>0</v>
      </c>
      <c r="AJ81" s="350">
        <v>17</v>
      </c>
      <c r="AK81" s="350">
        <v>7</v>
      </c>
      <c r="AL81" s="350">
        <v>18</v>
      </c>
    </row>
    <row r="82" spans="1:38" s="349" customFormat="1" ht="14" customHeight="1">
      <c r="A82" s="357">
        <v>68</v>
      </c>
      <c r="B82" s="357">
        <v>79</v>
      </c>
      <c r="C82" s="356" t="s">
        <v>750</v>
      </c>
      <c r="D82" s="356" t="s">
        <v>589</v>
      </c>
      <c r="E82" s="344" t="s">
        <v>751</v>
      </c>
      <c r="F82" s="356">
        <v>920107</v>
      </c>
      <c r="G82" s="343">
        <v>5.53</v>
      </c>
      <c r="H82" s="354" t="s">
        <v>28</v>
      </c>
      <c r="I82" s="407">
        <v>0.10929999999999999</v>
      </c>
      <c r="J82" s="354" t="s">
        <v>660</v>
      </c>
      <c r="K82" s="353">
        <v>0.5499602515723282</v>
      </c>
      <c r="L82" s="319" t="s">
        <v>41</v>
      </c>
      <c r="M82" s="352">
        <v>37.660216551426814</v>
      </c>
      <c r="N82" s="324" t="s">
        <v>28</v>
      </c>
      <c r="O82" s="352">
        <v>94.999999999999986</v>
      </c>
      <c r="P82" s="354" t="s">
        <v>29</v>
      </c>
      <c r="Q82" s="351">
        <v>18</v>
      </c>
      <c r="R82" s="351">
        <v>6</v>
      </c>
      <c r="S82" s="351">
        <v>10</v>
      </c>
      <c r="T82" s="351">
        <v>24</v>
      </c>
      <c r="U82" s="351">
        <v>6</v>
      </c>
      <c r="V82" s="351">
        <v>12</v>
      </c>
      <c r="W82" s="350" t="s">
        <v>39</v>
      </c>
      <c r="X82" s="350">
        <v>50</v>
      </c>
      <c r="Y82" s="350" t="s">
        <v>35</v>
      </c>
      <c r="Z82" s="350">
        <v>50</v>
      </c>
      <c r="AA82" s="350">
        <v>18.5</v>
      </c>
      <c r="AB82" s="350">
        <v>11.5</v>
      </c>
      <c r="AC82" s="350">
        <v>13</v>
      </c>
      <c r="AD82" s="350" t="s">
        <v>664</v>
      </c>
      <c r="AE82" s="350">
        <v>50</v>
      </c>
      <c r="AF82" s="350" t="s">
        <v>665</v>
      </c>
      <c r="AG82" s="350">
        <v>50</v>
      </c>
      <c r="AH82" s="350" t="s">
        <v>662</v>
      </c>
      <c r="AI82" s="350">
        <v>0</v>
      </c>
      <c r="AJ82" s="350">
        <v>17</v>
      </c>
      <c r="AK82" s="350">
        <v>7</v>
      </c>
      <c r="AL82" s="350">
        <v>18</v>
      </c>
    </row>
    <row r="83" spans="1:38" s="349" customFormat="1" ht="14" customHeight="1">
      <c r="A83" s="357">
        <v>68</v>
      </c>
      <c r="B83" s="357">
        <v>80</v>
      </c>
      <c r="C83" s="356" t="s">
        <v>752</v>
      </c>
      <c r="D83" s="356" t="s">
        <v>451</v>
      </c>
      <c r="E83" s="344" t="s">
        <v>99</v>
      </c>
      <c r="F83" s="356">
        <v>908102</v>
      </c>
      <c r="G83" s="343">
        <v>6.67</v>
      </c>
      <c r="H83" s="354" t="s">
        <v>28</v>
      </c>
      <c r="I83" s="407">
        <v>8.6889999999999995E-2</v>
      </c>
      <c r="J83" s="354" t="s">
        <v>660</v>
      </c>
      <c r="K83" s="353">
        <v>1.6381927044025162</v>
      </c>
      <c r="L83" s="319" t="s">
        <v>28</v>
      </c>
      <c r="M83" s="352">
        <v>36.756537166923678</v>
      </c>
      <c r="N83" s="324" t="s">
        <v>28</v>
      </c>
      <c r="O83" s="352">
        <v>20</v>
      </c>
      <c r="P83" s="354" t="s">
        <v>37</v>
      </c>
      <c r="Q83" s="351">
        <v>15</v>
      </c>
      <c r="R83" s="351">
        <v>6</v>
      </c>
      <c r="S83" s="351">
        <v>15</v>
      </c>
      <c r="T83" s="351">
        <v>18</v>
      </c>
      <c r="U83" s="351">
        <v>6</v>
      </c>
      <c r="V83" s="351">
        <v>24</v>
      </c>
      <c r="W83" s="350" t="s">
        <v>39</v>
      </c>
      <c r="X83" s="350">
        <v>50</v>
      </c>
      <c r="Y83" s="350" t="s">
        <v>45</v>
      </c>
      <c r="Z83" s="350">
        <v>50</v>
      </c>
      <c r="AA83" s="350">
        <v>18</v>
      </c>
      <c r="AB83" s="350">
        <v>12</v>
      </c>
      <c r="AC83" s="350">
        <v>14</v>
      </c>
      <c r="AD83" s="350" t="s">
        <v>39</v>
      </c>
      <c r="AE83" s="350">
        <v>50</v>
      </c>
      <c r="AF83" s="350" t="s">
        <v>661</v>
      </c>
      <c r="AG83" s="350">
        <v>50</v>
      </c>
      <c r="AH83" s="350" t="s">
        <v>662</v>
      </c>
      <c r="AI83" s="350">
        <v>30</v>
      </c>
      <c r="AJ83" s="350">
        <v>21.3</v>
      </c>
      <c r="AK83" s="350">
        <v>11.5</v>
      </c>
      <c r="AL83" s="350">
        <v>21.5</v>
      </c>
    </row>
    <row r="84" spans="1:38" s="349" customFormat="1" ht="14" customHeight="1">
      <c r="A84" s="357">
        <v>68</v>
      </c>
      <c r="B84" s="357">
        <v>81</v>
      </c>
      <c r="C84" s="356" t="s">
        <v>753</v>
      </c>
      <c r="D84" s="356" t="s">
        <v>451</v>
      </c>
      <c r="E84" s="344" t="s">
        <v>99</v>
      </c>
      <c r="F84" s="356">
        <v>908112</v>
      </c>
      <c r="G84" s="343">
        <v>5.17</v>
      </c>
      <c r="H84" s="354" t="s">
        <v>56</v>
      </c>
      <c r="I84" s="407">
        <v>3.9880000000000006E-2</v>
      </c>
      <c r="J84" s="354" t="s">
        <v>660</v>
      </c>
      <c r="K84" s="353">
        <v>0.60791345911949779</v>
      </c>
      <c r="L84" s="319" t="s">
        <v>41</v>
      </c>
      <c r="M84" s="352">
        <v>18.591752474755008</v>
      </c>
      <c r="N84" s="324" t="s">
        <v>41</v>
      </c>
      <c r="O84" s="352">
        <v>20</v>
      </c>
      <c r="P84" s="354" t="s">
        <v>37</v>
      </c>
      <c r="Q84" s="351">
        <v>18</v>
      </c>
      <c r="R84" s="351">
        <v>9</v>
      </c>
      <c r="S84" s="351">
        <v>15</v>
      </c>
      <c r="T84" s="351">
        <v>24</v>
      </c>
      <c r="U84" s="351">
        <v>9</v>
      </c>
      <c r="V84" s="351">
        <v>24</v>
      </c>
      <c r="W84" s="350" t="s">
        <v>39</v>
      </c>
      <c r="X84" s="350">
        <v>50</v>
      </c>
      <c r="Y84" s="350" t="s">
        <v>45</v>
      </c>
      <c r="Z84" s="350">
        <v>50</v>
      </c>
      <c r="AA84" s="350">
        <v>18</v>
      </c>
      <c r="AB84" s="350">
        <v>12</v>
      </c>
      <c r="AC84" s="350">
        <v>14</v>
      </c>
      <c r="AD84" s="350" t="s">
        <v>39</v>
      </c>
      <c r="AE84" s="350">
        <v>50</v>
      </c>
      <c r="AF84" s="350" t="s">
        <v>661</v>
      </c>
      <c r="AG84" s="350">
        <v>50</v>
      </c>
      <c r="AH84" s="350" t="s">
        <v>662</v>
      </c>
      <c r="AI84" s="350">
        <v>30</v>
      </c>
      <c r="AJ84" s="350">
        <v>21.3</v>
      </c>
      <c r="AK84" s="350">
        <v>11.5</v>
      </c>
      <c r="AL84" s="350">
        <v>21.5</v>
      </c>
    </row>
    <row r="85" spans="1:38" s="349" customFormat="1" ht="14" customHeight="1">
      <c r="A85" s="357">
        <v>68</v>
      </c>
      <c r="B85" s="357">
        <v>82</v>
      </c>
      <c r="C85" s="356" t="s">
        <v>754</v>
      </c>
      <c r="D85" s="356" t="s">
        <v>558</v>
      </c>
      <c r="E85" s="344" t="s">
        <v>744</v>
      </c>
      <c r="F85" s="356">
        <v>919132</v>
      </c>
      <c r="G85" s="343">
        <v>5.77</v>
      </c>
      <c r="H85" s="354" t="s">
        <v>28</v>
      </c>
      <c r="I85" s="407">
        <v>4.6619999999999995E-2</v>
      </c>
      <c r="J85" s="354" t="s">
        <v>660</v>
      </c>
      <c r="K85" s="353">
        <v>0.24087647798742295</v>
      </c>
      <c r="L85" s="319" t="s">
        <v>41</v>
      </c>
      <c r="M85" s="352">
        <v>4.9992538427100426</v>
      </c>
      <c r="N85" s="324" t="s">
        <v>47</v>
      </c>
      <c r="O85" s="352">
        <v>84</v>
      </c>
      <c r="P85" s="354" t="s">
        <v>28</v>
      </c>
      <c r="Q85" s="351">
        <v>18</v>
      </c>
      <c r="R85" s="351">
        <v>12</v>
      </c>
      <c r="S85" s="351">
        <v>12</v>
      </c>
      <c r="T85" s="351">
        <v>24</v>
      </c>
      <c r="U85" s="351">
        <v>12</v>
      </c>
      <c r="V85" s="351">
        <v>18</v>
      </c>
      <c r="W85" s="350" t="s">
        <v>39</v>
      </c>
      <c r="X85" s="350">
        <v>50</v>
      </c>
      <c r="Y85" s="350" t="s">
        <v>35</v>
      </c>
      <c r="Z85" s="350">
        <v>50</v>
      </c>
      <c r="AA85" s="350">
        <v>18.5</v>
      </c>
      <c r="AB85" s="350">
        <v>11.5</v>
      </c>
      <c r="AC85" s="350">
        <v>13</v>
      </c>
      <c r="AD85" s="350" t="s">
        <v>664</v>
      </c>
      <c r="AE85" s="350">
        <v>50</v>
      </c>
      <c r="AF85" s="350" t="s">
        <v>665</v>
      </c>
      <c r="AG85" s="350">
        <v>50</v>
      </c>
      <c r="AH85" s="350" t="s">
        <v>662</v>
      </c>
      <c r="AI85" s="350">
        <v>0</v>
      </c>
      <c r="AJ85" s="350">
        <v>17</v>
      </c>
      <c r="AK85" s="350">
        <v>7</v>
      </c>
      <c r="AL85" s="350">
        <v>18</v>
      </c>
    </row>
    <row r="86" spans="1:38" s="349" customFormat="1" ht="14" customHeight="1">
      <c r="A86" s="357">
        <v>68</v>
      </c>
      <c r="B86" s="357">
        <v>83</v>
      </c>
      <c r="C86" s="356" t="s">
        <v>755</v>
      </c>
      <c r="D86" s="356" t="s">
        <v>451</v>
      </c>
      <c r="E86" s="344" t="s">
        <v>99</v>
      </c>
      <c r="F86" s="356">
        <v>908114</v>
      </c>
      <c r="G86" s="343">
        <v>6.22</v>
      </c>
      <c r="H86" s="354" t="s">
        <v>28</v>
      </c>
      <c r="I86" s="407">
        <v>2.9239999999999999E-2</v>
      </c>
      <c r="J86" s="354" t="s">
        <v>660</v>
      </c>
      <c r="K86" s="353">
        <v>0.52849610062893193</v>
      </c>
      <c r="L86" s="319" t="s">
        <v>41</v>
      </c>
      <c r="M86" s="352">
        <v>17.385464855991646</v>
      </c>
      <c r="N86" s="324" t="s">
        <v>41</v>
      </c>
      <c r="O86" s="352">
        <v>23.999999999999996</v>
      </c>
      <c r="P86" s="354" t="s">
        <v>37</v>
      </c>
      <c r="Q86" s="351">
        <v>18</v>
      </c>
      <c r="R86" s="351">
        <v>9</v>
      </c>
      <c r="S86" s="351">
        <v>15</v>
      </c>
      <c r="T86" s="351">
        <v>24</v>
      </c>
      <c r="U86" s="351">
        <v>9</v>
      </c>
      <c r="V86" s="351">
        <v>24</v>
      </c>
      <c r="W86" s="350" t="s">
        <v>39</v>
      </c>
      <c r="X86" s="350">
        <v>50</v>
      </c>
      <c r="Y86" s="350" t="s">
        <v>45</v>
      </c>
      <c r="Z86" s="350">
        <v>50</v>
      </c>
      <c r="AA86" s="350">
        <v>18</v>
      </c>
      <c r="AB86" s="350">
        <v>12</v>
      </c>
      <c r="AC86" s="350">
        <v>14</v>
      </c>
      <c r="AD86" s="350" t="s">
        <v>39</v>
      </c>
      <c r="AE86" s="350">
        <v>50</v>
      </c>
      <c r="AF86" s="350" t="s">
        <v>661</v>
      </c>
      <c r="AG86" s="350">
        <v>50</v>
      </c>
      <c r="AH86" s="350" t="s">
        <v>662</v>
      </c>
      <c r="AI86" s="350">
        <v>30</v>
      </c>
      <c r="AJ86" s="350">
        <v>21.3</v>
      </c>
      <c r="AK86" s="350">
        <v>11.5</v>
      </c>
      <c r="AL86" s="350">
        <v>21.5</v>
      </c>
    </row>
    <row r="87" spans="1:38" s="349" customFormat="1" ht="14" customHeight="1">
      <c r="A87" s="357">
        <v>68</v>
      </c>
      <c r="B87" s="357">
        <v>84</v>
      </c>
      <c r="C87" s="356" t="s">
        <v>756</v>
      </c>
      <c r="D87" s="356" t="s">
        <v>451</v>
      </c>
      <c r="E87" s="344" t="s">
        <v>99</v>
      </c>
      <c r="F87" s="356">
        <v>908108</v>
      </c>
      <c r="G87" s="343">
        <v>5.43</v>
      </c>
      <c r="H87" s="354" t="s">
        <v>56</v>
      </c>
      <c r="I87" s="407">
        <v>4.4109999999999996E-2</v>
      </c>
      <c r="J87" s="354" t="s">
        <v>660</v>
      </c>
      <c r="K87" s="353">
        <v>0.95992553459119623</v>
      </c>
      <c r="L87" s="319" t="s">
        <v>41</v>
      </c>
      <c r="M87" s="352">
        <v>20.407401880316375</v>
      </c>
      <c r="N87" s="324" t="s">
        <v>28</v>
      </c>
      <c r="O87" s="352">
        <v>58</v>
      </c>
      <c r="P87" s="354" t="s">
        <v>41</v>
      </c>
      <c r="Q87" s="351">
        <v>18</v>
      </c>
      <c r="R87" s="351">
        <v>9</v>
      </c>
      <c r="S87" s="351">
        <v>15</v>
      </c>
      <c r="T87" s="351">
        <v>24</v>
      </c>
      <c r="U87" s="351">
        <v>9</v>
      </c>
      <c r="V87" s="351">
        <v>24</v>
      </c>
      <c r="W87" s="350" t="s">
        <v>39</v>
      </c>
      <c r="X87" s="350">
        <v>50</v>
      </c>
      <c r="Y87" s="350" t="s">
        <v>45</v>
      </c>
      <c r="Z87" s="350">
        <v>50</v>
      </c>
      <c r="AA87" s="350">
        <v>18</v>
      </c>
      <c r="AB87" s="350">
        <v>12</v>
      </c>
      <c r="AC87" s="350">
        <v>14</v>
      </c>
      <c r="AD87" s="350" t="s">
        <v>39</v>
      </c>
      <c r="AE87" s="350">
        <v>50</v>
      </c>
      <c r="AF87" s="350" t="s">
        <v>661</v>
      </c>
      <c r="AG87" s="350">
        <v>50</v>
      </c>
      <c r="AH87" s="350" t="s">
        <v>662</v>
      </c>
      <c r="AI87" s="350">
        <v>30</v>
      </c>
      <c r="AJ87" s="350">
        <v>21.3</v>
      </c>
      <c r="AK87" s="350">
        <v>11.5</v>
      </c>
      <c r="AL87" s="350">
        <v>21.5</v>
      </c>
    </row>
    <row r="88" spans="1:38" s="349" customFormat="1" ht="14" customHeight="1">
      <c r="A88" s="357">
        <v>68</v>
      </c>
      <c r="B88" s="357">
        <v>85</v>
      </c>
      <c r="C88" s="356" t="s">
        <v>757</v>
      </c>
      <c r="D88" s="356" t="s">
        <v>451</v>
      </c>
      <c r="E88" s="344" t="s">
        <v>99</v>
      </c>
      <c r="F88" s="356">
        <v>908111</v>
      </c>
      <c r="G88" s="343">
        <v>5.72</v>
      </c>
      <c r="H88" s="354" t="s">
        <v>28</v>
      </c>
      <c r="I88" s="407">
        <v>5.16E-2</v>
      </c>
      <c r="J88" s="354" t="s">
        <v>660</v>
      </c>
      <c r="K88" s="353">
        <v>0.74528402515723302</v>
      </c>
      <c r="L88" s="319" t="s">
        <v>41</v>
      </c>
      <c r="M88" s="352">
        <v>28.793380755774432</v>
      </c>
      <c r="N88" s="324" t="s">
        <v>28</v>
      </c>
      <c r="O88" s="352">
        <v>385.99999999999994</v>
      </c>
      <c r="P88" s="354" t="s">
        <v>30</v>
      </c>
      <c r="Q88" s="351">
        <v>18</v>
      </c>
      <c r="R88" s="351">
        <v>9</v>
      </c>
      <c r="S88" s="351">
        <v>10</v>
      </c>
      <c r="T88" s="351">
        <v>24</v>
      </c>
      <c r="U88" s="351">
        <v>9</v>
      </c>
      <c r="V88" s="351">
        <v>12</v>
      </c>
      <c r="W88" s="350" t="s">
        <v>39</v>
      </c>
      <c r="X88" s="350">
        <v>50</v>
      </c>
      <c r="Y88" s="350" t="s">
        <v>35</v>
      </c>
      <c r="Z88" s="350">
        <v>50</v>
      </c>
      <c r="AA88" s="350">
        <v>18.5</v>
      </c>
      <c r="AB88" s="350">
        <v>11.5</v>
      </c>
      <c r="AC88" s="350">
        <v>13</v>
      </c>
      <c r="AD88" s="350" t="s">
        <v>664</v>
      </c>
      <c r="AE88" s="350">
        <v>50</v>
      </c>
      <c r="AF88" s="350" t="s">
        <v>665</v>
      </c>
      <c r="AG88" s="350">
        <v>50</v>
      </c>
      <c r="AH88" s="350" t="s">
        <v>662</v>
      </c>
      <c r="AI88" s="350">
        <v>0</v>
      </c>
      <c r="AJ88" s="350">
        <v>17</v>
      </c>
      <c r="AK88" s="350">
        <v>7</v>
      </c>
      <c r="AL88" s="350">
        <v>18</v>
      </c>
    </row>
    <row r="89" spans="1:38" s="349" customFormat="1" ht="14" customHeight="1">
      <c r="A89" s="357">
        <v>68</v>
      </c>
      <c r="B89" s="357">
        <v>86</v>
      </c>
      <c r="C89" s="356" t="s">
        <v>758</v>
      </c>
      <c r="D89" s="356" t="s">
        <v>537</v>
      </c>
      <c r="E89" s="344" t="s">
        <v>759</v>
      </c>
      <c r="F89" s="356">
        <v>926125</v>
      </c>
      <c r="G89" s="343">
        <v>6.19</v>
      </c>
      <c r="H89" s="354" t="s">
        <v>28</v>
      </c>
      <c r="I89" s="407">
        <v>5.5719999999999999E-2</v>
      </c>
      <c r="J89" s="354" t="s">
        <v>660</v>
      </c>
      <c r="K89" s="353">
        <v>1.2475451572327045</v>
      </c>
      <c r="L89" s="319" t="s">
        <v>41</v>
      </c>
      <c r="M89" s="352">
        <v>12.129201280074284</v>
      </c>
      <c r="N89" s="324" t="s">
        <v>41</v>
      </c>
      <c r="O89" s="352">
        <v>506</v>
      </c>
      <c r="P89" s="354" t="s">
        <v>30</v>
      </c>
      <c r="Q89" s="351">
        <v>15</v>
      </c>
      <c r="R89" s="351">
        <v>12</v>
      </c>
      <c r="S89" s="351">
        <v>10</v>
      </c>
      <c r="T89" s="351">
        <v>18</v>
      </c>
      <c r="U89" s="351">
        <v>12</v>
      </c>
      <c r="V89" s="351">
        <v>12</v>
      </c>
      <c r="W89" s="350" t="s">
        <v>39</v>
      </c>
      <c r="X89" s="350">
        <v>50</v>
      </c>
      <c r="Y89" s="350" t="s">
        <v>35</v>
      </c>
      <c r="Z89" s="350">
        <v>50</v>
      </c>
      <c r="AA89" s="350">
        <v>18.5</v>
      </c>
      <c r="AB89" s="350">
        <v>11.5</v>
      </c>
      <c r="AC89" s="350">
        <v>13</v>
      </c>
      <c r="AD89" s="350" t="s">
        <v>664</v>
      </c>
      <c r="AE89" s="350">
        <v>50</v>
      </c>
      <c r="AF89" s="350" t="s">
        <v>665</v>
      </c>
      <c r="AG89" s="350">
        <v>50</v>
      </c>
      <c r="AH89" s="350" t="s">
        <v>662</v>
      </c>
      <c r="AI89" s="350">
        <v>0</v>
      </c>
      <c r="AJ89" s="350">
        <v>17</v>
      </c>
      <c r="AK89" s="350">
        <v>7</v>
      </c>
      <c r="AL89" s="350">
        <v>18</v>
      </c>
    </row>
    <row r="90" spans="1:38" s="349" customFormat="1" ht="14" customHeight="1">
      <c r="A90" s="357">
        <v>68</v>
      </c>
      <c r="B90" s="357">
        <v>87</v>
      </c>
      <c r="C90" s="356" t="s">
        <v>760</v>
      </c>
      <c r="D90" s="356" t="s">
        <v>197</v>
      </c>
      <c r="E90" s="344" t="s">
        <v>761</v>
      </c>
      <c r="F90" s="356">
        <v>906161</v>
      </c>
      <c r="G90" s="343">
        <v>6.47</v>
      </c>
      <c r="H90" s="354" t="s">
        <v>28</v>
      </c>
      <c r="I90" s="407">
        <v>9.9280000000000007E-2</v>
      </c>
      <c r="J90" s="354" t="s">
        <v>660</v>
      </c>
      <c r="K90" s="353">
        <v>0.24516930817610191</v>
      </c>
      <c r="L90" s="319" t="s">
        <v>41</v>
      </c>
      <c r="M90" s="352">
        <v>5.9651130013762454</v>
      </c>
      <c r="N90" s="324" t="s">
        <v>47</v>
      </c>
      <c r="O90" s="352">
        <v>272</v>
      </c>
      <c r="P90" s="354" t="s">
        <v>30</v>
      </c>
      <c r="Q90" s="351">
        <v>18</v>
      </c>
      <c r="R90" s="351">
        <v>12</v>
      </c>
      <c r="S90" s="351">
        <v>10</v>
      </c>
      <c r="T90" s="351">
        <v>24</v>
      </c>
      <c r="U90" s="351">
        <v>12</v>
      </c>
      <c r="V90" s="351">
        <v>12</v>
      </c>
      <c r="W90" s="350" t="s">
        <v>39</v>
      </c>
      <c r="X90" s="350">
        <v>50</v>
      </c>
      <c r="Y90" s="350" t="s">
        <v>35</v>
      </c>
      <c r="Z90" s="350">
        <v>50</v>
      </c>
      <c r="AA90" s="350">
        <v>18.5</v>
      </c>
      <c r="AB90" s="350">
        <v>11.5</v>
      </c>
      <c r="AC90" s="350">
        <v>13</v>
      </c>
      <c r="AD90" s="350" t="s">
        <v>664</v>
      </c>
      <c r="AE90" s="350">
        <v>50</v>
      </c>
      <c r="AF90" s="350" t="s">
        <v>665</v>
      </c>
      <c r="AG90" s="350">
        <v>50</v>
      </c>
      <c r="AH90" s="350" t="s">
        <v>662</v>
      </c>
      <c r="AI90" s="350">
        <v>0</v>
      </c>
      <c r="AJ90" s="350">
        <v>17</v>
      </c>
      <c r="AK90" s="350">
        <v>7</v>
      </c>
      <c r="AL90" s="350">
        <v>18</v>
      </c>
    </row>
    <row r="91" spans="1:38" s="349" customFormat="1" ht="14" customHeight="1">
      <c r="A91" s="357">
        <v>68</v>
      </c>
      <c r="B91" s="357">
        <v>88</v>
      </c>
      <c r="C91" s="356" t="s">
        <v>762</v>
      </c>
      <c r="D91" s="356" t="s">
        <v>197</v>
      </c>
      <c r="E91" s="344" t="s">
        <v>761</v>
      </c>
      <c r="F91" s="356">
        <v>906167</v>
      </c>
      <c r="G91" s="343">
        <v>7.63</v>
      </c>
      <c r="H91" s="354" t="s">
        <v>40</v>
      </c>
      <c r="I91" s="407">
        <v>0.11609999999999999</v>
      </c>
      <c r="J91" s="354" t="s">
        <v>660</v>
      </c>
      <c r="K91" s="353">
        <v>0.3975647798742149</v>
      </c>
      <c r="L91" s="319" t="s">
        <v>41</v>
      </c>
      <c r="M91" s="352">
        <v>16.328408695219618</v>
      </c>
      <c r="N91" s="324" t="s">
        <v>41</v>
      </c>
      <c r="O91" s="352">
        <v>416</v>
      </c>
      <c r="P91" s="354" t="s">
        <v>30</v>
      </c>
      <c r="Q91" s="351">
        <v>18</v>
      </c>
      <c r="R91" s="351">
        <v>9</v>
      </c>
      <c r="S91" s="351">
        <v>10</v>
      </c>
      <c r="T91" s="351">
        <v>24</v>
      </c>
      <c r="U91" s="351">
        <v>9</v>
      </c>
      <c r="V91" s="351">
        <v>12</v>
      </c>
      <c r="W91" s="350" t="s">
        <v>39</v>
      </c>
      <c r="X91" s="350">
        <v>50</v>
      </c>
      <c r="Y91" s="350" t="s">
        <v>45</v>
      </c>
      <c r="Z91" s="350">
        <v>50</v>
      </c>
      <c r="AA91" s="350">
        <v>18</v>
      </c>
      <c r="AB91" s="350">
        <v>12</v>
      </c>
      <c r="AC91" s="350">
        <v>14</v>
      </c>
      <c r="AD91" s="350" t="s">
        <v>39</v>
      </c>
      <c r="AE91" s="350">
        <v>50</v>
      </c>
      <c r="AF91" s="350" t="s">
        <v>661</v>
      </c>
      <c r="AG91" s="350">
        <v>50</v>
      </c>
      <c r="AH91" s="350" t="s">
        <v>662</v>
      </c>
      <c r="AI91" s="350">
        <v>30</v>
      </c>
      <c r="AJ91" s="350">
        <v>21.3</v>
      </c>
      <c r="AK91" s="350">
        <v>11.5</v>
      </c>
      <c r="AL91" s="350">
        <v>21.5</v>
      </c>
    </row>
    <row r="92" spans="1:38" s="349" customFormat="1" ht="14" customHeight="1">
      <c r="A92" s="357">
        <v>68</v>
      </c>
      <c r="B92" s="357">
        <v>89</v>
      </c>
      <c r="C92" s="356" t="s">
        <v>763</v>
      </c>
      <c r="D92" s="356" t="s">
        <v>267</v>
      </c>
      <c r="E92" s="344" t="s">
        <v>97</v>
      </c>
      <c r="F92" s="356">
        <v>903147</v>
      </c>
      <c r="G92" s="343">
        <v>6.68</v>
      </c>
      <c r="H92" s="354" t="s">
        <v>28</v>
      </c>
      <c r="I92" s="407">
        <v>4.7890000000000002E-2</v>
      </c>
      <c r="J92" s="354" t="s">
        <v>660</v>
      </c>
      <c r="K92" s="353">
        <v>0.21941232704402697</v>
      </c>
      <c r="L92" s="319" t="s">
        <v>41</v>
      </c>
      <c r="M92" s="352">
        <v>67.979074433334986</v>
      </c>
      <c r="N92" s="324" t="s">
        <v>29</v>
      </c>
      <c r="O92" s="352">
        <v>126.99999999999999</v>
      </c>
      <c r="P92" s="354" t="s">
        <v>30</v>
      </c>
      <c r="Q92" s="351">
        <v>18</v>
      </c>
      <c r="R92" s="351">
        <v>6</v>
      </c>
      <c r="S92" s="351">
        <v>10</v>
      </c>
      <c r="T92" s="351">
        <v>24</v>
      </c>
      <c r="U92" s="351">
        <v>6</v>
      </c>
      <c r="V92" s="351">
        <v>12</v>
      </c>
      <c r="W92" s="350" t="s">
        <v>39</v>
      </c>
      <c r="X92" s="350">
        <v>50</v>
      </c>
      <c r="Y92" s="350" t="s">
        <v>35</v>
      </c>
      <c r="Z92" s="350">
        <v>50</v>
      </c>
      <c r="AA92" s="350">
        <v>18.5</v>
      </c>
      <c r="AB92" s="350">
        <v>11.5</v>
      </c>
      <c r="AC92" s="350">
        <v>13</v>
      </c>
      <c r="AD92" s="350" t="s">
        <v>664</v>
      </c>
      <c r="AE92" s="350">
        <v>50</v>
      </c>
      <c r="AF92" s="350" t="s">
        <v>665</v>
      </c>
      <c r="AG92" s="350">
        <v>50</v>
      </c>
      <c r="AH92" s="350" t="s">
        <v>662</v>
      </c>
      <c r="AI92" s="350">
        <v>0</v>
      </c>
      <c r="AJ92" s="350">
        <v>17</v>
      </c>
      <c r="AK92" s="350">
        <v>7</v>
      </c>
      <c r="AL92" s="350">
        <v>18</v>
      </c>
    </row>
    <row r="93" spans="1:38" s="349" customFormat="1" ht="14" customHeight="1">
      <c r="A93" s="357">
        <v>68</v>
      </c>
      <c r="B93" s="357">
        <v>90</v>
      </c>
      <c r="C93" s="356" t="s">
        <v>764</v>
      </c>
      <c r="D93" s="356" t="s">
        <v>537</v>
      </c>
      <c r="E93" s="344" t="s">
        <v>759</v>
      </c>
      <c r="F93" s="356">
        <v>926120</v>
      </c>
      <c r="G93" s="343">
        <v>7.01</v>
      </c>
      <c r="H93" s="354" t="s">
        <v>28</v>
      </c>
      <c r="I93" s="407">
        <v>0.11220000000000001</v>
      </c>
      <c r="J93" s="354" t="s">
        <v>660</v>
      </c>
      <c r="K93" s="353">
        <v>0.24946213836478068</v>
      </c>
      <c r="L93" s="319" t="s">
        <v>41</v>
      </c>
      <c r="M93" s="352">
        <v>28.353977018355465</v>
      </c>
      <c r="N93" s="324" t="s">
        <v>28</v>
      </c>
      <c r="O93" s="352">
        <v>587.99999999999989</v>
      </c>
      <c r="P93" s="354" t="s">
        <v>30</v>
      </c>
      <c r="Q93" s="351">
        <v>18</v>
      </c>
      <c r="R93" s="351">
        <v>9</v>
      </c>
      <c r="S93" s="351">
        <v>10</v>
      </c>
      <c r="T93" s="351">
        <v>24</v>
      </c>
      <c r="U93" s="351">
        <v>9</v>
      </c>
      <c r="V93" s="351">
        <v>12</v>
      </c>
      <c r="W93" s="350" t="s">
        <v>39</v>
      </c>
      <c r="X93" s="350">
        <v>50</v>
      </c>
      <c r="Y93" s="350" t="s">
        <v>35</v>
      </c>
      <c r="Z93" s="350">
        <v>50</v>
      </c>
      <c r="AA93" s="350">
        <v>18.5</v>
      </c>
      <c r="AB93" s="350">
        <v>11.5</v>
      </c>
      <c r="AC93" s="350">
        <v>13</v>
      </c>
      <c r="AD93" s="350" t="s">
        <v>664</v>
      </c>
      <c r="AE93" s="350">
        <v>50</v>
      </c>
      <c r="AF93" s="350" t="s">
        <v>665</v>
      </c>
      <c r="AG93" s="350">
        <v>50</v>
      </c>
      <c r="AH93" s="350" t="s">
        <v>662</v>
      </c>
      <c r="AI93" s="350">
        <v>0</v>
      </c>
      <c r="AJ93" s="350">
        <v>17</v>
      </c>
      <c r="AK93" s="350">
        <v>7</v>
      </c>
      <c r="AL93" s="350">
        <v>18</v>
      </c>
    </row>
    <row r="94" spans="1:38" s="349" customFormat="1" ht="14" customHeight="1">
      <c r="A94" s="357">
        <v>68</v>
      </c>
      <c r="B94" s="357">
        <v>91</v>
      </c>
      <c r="C94" s="356" t="s">
        <v>765</v>
      </c>
      <c r="D94" s="356" t="s">
        <v>537</v>
      </c>
      <c r="E94" s="344" t="s">
        <v>759</v>
      </c>
      <c r="F94" s="356">
        <v>926124</v>
      </c>
      <c r="G94" s="343">
        <v>7.14</v>
      </c>
      <c r="H94" s="354" t="s">
        <v>28</v>
      </c>
      <c r="I94" s="407">
        <v>6.9849999999999995E-2</v>
      </c>
      <c r="J94" s="354" t="s">
        <v>660</v>
      </c>
      <c r="K94" s="353">
        <v>1.0264644025157235</v>
      </c>
      <c r="L94" s="319" t="s">
        <v>41</v>
      </c>
      <c r="M94" s="352">
        <v>10.616160108773151</v>
      </c>
      <c r="N94" s="324" t="s">
        <v>41</v>
      </c>
      <c r="O94" s="352">
        <v>548</v>
      </c>
      <c r="P94" s="354" t="s">
        <v>30</v>
      </c>
      <c r="Q94" s="351">
        <v>15</v>
      </c>
      <c r="R94" s="351">
        <v>12</v>
      </c>
      <c r="S94" s="351">
        <v>10</v>
      </c>
      <c r="T94" s="351">
        <v>18</v>
      </c>
      <c r="U94" s="351">
        <v>12</v>
      </c>
      <c r="V94" s="351">
        <v>12</v>
      </c>
      <c r="W94" s="350" t="s">
        <v>39</v>
      </c>
      <c r="X94" s="350">
        <v>50</v>
      </c>
      <c r="Y94" s="350" t="s">
        <v>45</v>
      </c>
      <c r="Z94" s="350">
        <v>50</v>
      </c>
      <c r="AA94" s="350">
        <v>18</v>
      </c>
      <c r="AB94" s="350">
        <v>12</v>
      </c>
      <c r="AC94" s="350">
        <v>14</v>
      </c>
      <c r="AD94" s="350" t="s">
        <v>39</v>
      </c>
      <c r="AE94" s="350">
        <v>50</v>
      </c>
      <c r="AF94" s="350" t="s">
        <v>661</v>
      </c>
      <c r="AG94" s="350">
        <v>50</v>
      </c>
      <c r="AH94" s="350" t="s">
        <v>662</v>
      </c>
      <c r="AI94" s="350">
        <v>30</v>
      </c>
      <c r="AJ94" s="350">
        <v>21.3</v>
      </c>
      <c r="AK94" s="350">
        <v>11.5</v>
      </c>
      <c r="AL94" s="350">
        <v>21.5</v>
      </c>
    </row>
    <row r="95" spans="1:38" s="349" customFormat="1" ht="14" customHeight="1">
      <c r="A95" s="357">
        <v>68</v>
      </c>
      <c r="B95" s="357">
        <v>92</v>
      </c>
      <c r="C95" s="356" t="s">
        <v>766</v>
      </c>
      <c r="D95" s="356" t="s">
        <v>537</v>
      </c>
      <c r="E95" s="344" t="s">
        <v>759</v>
      </c>
      <c r="F95" s="356">
        <v>926119</v>
      </c>
      <c r="G95" s="343">
        <v>7.21</v>
      </c>
      <c r="H95" s="354" t="s">
        <v>28</v>
      </c>
      <c r="I95" s="407">
        <v>6.1850000000000002E-2</v>
      </c>
      <c r="J95" s="354" t="s">
        <v>660</v>
      </c>
      <c r="K95" s="353">
        <v>1.4729187421383649</v>
      </c>
      <c r="L95" s="319" t="s">
        <v>41</v>
      </c>
      <c r="M95" s="352">
        <v>7.8843953638760409</v>
      </c>
      <c r="N95" s="324" t="s">
        <v>37</v>
      </c>
      <c r="O95" s="352">
        <v>447.99999999999994</v>
      </c>
      <c r="P95" s="354" t="s">
        <v>30</v>
      </c>
      <c r="Q95" s="351">
        <v>15</v>
      </c>
      <c r="R95" s="351">
        <v>12</v>
      </c>
      <c r="S95" s="351">
        <v>10</v>
      </c>
      <c r="T95" s="351">
        <v>18</v>
      </c>
      <c r="U95" s="351">
        <v>12</v>
      </c>
      <c r="V95" s="351">
        <v>12</v>
      </c>
      <c r="W95" s="350" t="s">
        <v>39</v>
      </c>
      <c r="X95" s="350">
        <v>50</v>
      </c>
      <c r="Y95" s="350" t="s">
        <v>45</v>
      </c>
      <c r="Z95" s="350">
        <v>50</v>
      </c>
      <c r="AA95" s="350">
        <v>18</v>
      </c>
      <c r="AB95" s="350">
        <v>12</v>
      </c>
      <c r="AC95" s="350">
        <v>14</v>
      </c>
      <c r="AD95" s="350" t="s">
        <v>39</v>
      </c>
      <c r="AE95" s="350">
        <v>50</v>
      </c>
      <c r="AF95" s="350" t="s">
        <v>661</v>
      </c>
      <c r="AG95" s="350">
        <v>50</v>
      </c>
      <c r="AH95" s="350" t="s">
        <v>662</v>
      </c>
      <c r="AI95" s="350">
        <v>30</v>
      </c>
      <c r="AJ95" s="350">
        <v>21.3</v>
      </c>
      <c r="AK95" s="350">
        <v>11.5</v>
      </c>
      <c r="AL95" s="350">
        <v>21.5</v>
      </c>
    </row>
    <row r="96" spans="1:38" s="349" customFormat="1" ht="14" customHeight="1">
      <c r="A96" s="357">
        <v>68</v>
      </c>
      <c r="B96" s="357">
        <v>93</v>
      </c>
      <c r="C96" s="356" t="s">
        <v>767</v>
      </c>
      <c r="D96" s="356" t="s">
        <v>197</v>
      </c>
      <c r="E96" s="344" t="s">
        <v>761</v>
      </c>
      <c r="F96" s="356">
        <v>906166</v>
      </c>
      <c r="G96" s="342">
        <v>6.9</v>
      </c>
      <c r="H96" s="354" t="s">
        <v>28</v>
      </c>
      <c r="I96" s="346">
        <v>4.2000000000000003E-2</v>
      </c>
      <c r="J96" s="354" t="s">
        <v>660</v>
      </c>
      <c r="K96" s="353">
        <v>0.23157534591195095</v>
      </c>
      <c r="L96" s="319" t="s">
        <v>41</v>
      </c>
      <c r="M96" s="352">
        <v>47.083906769028395</v>
      </c>
      <c r="N96" s="324" t="s">
        <v>29</v>
      </c>
      <c r="O96" s="352">
        <v>94.999999999999986</v>
      </c>
      <c r="P96" s="354" t="s">
        <v>29</v>
      </c>
      <c r="Q96" s="351">
        <v>18</v>
      </c>
      <c r="R96" s="351">
        <v>6</v>
      </c>
      <c r="S96" s="351">
        <v>10</v>
      </c>
      <c r="T96" s="351">
        <v>24</v>
      </c>
      <c r="U96" s="351">
        <v>6</v>
      </c>
      <c r="V96" s="351">
        <v>12</v>
      </c>
      <c r="W96" s="350" t="s">
        <v>39</v>
      </c>
      <c r="X96" s="350">
        <v>50</v>
      </c>
      <c r="Y96" s="350" t="s">
        <v>35</v>
      </c>
      <c r="Z96" s="350">
        <v>50</v>
      </c>
      <c r="AA96" s="350">
        <v>18.5</v>
      </c>
      <c r="AB96" s="350">
        <v>11.5</v>
      </c>
      <c r="AC96" s="350">
        <v>13</v>
      </c>
      <c r="AD96" s="350" t="s">
        <v>664</v>
      </c>
      <c r="AE96" s="350">
        <v>50</v>
      </c>
      <c r="AF96" s="350" t="s">
        <v>665</v>
      </c>
      <c r="AG96" s="350">
        <v>50</v>
      </c>
      <c r="AH96" s="350" t="s">
        <v>662</v>
      </c>
      <c r="AI96" s="350">
        <v>0</v>
      </c>
      <c r="AJ96" s="350">
        <v>17</v>
      </c>
      <c r="AK96" s="350">
        <v>7</v>
      </c>
      <c r="AL96" s="350">
        <v>18</v>
      </c>
    </row>
    <row r="97" spans="1:38" s="349" customFormat="1" ht="14" customHeight="1">
      <c r="A97" s="357">
        <v>68</v>
      </c>
      <c r="B97" s="357">
        <v>94</v>
      </c>
      <c r="C97" s="356" t="s">
        <v>768</v>
      </c>
      <c r="D97" s="356" t="s">
        <v>197</v>
      </c>
      <c r="E97" s="344" t="s">
        <v>761</v>
      </c>
      <c r="F97" s="356">
        <v>906170</v>
      </c>
      <c r="G97" s="343">
        <v>7.48</v>
      </c>
      <c r="H97" s="354" t="s">
        <v>40</v>
      </c>
      <c r="I97" s="407">
        <v>8.4010000000000001E-2</v>
      </c>
      <c r="J97" s="354" t="s">
        <v>660</v>
      </c>
      <c r="K97" s="353">
        <v>0.44907874213836635</v>
      </c>
      <c r="L97" s="319" t="s">
        <v>41</v>
      </c>
      <c r="M97" s="352">
        <v>3.1628778457609972</v>
      </c>
      <c r="N97" s="324" t="s">
        <v>47</v>
      </c>
      <c r="O97" s="352">
        <v>108</v>
      </c>
      <c r="P97" s="354" t="s">
        <v>29</v>
      </c>
      <c r="Q97" s="351">
        <v>18</v>
      </c>
      <c r="R97" s="351">
        <v>12</v>
      </c>
      <c r="S97" s="351">
        <v>10</v>
      </c>
      <c r="T97" s="351">
        <v>24</v>
      </c>
      <c r="U97" s="351">
        <v>12</v>
      </c>
      <c r="V97" s="351">
        <v>12</v>
      </c>
      <c r="W97" s="350" t="s">
        <v>39</v>
      </c>
      <c r="X97" s="350">
        <v>50</v>
      </c>
      <c r="Y97" s="350" t="s">
        <v>45</v>
      </c>
      <c r="Z97" s="350">
        <v>50</v>
      </c>
      <c r="AA97" s="350">
        <v>18</v>
      </c>
      <c r="AB97" s="350">
        <v>12</v>
      </c>
      <c r="AC97" s="350">
        <v>14</v>
      </c>
      <c r="AD97" s="350" t="s">
        <v>39</v>
      </c>
      <c r="AE97" s="350">
        <v>50</v>
      </c>
      <c r="AF97" s="350" t="s">
        <v>661</v>
      </c>
      <c r="AG97" s="350">
        <v>50</v>
      </c>
      <c r="AH97" s="350" t="s">
        <v>662</v>
      </c>
      <c r="AI97" s="350">
        <v>30</v>
      </c>
      <c r="AJ97" s="350">
        <v>21.3</v>
      </c>
      <c r="AK97" s="350">
        <v>11.5</v>
      </c>
      <c r="AL97" s="350">
        <v>21.5</v>
      </c>
    </row>
    <row r="98" spans="1:38" s="349" customFormat="1" ht="14" customHeight="1">
      <c r="A98" s="357">
        <v>68</v>
      </c>
      <c r="B98" s="357">
        <v>95</v>
      </c>
      <c r="C98" s="356" t="s">
        <v>769</v>
      </c>
      <c r="D98" s="356" t="s">
        <v>537</v>
      </c>
      <c r="E98" s="344" t="s">
        <v>759</v>
      </c>
      <c r="F98" s="356">
        <v>926123</v>
      </c>
      <c r="G98" s="343">
        <v>7.21</v>
      </c>
      <c r="H98" s="354" t="s">
        <v>28</v>
      </c>
      <c r="I98" s="407">
        <v>6.9800000000000001E-2</v>
      </c>
      <c r="J98" s="354" t="s">
        <v>660</v>
      </c>
      <c r="K98" s="353">
        <v>1.0028538364779884</v>
      </c>
      <c r="L98" s="319" t="s">
        <v>41</v>
      </c>
      <c r="M98" s="352">
        <v>14.413271650997361</v>
      </c>
      <c r="N98" s="324" t="s">
        <v>41</v>
      </c>
      <c r="O98" s="352">
        <v>488.99999999999994</v>
      </c>
      <c r="P98" s="354" t="s">
        <v>30</v>
      </c>
      <c r="Q98" s="351">
        <v>15</v>
      </c>
      <c r="R98" s="351">
        <v>12</v>
      </c>
      <c r="S98" s="351">
        <v>10</v>
      </c>
      <c r="T98" s="351">
        <v>18</v>
      </c>
      <c r="U98" s="351">
        <v>12</v>
      </c>
      <c r="V98" s="351">
        <v>12</v>
      </c>
      <c r="W98" s="350" t="s">
        <v>39</v>
      </c>
      <c r="X98" s="350">
        <v>50</v>
      </c>
      <c r="Y98" s="350" t="s">
        <v>45</v>
      </c>
      <c r="Z98" s="350">
        <v>50</v>
      </c>
      <c r="AA98" s="350">
        <v>18</v>
      </c>
      <c r="AB98" s="350">
        <v>12</v>
      </c>
      <c r="AC98" s="350">
        <v>14</v>
      </c>
      <c r="AD98" s="350" t="s">
        <v>39</v>
      </c>
      <c r="AE98" s="350">
        <v>50</v>
      </c>
      <c r="AF98" s="350" t="s">
        <v>661</v>
      </c>
      <c r="AG98" s="350">
        <v>50</v>
      </c>
      <c r="AH98" s="350" t="s">
        <v>662</v>
      </c>
      <c r="AI98" s="350">
        <v>30</v>
      </c>
      <c r="AJ98" s="350">
        <v>21.3</v>
      </c>
      <c r="AK98" s="350">
        <v>11.5</v>
      </c>
      <c r="AL98" s="350">
        <v>21.5</v>
      </c>
    </row>
    <row r="99" spans="1:38" s="349" customFormat="1" ht="14" customHeight="1">
      <c r="A99" s="357">
        <v>68</v>
      </c>
      <c r="B99" s="357">
        <v>96</v>
      </c>
      <c r="C99" s="356" t="s">
        <v>770</v>
      </c>
      <c r="D99" s="356" t="s">
        <v>197</v>
      </c>
      <c r="E99" s="344" t="s">
        <v>761</v>
      </c>
      <c r="F99" s="356">
        <v>906164</v>
      </c>
      <c r="G99" s="343">
        <v>7.26</v>
      </c>
      <c r="H99" s="354" t="s">
        <v>28</v>
      </c>
      <c r="I99" s="407">
        <v>0.10009999999999999</v>
      </c>
      <c r="J99" s="354" t="s">
        <v>660</v>
      </c>
      <c r="K99" s="353">
        <v>4.9845534591196769E-2</v>
      </c>
      <c r="L99" s="319" t="s">
        <v>41</v>
      </c>
      <c r="M99" s="352">
        <v>3.1048433898754753</v>
      </c>
      <c r="N99" s="324" t="s">
        <v>47</v>
      </c>
      <c r="O99" s="352">
        <v>68</v>
      </c>
      <c r="P99" s="354" t="s">
        <v>28</v>
      </c>
      <c r="Q99" s="351">
        <v>18</v>
      </c>
      <c r="R99" s="351">
        <v>12</v>
      </c>
      <c r="S99" s="351">
        <v>12</v>
      </c>
      <c r="T99" s="351">
        <v>24</v>
      </c>
      <c r="U99" s="351">
        <v>12</v>
      </c>
      <c r="V99" s="351">
        <v>18</v>
      </c>
      <c r="W99" s="350" t="s">
        <v>39</v>
      </c>
      <c r="X99" s="350">
        <v>50</v>
      </c>
      <c r="Y99" s="350" t="s">
        <v>45</v>
      </c>
      <c r="Z99" s="350">
        <v>50</v>
      </c>
      <c r="AA99" s="350">
        <v>18</v>
      </c>
      <c r="AB99" s="350">
        <v>12</v>
      </c>
      <c r="AC99" s="350">
        <v>14</v>
      </c>
      <c r="AD99" s="350" t="s">
        <v>39</v>
      </c>
      <c r="AE99" s="350">
        <v>50</v>
      </c>
      <c r="AF99" s="350" t="s">
        <v>661</v>
      </c>
      <c r="AG99" s="350">
        <v>50</v>
      </c>
      <c r="AH99" s="350" t="s">
        <v>662</v>
      </c>
      <c r="AI99" s="350">
        <v>30</v>
      </c>
      <c r="AJ99" s="350">
        <v>21.3</v>
      </c>
      <c r="AK99" s="350">
        <v>11.5</v>
      </c>
      <c r="AL99" s="350">
        <v>21.5</v>
      </c>
    </row>
    <row r="100" spans="1:38" s="349" customFormat="1" ht="14" customHeight="1">
      <c r="A100" s="357">
        <v>68</v>
      </c>
      <c r="B100" s="357">
        <v>97</v>
      </c>
      <c r="C100" s="356" t="s">
        <v>771</v>
      </c>
      <c r="D100" s="356" t="s">
        <v>537</v>
      </c>
      <c r="E100" s="344" t="s">
        <v>759</v>
      </c>
      <c r="F100" s="356">
        <v>926127</v>
      </c>
      <c r="G100" s="343">
        <v>6.76</v>
      </c>
      <c r="H100" s="354" t="s">
        <v>28</v>
      </c>
      <c r="I100" s="407">
        <v>0.1119</v>
      </c>
      <c r="J100" s="354" t="s">
        <v>660</v>
      </c>
      <c r="K100" s="353">
        <v>1.3076447798742137</v>
      </c>
      <c r="L100" s="319" t="s">
        <v>41</v>
      </c>
      <c r="M100" s="352">
        <v>1.7534696313982987</v>
      </c>
      <c r="N100" s="324" t="s">
        <v>47</v>
      </c>
      <c r="O100" s="352">
        <v>141</v>
      </c>
      <c r="P100" s="354" t="s">
        <v>30</v>
      </c>
      <c r="Q100" s="351">
        <v>15</v>
      </c>
      <c r="R100" s="351">
        <v>12</v>
      </c>
      <c r="S100" s="351">
        <v>10</v>
      </c>
      <c r="T100" s="351">
        <v>18</v>
      </c>
      <c r="U100" s="351">
        <v>12</v>
      </c>
      <c r="V100" s="351">
        <v>12</v>
      </c>
      <c r="W100" s="350" t="s">
        <v>39</v>
      </c>
      <c r="X100" s="350">
        <v>50</v>
      </c>
      <c r="Y100" s="350" t="s">
        <v>45</v>
      </c>
      <c r="Z100" s="350">
        <v>50</v>
      </c>
      <c r="AA100" s="350">
        <v>18</v>
      </c>
      <c r="AB100" s="350">
        <v>12</v>
      </c>
      <c r="AC100" s="350">
        <v>14</v>
      </c>
      <c r="AD100" s="350" t="s">
        <v>39</v>
      </c>
      <c r="AE100" s="350">
        <v>50</v>
      </c>
      <c r="AF100" s="350" t="s">
        <v>661</v>
      </c>
      <c r="AG100" s="350">
        <v>50</v>
      </c>
      <c r="AH100" s="350" t="s">
        <v>662</v>
      </c>
      <c r="AI100" s="350">
        <v>30</v>
      </c>
      <c r="AJ100" s="350">
        <v>21.3</v>
      </c>
      <c r="AK100" s="350">
        <v>11.5</v>
      </c>
      <c r="AL100" s="350">
        <v>21.5</v>
      </c>
    </row>
    <row r="101" spans="1:38" s="349" customFormat="1" ht="14" customHeight="1">
      <c r="A101" s="357">
        <v>68</v>
      </c>
      <c r="B101" s="357">
        <v>98</v>
      </c>
      <c r="C101" s="356" t="s">
        <v>772</v>
      </c>
      <c r="D101" s="356" t="s">
        <v>197</v>
      </c>
      <c r="E101" s="344" t="s">
        <v>761</v>
      </c>
      <c r="F101" s="356">
        <v>906165</v>
      </c>
      <c r="G101" s="343">
        <v>7.1</v>
      </c>
      <c r="H101" s="354" t="s">
        <v>28</v>
      </c>
      <c r="I101" s="407">
        <v>3.6400000000000002E-2</v>
      </c>
      <c r="J101" s="354" t="s">
        <v>660</v>
      </c>
      <c r="K101" s="353">
        <v>0.36322213836478073</v>
      </c>
      <c r="L101" s="319" t="s">
        <v>41</v>
      </c>
      <c r="M101" s="352">
        <v>2.9929197963819658</v>
      </c>
      <c r="N101" s="324" t="s">
        <v>47</v>
      </c>
      <c r="O101" s="352">
        <v>71</v>
      </c>
      <c r="P101" s="354" t="s">
        <v>28</v>
      </c>
      <c r="Q101" s="351">
        <v>18</v>
      </c>
      <c r="R101" s="351">
        <v>12</v>
      </c>
      <c r="S101" s="351">
        <v>12</v>
      </c>
      <c r="T101" s="351">
        <v>24</v>
      </c>
      <c r="U101" s="351">
        <v>12</v>
      </c>
      <c r="V101" s="351">
        <v>18</v>
      </c>
      <c r="W101" s="350" t="s">
        <v>39</v>
      </c>
      <c r="X101" s="350">
        <v>50</v>
      </c>
      <c r="Y101" s="350" t="s">
        <v>45</v>
      </c>
      <c r="Z101" s="350">
        <v>50</v>
      </c>
      <c r="AA101" s="350">
        <v>18</v>
      </c>
      <c r="AB101" s="350">
        <v>12</v>
      </c>
      <c r="AC101" s="350">
        <v>14</v>
      </c>
      <c r="AD101" s="350" t="s">
        <v>39</v>
      </c>
      <c r="AE101" s="350">
        <v>50</v>
      </c>
      <c r="AF101" s="350" t="s">
        <v>661</v>
      </c>
      <c r="AG101" s="350">
        <v>50</v>
      </c>
      <c r="AH101" s="350" t="s">
        <v>662</v>
      </c>
      <c r="AI101" s="350">
        <v>30</v>
      </c>
      <c r="AJ101" s="350">
        <v>21.3</v>
      </c>
      <c r="AK101" s="350">
        <v>11.5</v>
      </c>
      <c r="AL101" s="350">
        <v>21.5</v>
      </c>
    </row>
    <row r="102" spans="1:38" s="349" customFormat="1" ht="14" customHeight="1">
      <c r="A102" s="357">
        <v>68</v>
      </c>
      <c r="B102" s="357">
        <v>99</v>
      </c>
      <c r="C102" s="356" t="s">
        <v>773</v>
      </c>
      <c r="D102" s="356" t="s">
        <v>537</v>
      </c>
      <c r="E102" s="344" t="s">
        <v>759</v>
      </c>
      <c r="F102" s="356">
        <v>926128</v>
      </c>
      <c r="G102" s="343">
        <v>6.81</v>
      </c>
      <c r="H102" s="354" t="s">
        <v>28</v>
      </c>
      <c r="I102" s="407">
        <v>5.3990000000000003E-2</v>
      </c>
      <c r="J102" s="354" t="s">
        <v>660</v>
      </c>
      <c r="K102" s="353">
        <v>1.6789745911949683</v>
      </c>
      <c r="L102" s="319" t="s">
        <v>28</v>
      </c>
      <c r="M102" s="352">
        <v>2</v>
      </c>
      <c r="N102" s="324" t="s">
        <v>47</v>
      </c>
      <c r="O102" s="352">
        <v>252</v>
      </c>
      <c r="P102" s="354" t="s">
        <v>30</v>
      </c>
      <c r="Q102" s="351">
        <v>15</v>
      </c>
      <c r="R102" s="351">
        <v>12</v>
      </c>
      <c r="S102" s="351">
        <v>10</v>
      </c>
      <c r="T102" s="351">
        <v>18</v>
      </c>
      <c r="U102" s="351">
        <v>12</v>
      </c>
      <c r="V102" s="351">
        <v>12</v>
      </c>
      <c r="W102" s="350" t="s">
        <v>39</v>
      </c>
      <c r="X102" s="350">
        <v>50</v>
      </c>
      <c r="Y102" s="350" t="s">
        <v>35</v>
      </c>
      <c r="Z102" s="350">
        <v>50</v>
      </c>
      <c r="AA102" s="350">
        <v>18.5</v>
      </c>
      <c r="AB102" s="350">
        <v>11.5</v>
      </c>
      <c r="AC102" s="350">
        <v>13</v>
      </c>
      <c r="AD102" s="350" t="s">
        <v>664</v>
      </c>
      <c r="AE102" s="350">
        <v>50</v>
      </c>
      <c r="AF102" s="350" t="s">
        <v>665</v>
      </c>
      <c r="AG102" s="350">
        <v>50</v>
      </c>
      <c r="AH102" s="350" t="s">
        <v>662</v>
      </c>
      <c r="AI102" s="350">
        <v>0</v>
      </c>
      <c r="AJ102" s="350">
        <v>17</v>
      </c>
      <c r="AK102" s="350">
        <v>7</v>
      </c>
      <c r="AL102" s="350">
        <v>18</v>
      </c>
    </row>
    <row r="103" spans="1:38" s="349" customFormat="1" ht="14" customHeight="1">
      <c r="A103" s="357">
        <v>68</v>
      </c>
      <c r="B103" s="357">
        <v>100</v>
      </c>
      <c r="C103" s="356" t="s">
        <v>774</v>
      </c>
      <c r="D103" s="356" t="s">
        <v>197</v>
      </c>
      <c r="E103" s="344" t="s">
        <v>761</v>
      </c>
      <c r="F103" s="356">
        <v>906128</v>
      </c>
      <c r="G103" s="343">
        <v>5.96</v>
      </c>
      <c r="H103" s="354" t="s">
        <v>28</v>
      </c>
      <c r="I103" s="407">
        <v>0.1071</v>
      </c>
      <c r="J103" s="354" t="s">
        <v>660</v>
      </c>
      <c r="K103" s="353">
        <v>0.85475119496855412</v>
      </c>
      <c r="L103" s="319" t="s">
        <v>41</v>
      </c>
      <c r="M103" s="352">
        <v>4.3360029183040671</v>
      </c>
      <c r="N103" s="324" t="s">
        <v>47</v>
      </c>
      <c r="O103" s="352">
        <v>192.99999999999997</v>
      </c>
      <c r="P103" s="354" t="s">
        <v>30</v>
      </c>
      <c r="Q103" s="351">
        <v>18</v>
      </c>
      <c r="R103" s="351">
        <v>12</v>
      </c>
      <c r="S103" s="351">
        <v>10</v>
      </c>
      <c r="T103" s="351">
        <v>24</v>
      </c>
      <c r="U103" s="351">
        <v>12</v>
      </c>
      <c r="V103" s="351">
        <v>12</v>
      </c>
      <c r="W103" s="350" t="s">
        <v>39</v>
      </c>
      <c r="X103" s="350">
        <v>50</v>
      </c>
      <c r="Y103" s="350" t="s">
        <v>35</v>
      </c>
      <c r="Z103" s="350">
        <v>50</v>
      </c>
      <c r="AA103" s="350">
        <v>18.5</v>
      </c>
      <c r="AB103" s="350">
        <v>11.5</v>
      </c>
      <c r="AC103" s="350">
        <v>13</v>
      </c>
      <c r="AD103" s="350" t="s">
        <v>664</v>
      </c>
      <c r="AE103" s="350">
        <v>50</v>
      </c>
      <c r="AF103" s="350" t="s">
        <v>665</v>
      </c>
      <c r="AG103" s="350">
        <v>50</v>
      </c>
      <c r="AH103" s="350" t="s">
        <v>662</v>
      </c>
      <c r="AI103" s="350">
        <v>0</v>
      </c>
      <c r="AJ103" s="350">
        <v>17</v>
      </c>
      <c r="AK103" s="350">
        <v>7</v>
      </c>
      <c r="AL103" s="350">
        <v>18</v>
      </c>
    </row>
    <row r="104" spans="1:38" s="349" customFormat="1" ht="14" customHeight="1">
      <c r="A104" s="357">
        <v>68</v>
      </c>
      <c r="B104" s="357">
        <v>101</v>
      </c>
      <c r="C104" s="356" t="s">
        <v>775</v>
      </c>
      <c r="D104" s="356" t="s">
        <v>402</v>
      </c>
      <c r="E104" s="356" t="s">
        <v>44</v>
      </c>
      <c r="F104" s="356">
        <v>911119</v>
      </c>
      <c r="G104" s="343">
        <v>6.6</v>
      </c>
      <c r="H104" s="354" t="s">
        <v>28</v>
      </c>
      <c r="I104" s="407">
        <v>5.3600000000000002E-2</v>
      </c>
      <c r="J104" s="354" t="s">
        <v>660</v>
      </c>
      <c r="K104" s="353">
        <v>1.094053836477987</v>
      </c>
      <c r="L104" s="319" t="s">
        <v>41</v>
      </c>
      <c r="M104" s="352">
        <v>30.628364146969343</v>
      </c>
      <c r="N104" s="324" t="s">
        <v>28</v>
      </c>
      <c r="O104" s="352">
        <v>58</v>
      </c>
      <c r="P104" s="354" t="s">
        <v>41</v>
      </c>
      <c r="Q104" s="351">
        <v>15</v>
      </c>
      <c r="R104" s="351">
        <v>6</v>
      </c>
      <c r="S104" s="351">
        <v>15</v>
      </c>
      <c r="T104" s="351">
        <v>18</v>
      </c>
      <c r="U104" s="351">
        <v>6</v>
      </c>
      <c r="V104" s="351">
        <v>24</v>
      </c>
      <c r="W104" s="350" t="s">
        <v>39</v>
      </c>
      <c r="X104" s="350">
        <v>50</v>
      </c>
      <c r="Y104" s="350" t="s">
        <v>45</v>
      </c>
      <c r="Z104" s="350">
        <v>50</v>
      </c>
      <c r="AA104" s="350">
        <v>18</v>
      </c>
      <c r="AB104" s="350">
        <v>12</v>
      </c>
      <c r="AC104" s="350">
        <v>14</v>
      </c>
      <c r="AD104" s="350" t="s">
        <v>39</v>
      </c>
      <c r="AE104" s="350">
        <v>50</v>
      </c>
      <c r="AF104" s="350" t="s">
        <v>661</v>
      </c>
      <c r="AG104" s="350">
        <v>50</v>
      </c>
      <c r="AH104" s="350" t="s">
        <v>662</v>
      </c>
      <c r="AI104" s="350">
        <v>30</v>
      </c>
      <c r="AJ104" s="350">
        <v>21.3</v>
      </c>
      <c r="AK104" s="350">
        <v>11.5</v>
      </c>
      <c r="AL104" s="350">
        <v>21.5</v>
      </c>
    </row>
    <row r="105" spans="1:38" s="349" customFormat="1" ht="14" customHeight="1">
      <c r="A105" s="357">
        <v>68</v>
      </c>
      <c r="B105" s="357">
        <v>102</v>
      </c>
      <c r="C105" s="356" t="s">
        <v>776</v>
      </c>
      <c r="D105" s="356" t="s">
        <v>402</v>
      </c>
      <c r="E105" s="356" t="s">
        <v>44</v>
      </c>
      <c r="F105" s="356">
        <v>911114</v>
      </c>
      <c r="G105" s="343">
        <v>6.71</v>
      </c>
      <c r="H105" s="354" t="s">
        <v>28</v>
      </c>
      <c r="I105" s="407">
        <v>4.8030000000000003E-2</v>
      </c>
      <c r="J105" s="354" t="s">
        <v>660</v>
      </c>
      <c r="K105" s="353">
        <v>0.61452477987421461</v>
      </c>
      <c r="L105" s="319" t="s">
        <v>41</v>
      </c>
      <c r="M105" s="352">
        <v>13.173804508932053</v>
      </c>
      <c r="N105" s="324" t="s">
        <v>41</v>
      </c>
      <c r="O105" s="352">
        <v>53.199999999999996</v>
      </c>
      <c r="P105" s="354" t="s">
        <v>41</v>
      </c>
      <c r="Q105" s="351">
        <v>18</v>
      </c>
      <c r="R105" s="351">
        <v>12</v>
      </c>
      <c r="S105" s="351">
        <v>15</v>
      </c>
      <c r="T105" s="351">
        <v>24</v>
      </c>
      <c r="U105" s="351">
        <v>12</v>
      </c>
      <c r="V105" s="351">
        <v>24</v>
      </c>
      <c r="W105" s="350" t="s">
        <v>39</v>
      </c>
      <c r="X105" s="350">
        <v>50</v>
      </c>
      <c r="Y105" s="350" t="s">
        <v>45</v>
      </c>
      <c r="Z105" s="350">
        <v>50</v>
      </c>
      <c r="AA105" s="350">
        <v>18</v>
      </c>
      <c r="AB105" s="350">
        <v>12</v>
      </c>
      <c r="AC105" s="350">
        <v>14</v>
      </c>
      <c r="AD105" s="350" t="s">
        <v>39</v>
      </c>
      <c r="AE105" s="350">
        <v>50</v>
      </c>
      <c r="AF105" s="350" t="s">
        <v>661</v>
      </c>
      <c r="AG105" s="350">
        <v>50</v>
      </c>
      <c r="AH105" s="350" t="s">
        <v>662</v>
      </c>
      <c r="AI105" s="350">
        <v>30</v>
      </c>
      <c r="AJ105" s="350">
        <v>21.3</v>
      </c>
      <c r="AK105" s="350">
        <v>11.5</v>
      </c>
      <c r="AL105" s="350">
        <v>21.5</v>
      </c>
    </row>
    <row r="106" spans="1:38" s="349" customFormat="1" ht="14" customHeight="1">
      <c r="A106" s="357">
        <v>68</v>
      </c>
      <c r="B106" s="357">
        <v>103</v>
      </c>
      <c r="C106" s="356" t="s">
        <v>777</v>
      </c>
      <c r="D106" s="356" t="s">
        <v>402</v>
      </c>
      <c r="E106" s="356" t="s">
        <v>44</v>
      </c>
      <c r="F106" s="356">
        <v>911121</v>
      </c>
      <c r="G106" s="343">
        <v>6.68</v>
      </c>
      <c r="H106" s="354" t="s">
        <v>28</v>
      </c>
      <c r="I106" s="407">
        <v>5.8049999999999997E-2</v>
      </c>
      <c r="J106" s="354" t="s">
        <v>660</v>
      </c>
      <c r="K106" s="353">
        <v>1.2421111949685535</v>
      </c>
      <c r="L106" s="319" t="s">
        <v>41</v>
      </c>
      <c r="M106" s="352">
        <v>16.21616350729386</v>
      </c>
      <c r="N106" s="324" t="s">
        <v>41</v>
      </c>
      <c r="O106" s="352">
        <v>144</v>
      </c>
      <c r="P106" s="354" t="s">
        <v>30</v>
      </c>
      <c r="Q106" s="351">
        <v>15</v>
      </c>
      <c r="R106" s="351">
        <v>9</v>
      </c>
      <c r="S106" s="351">
        <v>10</v>
      </c>
      <c r="T106" s="351">
        <v>18</v>
      </c>
      <c r="U106" s="351">
        <v>9</v>
      </c>
      <c r="V106" s="351">
        <v>12</v>
      </c>
      <c r="W106" s="350" t="s">
        <v>39</v>
      </c>
      <c r="X106" s="350">
        <v>50</v>
      </c>
      <c r="Y106" s="350" t="s">
        <v>45</v>
      </c>
      <c r="Z106" s="350">
        <v>50</v>
      </c>
      <c r="AA106" s="350">
        <v>18</v>
      </c>
      <c r="AB106" s="350">
        <v>12</v>
      </c>
      <c r="AC106" s="350">
        <v>14</v>
      </c>
      <c r="AD106" s="350" t="s">
        <v>39</v>
      </c>
      <c r="AE106" s="350">
        <v>50</v>
      </c>
      <c r="AF106" s="350" t="s">
        <v>661</v>
      </c>
      <c r="AG106" s="350">
        <v>50</v>
      </c>
      <c r="AH106" s="350" t="s">
        <v>662</v>
      </c>
      <c r="AI106" s="350">
        <v>30</v>
      </c>
      <c r="AJ106" s="350">
        <v>21.3</v>
      </c>
      <c r="AK106" s="350">
        <v>11.5</v>
      </c>
      <c r="AL106" s="350">
        <v>21.5</v>
      </c>
    </row>
    <row r="107" spans="1:38" s="349" customFormat="1" ht="14" customHeight="1">
      <c r="A107" s="357">
        <v>68</v>
      </c>
      <c r="B107" s="357">
        <v>104</v>
      </c>
      <c r="C107" s="356" t="s">
        <v>778</v>
      </c>
      <c r="D107" s="356" t="s">
        <v>402</v>
      </c>
      <c r="E107" s="356" t="s">
        <v>44</v>
      </c>
      <c r="F107" s="356">
        <v>911108</v>
      </c>
      <c r="G107" s="343">
        <v>6.73</v>
      </c>
      <c r="H107" s="354" t="s">
        <v>28</v>
      </c>
      <c r="I107" s="407">
        <v>3.3360000000000001E-2</v>
      </c>
      <c r="J107" s="354" t="s">
        <v>660</v>
      </c>
      <c r="K107" s="353">
        <v>0.48856553459119439</v>
      </c>
      <c r="L107" s="319" t="s">
        <v>41</v>
      </c>
      <c r="M107" s="352">
        <v>7.6156486465402908</v>
      </c>
      <c r="N107" s="324" t="s">
        <v>37</v>
      </c>
      <c r="O107" s="352">
        <v>27.599999999999994</v>
      </c>
      <c r="P107" s="354" t="s">
        <v>37</v>
      </c>
      <c r="Q107" s="351">
        <v>18</v>
      </c>
      <c r="R107" s="351">
        <v>12</v>
      </c>
      <c r="S107" s="351">
        <v>15</v>
      </c>
      <c r="T107" s="351">
        <v>24</v>
      </c>
      <c r="U107" s="351">
        <v>12</v>
      </c>
      <c r="V107" s="351">
        <v>24</v>
      </c>
      <c r="W107" s="350" t="s">
        <v>39</v>
      </c>
      <c r="X107" s="350">
        <v>50</v>
      </c>
      <c r="Y107" s="350" t="s">
        <v>45</v>
      </c>
      <c r="Z107" s="350">
        <v>50</v>
      </c>
      <c r="AA107" s="350">
        <v>18</v>
      </c>
      <c r="AB107" s="350">
        <v>12</v>
      </c>
      <c r="AC107" s="350">
        <v>14</v>
      </c>
      <c r="AD107" s="350" t="s">
        <v>39</v>
      </c>
      <c r="AE107" s="350">
        <v>50</v>
      </c>
      <c r="AF107" s="350" t="s">
        <v>661</v>
      </c>
      <c r="AG107" s="350">
        <v>50</v>
      </c>
      <c r="AH107" s="350" t="s">
        <v>662</v>
      </c>
      <c r="AI107" s="350">
        <v>30</v>
      </c>
      <c r="AJ107" s="350">
        <v>21.3</v>
      </c>
      <c r="AK107" s="350">
        <v>11.5</v>
      </c>
      <c r="AL107" s="350">
        <v>21.5</v>
      </c>
    </row>
    <row r="108" spans="1:38" s="349" customFormat="1" ht="14" customHeight="1">
      <c r="A108" s="357">
        <v>68</v>
      </c>
      <c r="B108" s="357">
        <v>105</v>
      </c>
      <c r="C108" s="356" t="s">
        <v>779</v>
      </c>
      <c r="D108" s="356" t="s">
        <v>402</v>
      </c>
      <c r="E108" s="356" t="s">
        <v>44</v>
      </c>
      <c r="F108" s="356">
        <v>911117</v>
      </c>
      <c r="G108" s="343">
        <v>7.05</v>
      </c>
      <c r="H108" s="354" t="s">
        <v>28</v>
      </c>
      <c r="I108" s="407">
        <v>4.7570000000000001E-2</v>
      </c>
      <c r="J108" s="354" t="s">
        <v>660</v>
      </c>
      <c r="K108" s="353">
        <v>1.4100568553459107</v>
      </c>
      <c r="L108" s="319" t="s">
        <v>41</v>
      </c>
      <c r="M108" s="352">
        <v>22.378890709103676</v>
      </c>
      <c r="N108" s="324" t="s">
        <v>28</v>
      </c>
      <c r="O108" s="352">
        <v>95.6</v>
      </c>
      <c r="P108" s="354" t="s">
        <v>29</v>
      </c>
      <c r="Q108" s="351">
        <v>15</v>
      </c>
      <c r="R108" s="351">
        <v>9</v>
      </c>
      <c r="S108" s="351">
        <v>10</v>
      </c>
      <c r="T108" s="351">
        <v>18</v>
      </c>
      <c r="U108" s="351">
        <v>9</v>
      </c>
      <c r="V108" s="351">
        <v>12</v>
      </c>
      <c r="W108" s="350" t="s">
        <v>39</v>
      </c>
      <c r="X108" s="350">
        <v>50</v>
      </c>
      <c r="Y108" s="350" t="s">
        <v>45</v>
      </c>
      <c r="Z108" s="350">
        <v>50</v>
      </c>
      <c r="AA108" s="350">
        <v>18</v>
      </c>
      <c r="AB108" s="350">
        <v>12</v>
      </c>
      <c r="AC108" s="350">
        <v>14</v>
      </c>
      <c r="AD108" s="350" t="s">
        <v>39</v>
      </c>
      <c r="AE108" s="350">
        <v>50</v>
      </c>
      <c r="AF108" s="350" t="s">
        <v>661</v>
      </c>
      <c r="AG108" s="350">
        <v>50</v>
      </c>
      <c r="AH108" s="350" t="s">
        <v>662</v>
      </c>
      <c r="AI108" s="350">
        <v>30</v>
      </c>
      <c r="AJ108" s="350">
        <v>21.3</v>
      </c>
      <c r="AK108" s="350">
        <v>11.5</v>
      </c>
      <c r="AL108" s="350">
        <v>21.5</v>
      </c>
    </row>
    <row r="109" spans="1:38" s="349" customFormat="1" ht="14" customHeight="1">
      <c r="A109" s="357">
        <v>68</v>
      </c>
      <c r="B109" s="357">
        <v>106</v>
      </c>
      <c r="C109" s="356" t="s">
        <v>780</v>
      </c>
      <c r="D109" s="356" t="s">
        <v>402</v>
      </c>
      <c r="E109" s="356" t="s">
        <v>44</v>
      </c>
      <c r="F109" s="356">
        <v>911102</v>
      </c>
      <c r="G109" s="343">
        <v>6.3</v>
      </c>
      <c r="H109" s="354" t="s">
        <v>28</v>
      </c>
      <c r="I109" s="407">
        <v>2.9729999999999999E-2</v>
      </c>
      <c r="J109" s="354" t="s">
        <v>660</v>
      </c>
      <c r="K109" s="353">
        <v>1.3</v>
      </c>
      <c r="L109" s="319" t="s">
        <v>41</v>
      </c>
      <c r="M109" s="352">
        <v>35.182151493876276</v>
      </c>
      <c r="N109" s="324" t="s">
        <v>28</v>
      </c>
      <c r="O109" s="352">
        <v>55.199999999999989</v>
      </c>
      <c r="P109" s="354" t="s">
        <v>41</v>
      </c>
      <c r="Q109" s="351">
        <v>15</v>
      </c>
      <c r="R109" s="351">
        <v>6</v>
      </c>
      <c r="S109" s="351">
        <v>15</v>
      </c>
      <c r="T109" s="351">
        <v>18</v>
      </c>
      <c r="U109" s="351">
        <v>6</v>
      </c>
      <c r="V109" s="351">
        <v>24</v>
      </c>
      <c r="W109" s="350" t="s">
        <v>39</v>
      </c>
      <c r="X109" s="350">
        <v>50</v>
      </c>
      <c r="Y109" s="350" t="s">
        <v>35</v>
      </c>
      <c r="Z109" s="350">
        <v>50</v>
      </c>
      <c r="AA109" s="350">
        <v>18.5</v>
      </c>
      <c r="AB109" s="350">
        <v>11.5</v>
      </c>
      <c r="AC109" s="350">
        <v>13</v>
      </c>
      <c r="AD109" s="350" t="s">
        <v>664</v>
      </c>
      <c r="AE109" s="350">
        <v>50</v>
      </c>
      <c r="AF109" s="350" t="s">
        <v>665</v>
      </c>
      <c r="AG109" s="350">
        <v>50</v>
      </c>
      <c r="AH109" s="350" t="s">
        <v>662</v>
      </c>
      <c r="AI109" s="350">
        <v>0</v>
      </c>
      <c r="AJ109" s="350">
        <v>17</v>
      </c>
      <c r="AK109" s="350">
        <v>7</v>
      </c>
      <c r="AL109" s="350">
        <v>18</v>
      </c>
    </row>
    <row r="110" spans="1:38" s="349" customFormat="1" ht="14" customHeight="1">
      <c r="A110" s="357">
        <v>68</v>
      </c>
      <c r="B110" s="357">
        <v>107</v>
      </c>
      <c r="C110" s="356" t="s">
        <v>781</v>
      </c>
      <c r="D110" s="356" t="s">
        <v>402</v>
      </c>
      <c r="E110" s="356" t="s">
        <v>44</v>
      </c>
      <c r="F110" s="356">
        <v>911106</v>
      </c>
      <c r="G110" s="343">
        <v>7.62</v>
      </c>
      <c r="H110" s="354" t="s">
        <v>40</v>
      </c>
      <c r="I110" s="407">
        <v>0.1174</v>
      </c>
      <c r="J110" s="354" t="s">
        <v>660</v>
      </c>
      <c r="K110" s="353">
        <v>1.4</v>
      </c>
      <c r="L110" s="319" t="s">
        <v>41</v>
      </c>
      <c r="M110" s="352">
        <v>1.6284421561744333</v>
      </c>
      <c r="N110" s="324" t="s">
        <v>47</v>
      </c>
      <c r="O110" s="352">
        <v>104.39999999999999</v>
      </c>
      <c r="P110" s="354" t="s">
        <v>29</v>
      </c>
      <c r="Q110" s="351">
        <v>15</v>
      </c>
      <c r="R110" s="351">
        <v>12</v>
      </c>
      <c r="S110" s="351">
        <v>10</v>
      </c>
      <c r="T110" s="351">
        <v>18</v>
      </c>
      <c r="U110" s="351">
        <v>12</v>
      </c>
      <c r="V110" s="351">
        <v>12</v>
      </c>
      <c r="W110" s="350" t="s">
        <v>39</v>
      </c>
      <c r="X110" s="350">
        <v>50</v>
      </c>
      <c r="Y110" s="350" t="s">
        <v>45</v>
      </c>
      <c r="Z110" s="350">
        <v>50</v>
      </c>
      <c r="AA110" s="350">
        <v>18</v>
      </c>
      <c r="AB110" s="350">
        <v>12</v>
      </c>
      <c r="AC110" s="350">
        <v>14</v>
      </c>
      <c r="AD110" s="350" t="s">
        <v>39</v>
      </c>
      <c r="AE110" s="350">
        <v>50</v>
      </c>
      <c r="AF110" s="350" t="s">
        <v>661</v>
      </c>
      <c r="AG110" s="350">
        <v>50</v>
      </c>
      <c r="AH110" s="350" t="s">
        <v>662</v>
      </c>
      <c r="AI110" s="350">
        <v>30</v>
      </c>
      <c r="AJ110" s="350">
        <v>21.3</v>
      </c>
      <c r="AK110" s="350">
        <v>11.5</v>
      </c>
      <c r="AL110" s="350">
        <v>21.5</v>
      </c>
    </row>
    <row r="111" spans="1:38" s="349" customFormat="1" ht="14" customHeight="1">
      <c r="A111" s="357">
        <v>68</v>
      </c>
      <c r="B111" s="357">
        <v>108</v>
      </c>
      <c r="C111" s="356" t="s">
        <v>782</v>
      </c>
      <c r="D111" s="356" t="s">
        <v>402</v>
      </c>
      <c r="E111" s="356" t="s">
        <v>44</v>
      </c>
      <c r="F111" s="356">
        <v>911117</v>
      </c>
      <c r="G111" s="343">
        <v>6.45</v>
      </c>
      <c r="H111" s="354" t="s">
        <v>28</v>
      </c>
      <c r="I111" s="407">
        <v>3.5319999999999997E-2</v>
      </c>
      <c r="J111" s="354" t="s">
        <v>660</v>
      </c>
      <c r="K111" s="353">
        <v>0.19466062893081704</v>
      </c>
      <c r="L111" s="319" t="s">
        <v>41</v>
      </c>
      <c r="M111" s="352">
        <v>5.3338793977689392</v>
      </c>
      <c r="N111" s="324" t="s">
        <v>47</v>
      </c>
      <c r="O111" s="352">
        <v>138.39999999999998</v>
      </c>
      <c r="P111" s="354" t="s">
        <v>30</v>
      </c>
      <c r="Q111" s="351">
        <v>18</v>
      </c>
      <c r="R111" s="351">
        <v>12</v>
      </c>
      <c r="S111" s="351">
        <v>10</v>
      </c>
      <c r="T111" s="351">
        <v>24</v>
      </c>
      <c r="U111" s="351">
        <v>12</v>
      </c>
      <c r="V111" s="351">
        <v>12</v>
      </c>
      <c r="W111" s="350" t="s">
        <v>39</v>
      </c>
      <c r="X111" s="350">
        <v>50</v>
      </c>
      <c r="Y111" s="350" t="s">
        <v>35</v>
      </c>
      <c r="Z111" s="350">
        <v>50</v>
      </c>
      <c r="AA111" s="350">
        <v>18.5</v>
      </c>
      <c r="AB111" s="350">
        <v>11.5</v>
      </c>
      <c r="AC111" s="350">
        <v>13</v>
      </c>
      <c r="AD111" s="350" t="s">
        <v>664</v>
      </c>
      <c r="AE111" s="350">
        <v>50</v>
      </c>
      <c r="AF111" s="350" t="s">
        <v>665</v>
      </c>
      <c r="AG111" s="350">
        <v>50</v>
      </c>
      <c r="AH111" s="350" t="s">
        <v>662</v>
      </c>
      <c r="AI111" s="350">
        <v>0</v>
      </c>
      <c r="AJ111" s="350">
        <v>17</v>
      </c>
      <c r="AK111" s="350">
        <v>7</v>
      </c>
      <c r="AL111" s="350">
        <v>18</v>
      </c>
    </row>
    <row r="112" spans="1:38" s="349" customFormat="1" ht="14" customHeight="1">
      <c r="A112" s="357">
        <v>68</v>
      </c>
      <c r="B112" s="357">
        <v>109</v>
      </c>
      <c r="C112" s="356" t="s">
        <v>783</v>
      </c>
      <c r="D112" s="356" t="s">
        <v>402</v>
      </c>
      <c r="E112" s="356" t="s">
        <v>44</v>
      </c>
      <c r="F112" s="356">
        <v>911123</v>
      </c>
      <c r="G112" s="343">
        <v>6.47</v>
      </c>
      <c r="H112" s="354" t="s">
        <v>28</v>
      </c>
      <c r="I112" s="407">
        <v>2.818E-2</v>
      </c>
      <c r="J112" s="354" t="s">
        <v>660</v>
      </c>
      <c r="K112" s="353">
        <v>0.01</v>
      </c>
      <c r="L112" s="319" t="s">
        <v>41</v>
      </c>
      <c r="M112" s="352">
        <v>10.531242686637025</v>
      </c>
      <c r="N112" s="324" t="s">
        <v>41</v>
      </c>
      <c r="O112" s="352">
        <v>38.4</v>
      </c>
      <c r="P112" s="354" t="s">
        <v>41</v>
      </c>
      <c r="Q112" s="351">
        <v>18</v>
      </c>
      <c r="R112" s="351">
        <v>12</v>
      </c>
      <c r="S112" s="351">
        <v>15</v>
      </c>
      <c r="T112" s="351">
        <v>24</v>
      </c>
      <c r="U112" s="351">
        <v>12</v>
      </c>
      <c r="V112" s="351">
        <v>24</v>
      </c>
      <c r="W112" s="350" t="s">
        <v>39</v>
      </c>
      <c r="X112" s="350">
        <v>50</v>
      </c>
      <c r="Y112" s="350" t="s">
        <v>45</v>
      </c>
      <c r="Z112" s="350">
        <v>50</v>
      </c>
      <c r="AA112" s="350">
        <v>18</v>
      </c>
      <c r="AB112" s="350">
        <v>12</v>
      </c>
      <c r="AC112" s="350">
        <v>14</v>
      </c>
      <c r="AD112" s="350" t="s">
        <v>39</v>
      </c>
      <c r="AE112" s="350">
        <v>50</v>
      </c>
      <c r="AF112" s="350" t="s">
        <v>661</v>
      </c>
      <c r="AG112" s="350">
        <v>50</v>
      </c>
      <c r="AH112" s="350" t="s">
        <v>662</v>
      </c>
      <c r="AI112" s="350">
        <v>30</v>
      </c>
      <c r="AJ112" s="350">
        <v>21.3</v>
      </c>
      <c r="AK112" s="350">
        <v>11.5</v>
      </c>
      <c r="AL112" s="350">
        <v>21.5</v>
      </c>
    </row>
    <row r="113" spans="1:38" s="349" customFormat="1" ht="14" customHeight="1">
      <c r="A113" s="357">
        <v>68</v>
      </c>
      <c r="B113" s="357">
        <v>110</v>
      </c>
      <c r="C113" s="356" t="s">
        <v>784</v>
      </c>
      <c r="D113" s="356" t="s">
        <v>402</v>
      </c>
      <c r="E113" s="356" t="s">
        <v>44</v>
      </c>
      <c r="F113" s="356">
        <v>911118</v>
      </c>
      <c r="G113" s="343">
        <v>7.87</v>
      </c>
      <c r="H113" s="354" t="s">
        <v>40</v>
      </c>
      <c r="I113" s="407">
        <v>8.9260000000000006E-2</v>
      </c>
      <c r="J113" s="354" t="s">
        <v>660</v>
      </c>
      <c r="K113" s="353">
        <v>1.4</v>
      </c>
      <c r="L113" s="319" t="s">
        <v>41</v>
      </c>
      <c r="M113" s="352">
        <v>1.6284421561744333</v>
      </c>
      <c r="N113" s="324" t="s">
        <v>47</v>
      </c>
      <c r="O113" s="352">
        <v>72.8</v>
      </c>
      <c r="P113" s="354" t="s">
        <v>28</v>
      </c>
      <c r="Q113" s="351">
        <v>15</v>
      </c>
      <c r="R113" s="351">
        <v>12</v>
      </c>
      <c r="S113" s="351">
        <v>12</v>
      </c>
      <c r="T113" s="351">
        <v>18</v>
      </c>
      <c r="U113" s="351">
        <v>12</v>
      </c>
      <c r="V113" s="351">
        <v>18</v>
      </c>
      <c r="W113" s="350" t="s">
        <v>39</v>
      </c>
      <c r="X113" s="350">
        <v>50</v>
      </c>
      <c r="Y113" s="350" t="s">
        <v>45</v>
      </c>
      <c r="Z113" s="350">
        <v>50</v>
      </c>
      <c r="AA113" s="350">
        <v>18</v>
      </c>
      <c r="AB113" s="350">
        <v>12</v>
      </c>
      <c r="AC113" s="350">
        <v>14</v>
      </c>
      <c r="AD113" s="350" t="s">
        <v>39</v>
      </c>
      <c r="AE113" s="350">
        <v>50</v>
      </c>
      <c r="AF113" s="350" t="s">
        <v>661</v>
      </c>
      <c r="AG113" s="350">
        <v>50</v>
      </c>
      <c r="AH113" s="350" t="s">
        <v>662</v>
      </c>
      <c r="AI113" s="350">
        <v>30</v>
      </c>
      <c r="AJ113" s="350">
        <v>21.3</v>
      </c>
      <c r="AK113" s="350">
        <v>11.5</v>
      </c>
      <c r="AL113" s="350">
        <v>21.5</v>
      </c>
    </row>
    <row r="114" spans="1:38" s="349" customFormat="1" ht="14" customHeight="1">
      <c r="A114" s="357">
        <v>68</v>
      </c>
      <c r="B114" s="357">
        <v>111</v>
      </c>
      <c r="C114" s="356" t="s">
        <v>785</v>
      </c>
      <c r="D114" s="356" t="s">
        <v>402</v>
      </c>
      <c r="E114" s="356" t="s">
        <v>44</v>
      </c>
      <c r="F114" s="356">
        <v>911122</v>
      </c>
      <c r="G114" s="343">
        <v>7.37</v>
      </c>
      <c r="H114" s="354" t="s">
        <v>40</v>
      </c>
      <c r="I114" s="407">
        <v>9.129000000000001E-2</v>
      </c>
      <c r="J114" s="354" t="s">
        <v>660</v>
      </c>
      <c r="K114" s="353">
        <v>0.61452477987421461</v>
      </c>
      <c r="L114" s="319" t="s">
        <v>41</v>
      </c>
      <c r="M114" s="352">
        <v>17.669084952024338</v>
      </c>
      <c r="N114" s="324" t="s">
        <v>41</v>
      </c>
      <c r="O114" s="352">
        <v>135.19999999999999</v>
      </c>
      <c r="P114" s="354" t="s">
        <v>30</v>
      </c>
      <c r="Q114" s="351">
        <v>18</v>
      </c>
      <c r="R114" s="351">
        <v>9</v>
      </c>
      <c r="S114" s="351">
        <v>10</v>
      </c>
      <c r="T114" s="351">
        <v>24</v>
      </c>
      <c r="U114" s="351">
        <v>9</v>
      </c>
      <c r="V114" s="351">
        <v>12</v>
      </c>
      <c r="W114" s="350" t="s">
        <v>39</v>
      </c>
      <c r="X114" s="350">
        <v>50</v>
      </c>
      <c r="Y114" s="350" t="s">
        <v>45</v>
      </c>
      <c r="Z114" s="350">
        <v>50</v>
      </c>
      <c r="AA114" s="350">
        <v>18</v>
      </c>
      <c r="AB114" s="350">
        <v>12</v>
      </c>
      <c r="AC114" s="350">
        <v>14</v>
      </c>
      <c r="AD114" s="350" t="s">
        <v>39</v>
      </c>
      <c r="AE114" s="350">
        <v>50</v>
      </c>
      <c r="AF114" s="350" t="s">
        <v>661</v>
      </c>
      <c r="AG114" s="350">
        <v>50</v>
      </c>
      <c r="AH114" s="350" t="s">
        <v>662</v>
      </c>
      <c r="AI114" s="350">
        <v>30</v>
      </c>
      <c r="AJ114" s="350">
        <v>21.3</v>
      </c>
      <c r="AK114" s="350">
        <v>11.5</v>
      </c>
      <c r="AL114" s="350">
        <v>21.5</v>
      </c>
    </row>
    <row r="115" spans="1:38" s="349" customFormat="1" ht="14" customHeight="1">
      <c r="A115" s="357">
        <v>68</v>
      </c>
      <c r="B115" s="357">
        <v>112</v>
      </c>
      <c r="C115" s="356" t="s">
        <v>786</v>
      </c>
      <c r="D115" s="356" t="s">
        <v>589</v>
      </c>
      <c r="E115" s="344" t="s">
        <v>751</v>
      </c>
      <c r="F115" s="356">
        <v>920112</v>
      </c>
      <c r="G115" s="343">
        <v>6.72</v>
      </c>
      <c r="H115" s="354" t="s">
        <v>28</v>
      </c>
      <c r="I115" s="407">
        <v>3.2670000000000005E-2</v>
      </c>
      <c r="J115" s="354" t="s">
        <v>660</v>
      </c>
      <c r="K115" s="353">
        <v>9.5219119496854757E-2</v>
      </c>
      <c r="L115" s="319" t="s">
        <v>41</v>
      </c>
      <c r="M115" s="352">
        <v>1.6284421561744333</v>
      </c>
      <c r="N115" s="324" t="s">
        <v>47</v>
      </c>
      <c r="O115" s="352">
        <v>111.19999999999999</v>
      </c>
      <c r="P115" s="354" t="s">
        <v>29</v>
      </c>
      <c r="Q115" s="351">
        <v>18</v>
      </c>
      <c r="R115" s="351">
        <v>12</v>
      </c>
      <c r="S115" s="351">
        <v>10</v>
      </c>
      <c r="T115" s="351">
        <v>24</v>
      </c>
      <c r="U115" s="351">
        <v>12</v>
      </c>
      <c r="V115" s="351">
        <v>12</v>
      </c>
      <c r="W115" s="350" t="s">
        <v>39</v>
      </c>
      <c r="X115" s="350">
        <v>50</v>
      </c>
      <c r="Y115" s="350" t="s">
        <v>45</v>
      </c>
      <c r="Z115" s="350">
        <v>50</v>
      </c>
      <c r="AA115" s="350">
        <v>18</v>
      </c>
      <c r="AB115" s="350">
        <v>12</v>
      </c>
      <c r="AC115" s="350">
        <v>14</v>
      </c>
      <c r="AD115" s="350" t="s">
        <v>39</v>
      </c>
      <c r="AE115" s="350">
        <v>50</v>
      </c>
      <c r="AF115" s="350" t="s">
        <v>661</v>
      </c>
      <c r="AG115" s="350">
        <v>50</v>
      </c>
      <c r="AH115" s="350" t="s">
        <v>662</v>
      </c>
      <c r="AI115" s="350">
        <v>30</v>
      </c>
      <c r="AJ115" s="350">
        <v>21.3</v>
      </c>
      <c r="AK115" s="350">
        <v>11.5</v>
      </c>
      <c r="AL115" s="350">
        <v>21.5</v>
      </c>
    </row>
    <row r="116" spans="1:38" s="349" customFormat="1" ht="14" customHeight="1" thickBot="1">
      <c r="A116" s="357">
        <v>68</v>
      </c>
      <c r="B116" s="341">
        <v>113</v>
      </c>
      <c r="C116" s="340" t="s">
        <v>787</v>
      </c>
      <c r="D116" s="340" t="s">
        <v>589</v>
      </c>
      <c r="E116" s="344" t="s">
        <v>751</v>
      </c>
      <c r="F116" s="340">
        <v>920109</v>
      </c>
      <c r="G116" s="339">
        <v>6.26</v>
      </c>
      <c r="H116" s="338" t="s">
        <v>28</v>
      </c>
      <c r="I116" s="337">
        <v>3.5529999999999999E-2</v>
      </c>
      <c r="J116" s="338" t="s">
        <v>660</v>
      </c>
      <c r="K116" s="290">
        <v>0.48414591194968454</v>
      </c>
      <c r="L116" s="291" t="s">
        <v>41</v>
      </c>
      <c r="M116" s="406">
        <v>4.7000546064435627</v>
      </c>
      <c r="N116" s="323" t="s">
        <v>47</v>
      </c>
      <c r="O116" s="406">
        <v>212.79999999999998</v>
      </c>
      <c r="P116" s="338" t="s">
        <v>30</v>
      </c>
      <c r="Q116" s="351">
        <v>18</v>
      </c>
      <c r="R116" s="351">
        <v>12</v>
      </c>
      <c r="S116" s="351">
        <v>10</v>
      </c>
      <c r="T116" s="351">
        <v>24</v>
      </c>
      <c r="U116" s="351">
        <v>12</v>
      </c>
      <c r="V116" s="351">
        <v>12</v>
      </c>
      <c r="W116" s="350" t="s">
        <v>39</v>
      </c>
      <c r="X116" s="350">
        <v>50</v>
      </c>
      <c r="Y116" s="350" t="s">
        <v>35</v>
      </c>
      <c r="Z116" s="350">
        <v>50</v>
      </c>
      <c r="AA116" s="350">
        <v>18.5</v>
      </c>
      <c r="AB116" s="350">
        <v>11.5</v>
      </c>
      <c r="AC116" s="350">
        <v>13</v>
      </c>
      <c r="AD116" s="350" t="s">
        <v>664</v>
      </c>
      <c r="AE116" s="350">
        <v>50</v>
      </c>
      <c r="AF116" s="350" t="s">
        <v>665</v>
      </c>
      <c r="AG116" s="350">
        <v>50</v>
      </c>
      <c r="AH116" s="350" t="s">
        <v>662</v>
      </c>
      <c r="AI116" s="350">
        <v>0</v>
      </c>
      <c r="AJ116" s="350">
        <v>17</v>
      </c>
      <c r="AK116" s="350">
        <v>7</v>
      </c>
      <c r="AL116" s="350">
        <v>18</v>
      </c>
    </row>
    <row r="117" spans="1:38" s="349" customFormat="1" ht="14" customHeight="1" thickBot="1">
      <c r="A117" s="336"/>
      <c r="B117" s="336"/>
      <c r="C117" s="335"/>
      <c r="D117" s="335"/>
      <c r="E117" s="334"/>
      <c r="F117" s="333" t="s">
        <v>788</v>
      </c>
      <c r="G117" s="332">
        <v>6.8763421828908546</v>
      </c>
      <c r="H117" s="331" t="s">
        <v>28</v>
      </c>
      <c r="I117" s="330">
        <v>0.12254093215339239</v>
      </c>
      <c r="J117" s="331" t="s">
        <v>660</v>
      </c>
      <c r="K117" s="329">
        <v>1.0301616741804425</v>
      </c>
      <c r="L117" s="318" t="s">
        <v>41</v>
      </c>
      <c r="M117" s="333">
        <v>20.134007384936005</v>
      </c>
      <c r="N117" s="292" t="s">
        <v>28</v>
      </c>
      <c r="O117" s="334">
        <v>136.28967551622418</v>
      </c>
      <c r="P117" s="328" t="s">
        <v>29</v>
      </c>
      <c r="Q117" s="327"/>
      <c r="R117" s="378"/>
      <c r="S117" s="378"/>
      <c r="T117" s="378"/>
      <c r="U117" s="378"/>
      <c r="V117" s="378"/>
      <c r="W117" s="378"/>
      <c r="X117" s="378"/>
      <c r="Y117" s="378"/>
      <c r="Z117" s="378"/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</row>
    <row r="118" spans="1:38" ht="19" customHeight="1">
      <c r="B118" s="386"/>
      <c r="C118" s="383"/>
      <c r="D118" s="383"/>
      <c r="E118" s="376"/>
      <c r="F118" s="375"/>
      <c r="G118" s="374">
        <v>6.8763421828908546</v>
      </c>
      <c r="H118" s="374" t="e">
        <v>#DIV/0!</v>
      </c>
      <c r="I118" s="374">
        <v>0.12254093215339239</v>
      </c>
      <c r="J118" s="374" t="e">
        <v>#DIV/0!</v>
      </c>
      <c r="K118" s="374">
        <v>1.0301616741804425</v>
      </c>
      <c r="L118" s="317" t="e">
        <v>#DIV/0!</v>
      </c>
      <c r="M118" s="374">
        <v>20.134007384936005</v>
      </c>
      <c r="N118" s="322" t="e">
        <v>#DIV/0!</v>
      </c>
      <c r="O118" s="374">
        <v>136.28967551622418</v>
      </c>
      <c r="P118" s="374" t="e">
        <v>#DIV/0!</v>
      </c>
      <c r="Q118" s="379"/>
      <c r="R118" s="399"/>
      <c r="S118" s="399"/>
      <c r="T118" s="399"/>
      <c r="U118" s="399"/>
      <c r="V118" s="399"/>
      <c r="W118" s="399"/>
      <c r="X118" s="399"/>
      <c r="Y118" s="399"/>
      <c r="Z118" s="399"/>
      <c r="AA118" s="399"/>
      <c r="AB118" s="399"/>
      <c r="AC118" s="399"/>
      <c r="AD118" s="399"/>
      <c r="AE118" s="399"/>
      <c r="AF118" s="399"/>
      <c r="AG118" s="399"/>
      <c r="AH118" s="399"/>
      <c r="AI118" s="399"/>
      <c r="AJ118" s="399"/>
      <c r="AK118" s="399"/>
      <c r="AL118" s="399"/>
    </row>
    <row r="119" spans="1:38" ht="19" customHeight="1">
      <c r="B119" s="381"/>
      <c r="C119" s="383"/>
      <c r="D119" s="383"/>
      <c r="E119" s="383"/>
      <c r="F119" s="382"/>
      <c r="G119" s="383">
        <v>6.8763421828908546</v>
      </c>
      <c r="H119" s="383"/>
      <c r="I119" s="382"/>
      <c r="J119" s="383"/>
      <c r="K119" s="383"/>
      <c r="L119" s="316"/>
      <c r="M119" s="383"/>
      <c r="N119" s="321"/>
      <c r="O119" s="383"/>
      <c r="P119" s="380"/>
      <c r="Q119" s="379"/>
      <c r="R119" s="399"/>
      <c r="S119" s="399"/>
      <c r="T119" s="399"/>
      <c r="U119" s="399"/>
      <c r="V119" s="399"/>
      <c r="W119" s="399"/>
      <c r="X119" s="399"/>
      <c r="Y119" s="399"/>
      <c r="Z119" s="399"/>
      <c r="AA119" s="399"/>
      <c r="AB119" s="399"/>
      <c r="AC119" s="399"/>
      <c r="AD119" s="399"/>
      <c r="AE119" s="399"/>
      <c r="AF119" s="399"/>
      <c r="AG119" s="399"/>
      <c r="AH119" s="399"/>
      <c r="AI119" s="399"/>
      <c r="AJ119" s="399"/>
      <c r="AK119" s="399"/>
      <c r="AL119" s="399"/>
    </row>
    <row r="120" spans="1:38" ht="19" customHeight="1">
      <c r="B120" s="381"/>
      <c r="C120" s="383"/>
      <c r="D120" s="383"/>
      <c r="E120" s="383"/>
      <c r="F120" s="382"/>
      <c r="G120" s="383"/>
      <c r="H120" s="383" t="s">
        <v>789</v>
      </c>
      <c r="I120" s="382"/>
      <c r="J120" s="383"/>
      <c r="K120" s="383"/>
      <c r="L120" s="316"/>
      <c r="M120" s="383"/>
      <c r="N120" s="321"/>
      <c r="O120" s="383"/>
      <c r="P120" s="380"/>
      <c r="Q120" s="379"/>
      <c r="R120" s="399"/>
      <c r="S120" s="399"/>
      <c r="T120" s="399"/>
      <c r="U120" s="399"/>
      <c r="V120" s="399"/>
      <c r="W120" s="399"/>
      <c r="X120" s="399"/>
      <c r="Y120" s="399"/>
      <c r="Z120" s="399"/>
      <c r="AA120" s="399"/>
      <c r="AB120" s="399"/>
      <c r="AC120" s="399"/>
      <c r="AD120" s="399"/>
      <c r="AE120" s="399"/>
      <c r="AF120" s="399"/>
      <c r="AG120" s="399"/>
      <c r="AH120" s="399"/>
      <c r="AI120" s="399"/>
      <c r="AJ120" s="399"/>
      <c r="AK120" s="399"/>
      <c r="AL120" s="399"/>
    </row>
    <row r="121" spans="1:38" ht="19" customHeight="1">
      <c r="B121" s="399"/>
      <c r="C121" s="399"/>
      <c r="D121" s="399"/>
      <c r="E121" s="399"/>
      <c r="F121" s="399"/>
      <c r="G121" s="399" t="s">
        <v>12</v>
      </c>
      <c r="H121" s="383">
        <v>7.56</v>
      </c>
      <c r="I121" s="399">
        <v>113</v>
      </c>
      <c r="J121" s="399"/>
      <c r="K121" s="399"/>
      <c r="L121" s="320"/>
      <c r="M121" s="399"/>
      <c r="N121" s="326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  <c r="AA121" s="399"/>
      <c r="AB121" s="399"/>
      <c r="AC121" s="399"/>
      <c r="AD121" s="399"/>
      <c r="AE121" s="399"/>
      <c r="AF121" s="399"/>
      <c r="AG121" s="399"/>
      <c r="AH121" s="399"/>
      <c r="AI121" s="399"/>
      <c r="AJ121" s="399"/>
      <c r="AK121" s="399"/>
      <c r="AL121" s="399"/>
    </row>
    <row r="122" spans="1:38" ht="19" customHeight="1">
      <c r="B122" s="399"/>
      <c r="C122" s="399"/>
      <c r="D122" s="399"/>
      <c r="E122" s="399"/>
      <c r="F122" s="399"/>
      <c r="G122" s="399" t="s">
        <v>15</v>
      </c>
      <c r="H122" s="383">
        <v>0.77</v>
      </c>
      <c r="I122" s="399"/>
      <c r="J122" s="399"/>
      <c r="K122" s="399"/>
      <c r="L122" s="320"/>
      <c r="M122" s="399"/>
      <c r="N122" s="326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  <c r="AA122" s="399"/>
      <c r="AB122" s="399"/>
      <c r="AC122" s="399"/>
      <c r="AD122" s="399"/>
      <c r="AE122" s="399"/>
      <c r="AF122" s="399"/>
      <c r="AG122" s="399"/>
      <c r="AH122" s="399"/>
      <c r="AI122" s="399"/>
      <c r="AJ122" s="399"/>
      <c r="AK122" s="399"/>
      <c r="AL122" s="399"/>
    </row>
    <row r="123" spans="1:38" ht="19" customHeight="1">
      <c r="B123" s="399"/>
      <c r="C123" s="399"/>
      <c r="D123" s="399"/>
      <c r="E123" s="399"/>
      <c r="F123" s="399"/>
      <c r="G123" s="399" t="s">
        <v>653</v>
      </c>
      <c r="H123" s="383">
        <v>30</v>
      </c>
      <c r="I123" s="399"/>
      <c r="J123" s="399"/>
      <c r="K123" s="399"/>
      <c r="L123" s="320"/>
      <c r="M123" s="399"/>
      <c r="N123" s="326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  <c r="AA123" s="399"/>
      <c r="AB123" s="399"/>
      <c r="AC123" s="399"/>
      <c r="AD123" s="399"/>
      <c r="AE123" s="399"/>
      <c r="AF123" s="399"/>
      <c r="AG123" s="399"/>
      <c r="AH123" s="399"/>
      <c r="AI123" s="399"/>
      <c r="AJ123" s="399"/>
      <c r="AK123" s="399"/>
      <c r="AL123" s="399"/>
    </row>
    <row r="124" spans="1:38" ht="19" customHeight="1">
      <c r="B124" s="399"/>
      <c r="C124" s="399"/>
      <c r="D124" s="399"/>
      <c r="E124" s="399"/>
      <c r="F124" s="399"/>
      <c r="G124" s="399" t="s">
        <v>654</v>
      </c>
      <c r="H124" s="383">
        <v>136.28967551622418</v>
      </c>
      <c r="I124" s="399"/>
      <c r="J124" s="399"/>
      <c r="K124" s="399"/>
      <c r="L124" s="320"/>
      <c r="M124" s="399"/>
      <c r="N124" s="326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  <c r="AA124" s="399"/>
      <c r="AB124" s="399"/>
      <c r="AC124" s="399"/>
      <c r="AD124" s="399"/>
      <c r="AE124" s="399"/>
      <c r="AF124" s="399"/>
      <c r="AG124" s="399"/>
      <c r="AH124" s="399"/>
      <c r="AI124" s="399"/>
      <c r="AJ124" s="399"/>
      <c r="AK124" s="399"/>
      <c r="AL124" s="399"/>
    </row>
    <row r="127" spans="1:38" ht="19" customHeight="1">
      <c r="B127" s="399"/>
      <c r="C127" s="399"/>
      <c r="D127" s="399"/>
      <c r="E127" s="399"/>
      <c r="F127" s="399"/>
      <c r="G127" s="399" t="s">
        <v>56</v>
      </c>
      <c r="H127" s="399"/>
      <c r="I127" s="399"/>
      <c r="J127" s="399"/>
      <c r="K127" s="399"/>
      <c r="L127" s="320"/>
      <c r="M127" s="399"/>
      <c r="N127" s="326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</row>
  </sheetData>
  <mergeCells count="12">
    <mergeCell ref="Q1:V1"/>
    <mergeCell ref="Q2:S2"/>
    <mergeCell ref="T2:V2"/>
    <mergeCell ref="W1:AC1"/>
    <mergeCell ref="AD1:AL1"/>
    <mergeCell ref="W2:W3"/>
    <mergeCell ref="Y2:Y3"/>
    <mergeCell ref="AA2:AC2"/>
    <mergeCell ref="AD2:AD3"/>
    <mergeCell ref="AF2:AF3"/>
    <mergeCell ref="AH2:AH3"/>
    <mergeCell ref="AJ2:A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K2" sqref="K2"/>
    </sheetView>
  </sheetViews>
  <sheetFormatPr defaultRowHeight="11.5"/>
  <cols>
    <col min="1" max="1" width="8.7265625" style="313"/>
    <col min="2" max="2" width="8.81640625" style="313" bestFit="1" customWidth="1"/>
    <col min="3" max="3" width="12.7265625" style="313" customWidth="1"/>
    <col min="4" max="4" width="16.453125" style="313" customWidth="1"/>
    <col min="5" max="5" width="13" style="313" customWidth="1"/>
    <col min="6" max="6" width="8.81640625" style="313" bestFit="1" customWidth="1"/>
    <col min="7" max="7" width="8.7265625" style="313"/>
    <col min="8" max="8" width="8.81640625" style="313" bestFit="1" customWidth="1"/>
    <col min="9" max="9" width="11.1796875" style="313" customWidth="1"/>
    <col min="10" max="10" width="8.7265625" style="313"/>
    <col min="11" max="11" width="11.1796875" style="313" customWidth="1"/>
    <col min="12" max="12" width="8.7265625" style="313"/>
    <col min="13" max="13" width="11.7265625" style="313" customWidth="1"/>
    <col min="14" max="16384" width="8.7265625" style="313"/>
  </cols>
  <sheetData>
    <row r="1" spans="1:15" ht="27.5" customHeight="1">
      <c r="A1" s="294"/>
      <c r="B1" s="312" t="s">
        <v>794</v>
      </c>
      <c r="C1" s="311" t="s">
        <v>795</v>
      </c>
      <c r="D1" s="310"/>
      <c r="E1" s="310"/>
      <c r="F1" s="309" t="s">
        <v>790</v>
      </c>
      <c r="G1" s="308"/>
      <c r="H1" s="308"/>
      <c r="I1" s="308"/>
      <c r="J1" s="308"/>
      <c r="K1" s="308"/>
      <c r="L1" s="308"/>
      <c r="M1" s="308"/>
      <c r="N1" s="308"/>
      <c r="O1" s="307"/>
    </row>
    <row r="2" spans="1:15" ht="36" customHeight="1">
      <c r="A2" s="395" t="s">
        <v>3</v>
      </c>
      <c r="B2" s="306"/>
      <c r="C2" s="305"/>
      <c r="D2" s="293" t="s">
        <v>796</v>
      </c>
      <c r="E2" s="304" t="s">
        <v>637</v>
      </c>
      <c r="F2" s="303" t="s">
        <v>634</v>
      </c>
      <c r="G2" s="303" t="s">
        <v>13</v>
      </c>
      <c r="H2" s="302" t="s">
        <v>635</v>
      </c>
      <c r="I2" s="302" t="s">
        <v>791</v>
      </c>
      <c r="J2" s="303" t="s">
        <v>16</v>
      </c>
      <c r="K2" s="303" t="s">
        <v>636</v>
      </c>
      <c r="L2" s="301" t="s">
        <v>18</v>
      </c>
      <c r="M2" s="301" t="s">
        <v>792</v>
      </c>
      <c r="N2" s="301" t="s">
        <v>20</v>
      </c>
      <c r="O2" s="307"/>
    </row>
    <row r="3" spans="1:15">
      <c r="A3" s="294">
        <v>68</v>
      </c>
      <c r="B3" s="300">
        <v>1</v>
      </c>
      <c r="C3" s="299">
        <v>3547</v>
      </c>
      <c r="D3" s="298" t="s">
        <v>46</v>
      </c>
      <c r="E3" s="299">
        <v>926119</v>
      </c>
      <c r="F3" s="297">
        <v>6.6550000000000002</v>
      </c>
      <c r="G3" s="297" t="s">
        <v>28</v>
      </c>
      <c r="H3" s="297">
        <v>0.10165</v>
      </c>
      <c r="I3" s="297">
        <v>1.9638269645179522</v>
      </c>
      <c r="J3" s="297" t="s">
        <v>28</v>
      </c>
      <c r="K3" s="297">
        <v>44.154291452779241</v>
      </c>
      <c r="L3" s="297" t="s">
        <v>29</v>
      </c>
      <c r="M3" s="297">
        <v>91.633153825314665</v>
      </c>
      <c r="N3" s="297" t="s">
        <v>29</v>
      </c>
      <c r="O3" s="296"/>
    </row>
    <row r="4" spans="1:15">
      <c r="A4" s="294">
        <v>68</v>
      </c>
      <c r="B4" s="300">
        <v>2</v>
      </c>
      <c r="C4" s="299">
        <v>3548</v>
      </c>
      <c r="D4" s="298" t="s">
        <v>46</v>
      </c>
      <c r="E4" s="299">
        <v>926120</v>
      </c>
      <c r="F4" s="297">
        <v>6.9749999999999996</v>
      </c>
      <c r="G4" s="297" t="s">
        <v>28</v>
      </c>
      <c r="H4" s="297">
        <v>0.14549999999999999</v>
      </c>
      <c r="I4" s="297">
        <v>1.5615183278876195</v>
      </c>
      <c r="J4" s="297" t="s">
        <v>28</v>
      </c>
      <c r="K4" s="297">
        <v>139.46689531154499</v>
      </c>
      <c r="L4" s="297" t="s">
        <v>29</v>
      </c>
      <c r="M4" s="297">
        <v>226.64576650504137</v>
      </c>
      <c r="N4" s="297" t="s">
        <v>30</v>
      </c>
      <c r="O4" s="296"/>
    </row>
    <row r="5" spans="1:15">
      <c r="A5" s="294">
        <v>68</v>
      </c>
      <c r="B5" s="300">
        <v>3</v>
      </c>
      <c r="C5" s="299">
        <v>3549</v>
      </c>
      <c r="D5" s="298" t="s">
        <v>46</v>
      </c>
      <c r="E5" s="299">
        <v>926123</v>
      </c>
      <c r="F5" s="297">
        <v>7.2249999999999996</v>
      </c>
      <c r="G5" s="297" t="s">
        <v>28</v>
      </c>
      <c r="H5" s="297">
        <v>0.1027</v>
      </c>
      <c r="I5" s="297">
        <v>1.7342052734113711</v>
      </c>
      <c r="J5" s="297" t="s">
        <v>28</v>
      </c>
      <c r="K5" s="297">
        <v>57.139500674600768</v>
      </c>
      <c r="L5" s="297" t="s">
        <v>29</v>
      </c>
      <c r="M5" s="297">
        <v>222.50265802515545</v>
      </c>
      <c r="N5" s="297" t="s">
        <v>30</v>
      </c>
      <c r="O5" s="296"/>
    </row>
    <row r="6" spans="1:15">
      <c r="A6" s="294">
        <v>68</v>
      </c>
      <c r="B6" s="300">
        <v>4</v>
      </c>
      <c r="C6" s="299">
        <v>3550</v>
      </c>
      <c r="D6" s="298" t="s">
        <v>46</v>
      </c>
      <c r="E6" s="299">
        <v>926124</v>
      </c>
      <c r="F6" s="297">
        <v>7.2850000000000001</v>
      </c>
      <c r="G6" s="297" t="s">
        <v>28</v>
      </c>
      <c r="H6" s="297">
        <v>0.11649999999999999</v>
      </c>
      <c r="I6" s="297">
        <v>1.6676961594457889</v>
      </c>
      <c r="J6" s="297" t="s">
        <v>28</v>
      </c>
      <c r="K6" s="297">
        <v>54.249127999026001</v>
      </c>
      <c r="L6" s="297" t="s">
        <v>29</v>
      </c>
      <c r="M6" s="297">
        <v>222.42514970059881</v>
      </c>
      <c r="N6" s="297" t="s">
        <v>30</v>
      </c>
      <c r="O6" s="296"/>
    </row>
    <row r="7" spans="1:15">
      <c r="A7" s="294">
        <v>68</v>
      </c>
      <c r="B7" s="300">
        <v>5</v>
      </c>
      <c r="C7" s="299">
        <v>3551</v>
      </c>
      <c r="D7" s="298" t="s">
        <v>46</v>
      </c>
      <c r="E7" s="299">
        <v>926127</v>
      </c>
      <c r="F7" s="297">
        <v>6.67</v>
      </c>
      <c r="G7" s="297" t="s">
        <v>28</v>
      </c>
      <c r="H7" s="297">
        <v>0.19214999999999999</v>
      </c>
      <c r="I7" s="297">
        <v>1.6610191169626116</v>
      </c>
      <c r="J7" s="297" t="s">
        <v>28</v>
      </c>
      <c r="K7" s="297">
        <v>8.8477237367160786</v>
      </c>
      <c r="L7" s="297" t="s">
        <v>37</v>
      </c>
      <c r="M7" s="297">
        <v>58.193347126720504</v>
      </c>
      <c r="N7" s="297" t="s">
        <v>41</v>
      </c>
      <c r="O7" s="296"/>
    </row>
    <row r="8" spans="1:15">
      <c r="A8" s="294">
        <v>68</v>
      </c>
      <c r="B8" s="300">
        <v>6</v>
      </c>
      <c r="C8" s="299">
        <v>3552</v>
      </c>
      <c r="D8" s="298" t="s">
        <v>46</v>
      </c>
      <c r="E8" s="299">
        <v>926128</v>
      </c>
      <c r="F8" s="297">
        <v>6.2899999999999991</v>
      </c>
      <c r="G8" s="297" t="s">
        <v>28</v>
      </c>
      <c r="H8" s="297">
        <v>7.4099999999999999E-2</v>
      </c>
      <c r="I8" s="297">
        <v>1.8992706800588577</v>
      </c>
      <c r="J8" s="297" t="s">
        <v>28</v>
      </c>
      <c r="K8" s="297">
        <v>5.6690987172433474</v>
      </c>
      <c r="L8" s="297" t="s">
        <v>47</v>
      </c>
      <c r="M8" s="297">
        <v>44.778055828949817</v>
      </c>
      <c r="N8" s="297" t="s">
        <v>41</v>
      </c>
      <c r="O8" s="296"/>
    </row>
    <row r="9" spans="1:15">
      <c r="A9" s="294">
        <v>68</v>
      </c>
      <c r="B9" s="300">
        <v>7</v>
      </c>
      <c r="C9" s="299">
        <v>3553</v>
      </c>
      <c r="D9" s="298" t="s">
        <v>62</v>
      </c>
      <c r="E9" s="299">
        <v>903109</v>
      </c>
      <c r="F9" s="297">
        <v>7.6050000000000004</v>
      </c>
      <c r="G9" s="297" t="s">
        <v>40</v>
      </c>
      <c r="H9" s="297">
        <v>0.13945000000000002</v>
      </c>
      <c r="I9" s="297">
        <v>1.2956790334303205</v>
      </c>
      <c r="J9" s="297" t="s">
        <v>41</v>
      </c>
      <c r="K9" s="297">
        <v>294.65460784754748</v>
      </c>
      <c r="L9" s="297" t="s">
        <v>29</v>
      </c>
      <c r="M9" s="297">
        <v>116.69675505695568</v>
      </c>
      <c r="N9" s="297" t="s">
        <v>29</v>
      </c>
      <c r="O9" s="296"/>
    </row>
    <row r="10" spans="1:15">
      <c r="A10" s="294">
        <v>68</v>
      </c>
      <c r="B10" s="300">
        <v>8</v>
      </c>
      <c r="C10" s="299">
        <v>3554</v>
      </c>
      <c r="D10" s="298" t="s">
        <v>62</v>
      </c>
      <c r="E10" s="299">
        <v>903112</v>
      </c>
      <c r="F10" s="297">
        <v>7.97</v>
      </c>
      <c r="G10" s="297" t="s">
        <v>40</v>
      </c>
      <c r="H10" s="297">
        <v>0.17979999999999999</v>
      </c>
      <c r="I10" s="297">
        <v>1.8272261814082253</v>
      </c>
      <c r="J10" s="297" t="s">
        <v>28</v>
      </c>
      <c r="K10" s="297">
        <v>171.14099462647721</v>
      </c>
      <c r="L10" s="297" t="s">
        <v>29</v>
      </c>
      <c r="M10" s="297">
        <v>361.57197745673136</v>
      </c>
      <c r="N10" s="297" t="s">
        <v>30</v>
      </c>
      <c r="O10" s="296"/>
    </row>
    <row r="11" spans="1:15">
      <c r="A11" s="294">
        <v>68</v>
      </c>
      <c r="B11" s="300">
        <v>9</v>
      </c>
      <c r="C11" s="299">
        <v>3555</v>
      </c>
      <c r="D11" s="298" t="s">
        <v>62</v>
      </c>
      <c r="E11" s="299">
        <v>903113</v>
      </c>
      <c r="F11" s="297">
        <v>7.8800000000000008</v>
      </c>
      <c r="G11" s="297" t="s">
        <v>40</v>
      </c>
      <c r="H11" s="297">
        <v>0.159</v>
      </c>
      <c r="I11" s="297">
        <v>1.2674390820538559</v>
      </c>
      <c r="J11" s="297" t="s">
        <v>41</v>
      </c>
      <c r="K11" s="297">
        <v>113.96271472249795</v>
      </c>
      <c r="L11" s="297" t="s">
        <v>29</v>
      </c>
      <c r="M11" s="297">
        <v>304.25156541233946</v>
      </c>
      <c r="N11" s="297" t="s">
        <v>30</v>
      </c>
      <c r="O11" s="296"/>
    </row>
    <row r="12" spans="1:15">
      <c r="A12" s="294">
        <v>68</v>
      </c>
      <c r="B12" s="300">
        <v>10</v>
      </c>
      <c r="C12" s="299">
        <v>3556</v>
      </c>
      <c r="D12" s="298" t="s">
        <v>62</v>
      </c>
      <c r="E12" s="299">
        <v>903114</v>
      </c>
      <c r="F12" s="297">
        <v>7.3149999999999995</v>
      </c>
      <c r="G12" s="297" t="s">
        <v>40</v>
      </c>
      <c r="H12" s="297">
        <v>0.10295</v>
      </c>
      <c r="I12" s="297">
        <v>1.4603601402030395</v>
      </c>
      <c r="J12" s="297" t="s">
        <v>41</v>
      </c>
      <c r="K12" s="297">
        <v>162.31248934209947</v>
      </c>
      <c r="L12" s="297" t="s">
        <v>29</v>
      </c>
      <c r="M12" s="297">
        <v>197.51647463858222</v>
      </c>
      <c r="N12" s="297" t="s">
        <v>30</v>
      </c>
      <c r="O12" s="296"/>
    </row>
    <row r="13" spans="1:15">
      <c r="A13" s="294">
        <v>68</v>
      </c>
      <c r="B13" s="300">
        <v>11</v>
      </c>
      <c r="C13" s="299">
        <v>3557</v>
      </c>
      <c r="D13" s="298" t="s">
        <v>62</v>
      </c>
      <c r="E13" s="299">
        <v>903115</v>
      </c>
      <c r="F13" s="297">
        <v>7.7750000000000004</v>
      </c>
      <c r="G13" s="297" t="s">
        <v>40</v>
      </c>
      <c r="H13" s="297">
        <v>0.16335</v>
      </c>
      <c r="I13" s="297">
        <v>1.877123495954798</v>
      </c>
      <c r="J13" s="297" t="s">
        <v>28</v>
      </c>
      <c r="K13" s="297">
        <v>118.31055029972646</v>
      </c>
      <c r="L13" s="297" t="s">
        <v>29</v>
      </c>
      <c r="M13" s="297">
        <v>197.17353364611546</v>
      </c>
      <c r="N13" s="297" t="s">
        <v>30</v>
      </c>
      <c r="O13" s="296"/>
    </row>
    <row r="14" spans="1:15">
      <c r="A14" s="294">
        <v>68</v>
      </c>
      <c r="B14" s="300">
        <v>12</v>
      </c>
      <c r="C14" s="299">
        <v>3558</v>
      </c>
      <c r="D14" s="298" t="s">
        <v>62</v>
      </c>
      <c r="E14" s="299">
        <v>903117</v>
      </c>
      <c r="F14" s="297">
        <v>7.96</v>
      </c>
      <c r="G14" s="297" t="s">
        <v>40</v>
      </c>
      <c r="H14" s="297">
        <v>0.13685</v>
      </c>
      <c r="I14" s="297">
        <v>1.9364333479641647</v>
      </c>
      <c r="J14" s="297" t="s">
        <v>28</v>
      </c>
      <c r="K14" s="297">
        <v>44.5316134347607</v>
      </c>
      <c r="L14" s="297" t="s">
        <v>29</v>
      </c>
      <c r="M14" s="297">
        <v>126.61638824010871</v>
      </c>
      <c r="N14" s="297" t="s">
        <v>30</v>
      </c>
      <c r="O14" s="296"/>
    </row>
    <row r="15" spans="1:15">
      <c r="A15" s="294">
        <v>68</v>
      </c>
      <c r="B15" s="300">
        <v>13</v>
      </c>
      <c r="C15" s="299">
        <v>3559</v>
      </c>
      <c r="D15" s="298" t="s">
        <v>62</v>
      </c>
      <c r="E15" s="299">
        <v>903118</v>
      </c>
      <c r="F15" s="297">
        <v>8.08</v>
      </c>
      <c r="G15" s="297" t="s">
        <v>40</v>
      </c>
      <c r="H15" s="297">
        <v>0.19359999999999999</v>
      </c>
      <c r="I15" s="297">
        <v>1.7431840037967252</v>
      </c>
      <c r="J15" s="297" t="s">
        <v>28</v>
      </c>
      <c r="K15" s="297">
        <v>66.165473025103523</v>
      </c>
      <c r="L15" s="297" t="s">
        <v>29</v>
      </c>
      <c r="M15" s="297">
        <v>114.09616919393457</v>
      </c>
      <c r="N15" s="297" t="s">
        <v>29</v>
      </c>
      <c r="O15" s="296"/>
    </row>
    <row r="16" spans="1:15">
      <c r="A16" s="294">
        <v>68</v>
      </c>
      <c r="B16" s="300">
        <v>14</v>
      </c>
      <c r="C16" s="299">
        <v>3560</v>
      </c>
      <c r="D16" s="298" t="s">
        <v>62</v>
      </c>
      <c r="E16" s="299">
        <v>903119</v>
      </c>
      <c r="F16" s="297">
        <v>7.96</v>
      </c>
      <c r="G16" s="297" t="s">
        <v>40</v>
      </c>
      <c r="H16" s="297">
        <v>0.14324999999999999</v>
      </c>
      <c r="I16" s="297">
        <v>1.9265750462334199</v>
      </c>
      <c r="J16" s="297" t="s">
        <v>28</v>
      </c>
      <c r="K16" s="297">
        <v>136.99949305391789</v>
      </c>
      <c r="L16" s="297" t="s">
        <v>29</v>
      </c>
      <c r="M16" s="297">
        <v>110.30412175657315</v>
      </c>
      <c r="N16" s="297" t="s">
        <v>29</v>
      </c>
      <c r="O16" s="296"/>
    </row>
    <row r="17" spans="1:15">
      <c r="A17" s="294">
        <v>68</v>
      </c>
      <c r="B17" s="300">
        <v>15</v>
      </c>
      <c r="C17" s="299">
        <v>3561</v>
      </c>
      <c r="D17" s="298" t="s">
        <v>62</v>
      </c>
      <c r="E17" s="299">
        <v>903121</v>
      </c>
      <c r="F17" s="297">
        <v>6.665</v>
      </c>
      <c r="G17" s="297" t="s">
        <v>28</v>
      </c>
      <c r="H17" s="297">
        <v>9.1450000000000004E-2</v>
      </c>
      <c r="I17" s="297">
        <v>1.1983799644826627</v>
      </c>
      <c r="J17" s="297" t="s">
        <v>41</v>
      </c>
      <c r="K17" s="297">
        <v>204.91908682082737</v>
      </c>
      <c r="L17" s="297" t="s">
        <v>29</v>
      </c>
      <c r="M17" s="297">
        <v>23.793859649122808</v>
      </c>
      <c r="N17" s="297" t="s">
        <v>37</v>
      </c>
      <c r="O17" s="296"/>
    </row>
    <row r="18" spans="1:15">
      <c r="A18" s="294">
        <v>68</v>
      </c>
      <c r="B18" s="300">
        <v>16</v>
      </c>
      <c r="C18" s="299">
        <v>3562</v>
      </c>
      <c r="D18" s="298" t="s">
        <v>62</v>
      </c>
      <c r="E18" s="299">
        <v>903122</v>
      </c>
      <c r="F18" s="297">
        <v>6.7549999999999999</v>
      </c>
      <c r="G18" s="297" t="s">
        <v>28</v>
      </c>
      <c r="H18" s="297">
        <v>8.5999999999999993E-2</v>
      </c>
      <c r="I18" s="297">
        <v>1.0341535465609253</v>
      </c>
      <c r="J18" s="297" t="s">
        <v>41</v>
      </c>
      <c r="K18" s="297">
        <v>237.76823995936633</v>
      </c>
      <c r="L18" s="297" t="s">
        <v>29</v>
      </c>
      <c r="M18" s="295" t="s">
        <v>793</v>
      </c>
      <c r="N18" s="297" t="s">
        <v>37</v>
      </c>
      <c r="O18" s="296"/>
    </row>
    <row r="19" spans="1:15">
      <c r="A19" s="294">
        <v>68</v>
      </c>
      <c r="B19" s="300">
        <v>17</v>
      </c>
      <c r="C19" s="299">
        <v>3563</v>
      </c>
      <c r="D19" s="298" t="s">
        <v>62</v>
      </c>
      <c r="E19" s="299">
        <v>903123</v>
      </c>
      <c r="F19" s="297">
        <v>7.1199999999999992</v>
      </c>
      <c r="G19" s="297" t="s">
        <v>28</v>
      </c>
      <c r="H19" s="297">
        <v>0.1027</v>
      </c>
      <c r="I19" s="297">
        <v>2.2268780176716083</v>
      </c>
      <c r="J19" s="297" t="s">
        <v>28</v>
      </c>
      <c r="K19" s="297">
        <v>166.45708071718235</v>
      </c>
      <c r="L19" s="297" t="s">
        <v>29</v>
      </c>
      <c r="M19" s="297">
        <v>107.26264174437517</v>
      </c>
      <c r="N19" s="297" t="s">
        <v>29</v>
      </c>
      <c r="O19" s="296"/>
    </row>
    <row r="20" spans="1:15">
      <c r="A20" s="294">
        <v>68</v>
      </c>
      <c r="B20" s="300">
        <v>18</v>
      </c>
      <c r="C20" s="299">
        <v>3564</v>
      </c>
      <c r="D20" s="298" t="s">
        <v>62</v>
      </c>
      <c r="E20" s="299">
        <v>903137</v>
      </c>
      <c r="F20" s="297">
        <v>7.665</v>
      </c>
      <c r="G20" s="297" t="s">
        <v>40</v>
      </c>
      <c r="H20" s="297">
        <v>0.12819999999999998</v>
      </c>
      <c r="I20" s="297">
        <v>0.60163563858145097</v>
      </c>
      <c r="J20" s="297" t="s">
        <v>37</v>
      </c>
      <c r="K20" s="297">
        <v>32.565121933288097</v>
      </c>
      <c r="L20" s="297" t="s">
        <v>28</v>
      </c>
      <c r="M20" s="297">
        <v>88.246558203638074</v>
      </c>
      <c r="N20" s="297" t="s">
        <v>28</v>
      </c>
      <c r="O20" s="296"/>
    </row>
    <row r="21" spans="1:15">
      <c r="A21" s="294">
        <v>68</v>
      </c>
      <c r="B21" s="300">
        <v>19</v>
      </c>
      <c r="C21" s="299">
        <v>3565</v>
      </c>
      <c r="D21" s="298" t="s">
        <v>62</v>
      </c>
      <c r="E21" s="299">
        <v>903138</v>
      </c>
      <c r="F21" s="297">
        <v>8.0599999999999987</v>
      </c>
      <c r="G21" s="297" t="s">
        <v>40</v>
      </c>
      <c r="H21" s="297">
        <v>7.9399999999999998E-2</v>
      </c>
      <c r="I21" s="297">
        <v>1.0371227267659944</v>
      </c>
      <c r="J21" s="297" t="s">
        <v>41</v>
      </c>
      <c r="K21" s="297">
        <v>144.47949930209683</v>
      </c>
      <c r="L21" s="297" t="s">
        <v>29</v>
      </c>
      <c r="M21" s="297">
        <v>16.829213531453249</v>
      </c>
      <c r="N21" s="297" t="s">
        <v>37</v>
      </c>
      <c r="O21" s="296"/>
    </row>
    <row r="22" spans="1:15">
      <c r="A22" s="294">
        <v>68</v>
      </c>
      <c r="B22" s="300">
        <v>20</v>
      </c>
      <c r="C22" s="299">
        <v>3566</v>
      </c>
      <c r="D22" s="298" t="s">
        <v>62</v>
      </c>
      <c r="E22" s="299">
        <v>903141</v>
      </c>
      <c r="F22" s="297">
        <v>7.82</v>
      </c>
      <c r="G22" s="297" t="s">
        <v>40</v>
      </c>
      <c r="H22" s="297">
        <v>0.10729999999999999</v>
      </c>
      <c r="I22" s="297">
        <v>1.666085943155148</v>
      </c>
      <c r="J22" s="297" t="s">
        <v>28</v>
      </c>
      <c r="K22" s="297">
        <v>25.011945713238127</v>
      </c>
      <c r="L22" s="297" t="s">
        <v>28</v>
      </c>
      <c r="M22" s="297">
        <v>62.715502381754241</v>
      </c>
      <c r="N22" s="297" t="s">
        <v>28</v>
      </c>
      <c r="O22" s="296"/>
    </row>
    <row r="23" spans="1:15">
      <c r="A23" s="294">
        <v>68</v>
      </c>
      <c r="B23" s="300">
        <v>21</v>
      </c>
      <c r="C23" s="299">
        <v>3567</v>
      </c>
      <c r="D23" s="298" t="s">
        <v>62</v>
      </c>
      <c r="E23" s="299">
        <v>903145</v>
      </c>
      <c r="F23" s="297">
        <v>7.76</v>
      </c>
      <c r="G23" s="297" t="s">
        <v>40</v>
      </c>
      <c r="H23" s="297">
        <v>0.16370000000000001</v>
      </c>
      <c r="I23" s="297">
        <v>0.73305184142622537</v>
      </c>
      <c r="J23" s="297" t="s">
        <v>37</v>
      </c>
      <c r="K23" s="297">
        <v>26.931079975968011</v>
      </c>
      <c r="L23" s="297" t="s">
        <v>28</v>
      </c>
      <c r="M23" s="297">
        <v>88.688687256982888</v>
      </c>
      <c r="N23" s="297" t="s">
        <v>28</v>
      </c>
      <c r="O23" s="296"/>
    </row>
    <row r="24" spans="1:15">
      <c r="A24" s="294">
        <v>68</v>
      </c>
      <c r="B24" s="300">
        <v>22</v>
      </c>
      <c r="C24" s="299">
        <v>3568</v>
      </c>
      <c r="D24" s="298" t="s">
        <v>62</v>
      </c>
      <c r="E24" s="299">
        <v>903147</v>
      </c>
      <c r="F24" s="297">
        <v>7.8149999999999995</v>
      </c>
      <c r="G24" s="297" t="s">
        <v>40</v>
      </c>
      <c r="H24" s="297">
        <v>0.11385000000000001</v>
      </c>
      <c r="I24" s="297">
        <v>0.73161172875881941</v>
      </c>
      <c r="J24" s="297" t="s">
        <v>37</v>
      </c>
      <c r="K24" s="297">
        <v>14.222345912086109</v>
      </c>
      <c r="L24" s="297" t="s">
        <v>41</v>
      </c>
      <c r="M24" s="297">
        <v>18.860283624360008</v>
      </c>
      <c r="N24" s="297" t="s">
        <v>37</v>
      </c>
      <c r="O24" s="296"/>
    </row>
    <row r="25" spans="1:15">
      <c r="A25" s="294">
        <v>68</v>
      </c>
      <c r="B25" s="300">
        <v>23</v>
      </c>
      <c r="C25" s="299">
        <v>3569</v>
      </c>
      <c r="D25" s="298" t="s">
        <v>62</v>
      </c>
      <c r="E25" s="299">
        <v>930147</v>
      </c>
      <c r="F25" s="297">
        <v>7.57</v>
      </c>
      <c r="G25" s="297" t="s">
        <v>40</v>
      </c>
      <c r="H25" s="297">
        <v>7.1750000000000008E-2</v>
      </c>
      <c r="I25" s="297">
        <v>6.650937476109281E-2</v>
      </c>
      <c r="J25" s="297" t="s">
        <v>37</v>
      </c>
      <c r="K25" s="297">
        <v>353.44436142783496</v>
      </c>
      <c r="L25" s="297" t="s">
        <v>29</v>
      </c>
      <c r="M25" s="295" t="s">
        <v>793</v>
      </c>
      <c r="N25" s="297" t="s">
        <v>37</v>
      </c>
      <c r="O25" s="296"/>
    </row>
    <row r="26" spans="1:15">
      <c r="A26" s="294">
        <v>68</v>
      </c>
      <c r="B26" s="300">
        <v>24</v>
      </c>
      <c r="C26" s="299">
        <v>3570</v>
      </c>
      <c r="D26" s="298" t="s">
        <v>62</v>
      </c>
      <c r="E26" s="299">
        <v>903148</v>
      </c>
      <c r="F26" s="297">
        <v>7.3249999999999993</v>
      </c>
      <c r="G26" s="297" t="s">
        <v>40</v>
      </c>
      <c r="H26" s="297">
        <v>0.1051</v>
      </c>
      <c r="I26" s="297">
        <v>1.5255438571706335</v>
      </c>
      <c r="J26" s="297" t="s">
        <v>41</v>
      </c>
      <c r="K26" s="297">
        <v>21.440886259781493</v>
      </c>
      <c r="L26" s="297" t="s">
        <v>28</v>
      </c>
      <c r="M26" s="295">
        <v>17.331771015032984</v>
      </c>
      <c r="N26" s="297" t="s">
        <v>37</v>
      </c>
      <c r="O26" s="296"/>
    </row>
    <row r="27" spans="1:15">
      <c r="A27" s="294">
        <v>68</v>
      </c>
      <c r="B27" s="300">
        <v>25</v>
      </c>
      <c r="C27" s="299">
        <v>3571</v>
      </c>
      <c r="D27" s="298" t="s">
        <v>62</v>
      </c>
      <c r="E27" s="299">
        <v>903149</v>
      </c>
      <c r="F27" s="297">
        <v>7.415</v>
      </c>
      <c r="G27" s="297" t="s">
        <v>40</v>
      </c>
      <c r="H27" s="297">
        <v>3.8350000000000002E-2</v>
      </c>
      <c r="I27" s="297">
        <v>0.69907149054103201</v>
      </c>
      <c r="J27" s="297" t="s">
        <v>37</v>
      </c>
      <c r="K27" s="297">
        <v>14.9958112419821</v>
      </c>
      <c r="L27" s="297" t="s">
        <v>41</v>
      </c>
      <c r="M27" s="295" t="s">
        <v>793</v>
      </c>
      <c r="N27" s="297" t="s">
        <v>37</v>
      </c>
      <c r="O27" s="296"/>
    </row>
    <row r="28" spans="1:15">
      <c r="A28" s="294">
        <v>68</v>
      </c>
      <c r="B28" s="300">
        <v>26</v>
      </c>
      <c r="C28" s="299">
        <v>3572</v>
      </c>
      <c r="D28" s="298" t="s">
        <v>62</v>
      </c>
      <c r="E28" s="299">
        <v>903150</v>
      </c>
      <c r="F28" s="297">
        <v>7.26</v>
      </c>
      <c r="G28" s="297" t="s">
        <v>28</v>
      </c>
      <c r="H28" s="297">
        <v>7.5000000000000011E-2</v>
      </c>
      <c r="I28" s="297">
        <v>0.9348298921206295</v>
      </c>
      <c r="J28" s="297" t="s">
        <v>37</v>
      </c>
      <c r="K28" s="297">
        <v>45.294933245022563</v>
      </c>
      <c r="L28" s="297" t="s">
        <v>29</v>
      </c>
      <c r="M28" s="297">
        <v>18.843637724479244</v>
      </c>
      <c r="N28" s="297" t="s">
        <v>37</v>
      </c>
      <c r="O28" s="296"/>
    </row>
    <row r="29" spans="1:15">
      <c r="A29" s="294">
        <v>68</v>
      </c>
      <c r="B29" s="300">
        <v>27</v>
      </c>
      <c r="C29" s="299">
        <v>3573</v>
      </c>
      <c r="D29" s="298" t="s">
        <v>62</v>
      </c>
      <c r="E29" s="299">
        <v>903151</v>
      </c>
      <c r="F29" s="297">
        <v>7.8149999999999995</v>
      </c>
      <c r="G29" s="297" t="s">
        <v>40</v>
      </c>
      <c r="H29" s="297">
        <v>4.2900000000000001E-2</v>
      </c>
      <c r="I29" s="297">
        <v>0.70178749442635868</v>
      </c>
      <c r="J29" s="297" t="s">
        <v>37</v>
      </c>
      <c r="K29" s="297">
        <v>12.432380491416879</v>
      </c>
      <c r="L29" s="297" t="s">
        <v>41</v>
      </c>
      <c r="M29" s="295" t="s">
        <v>793</v>
      </c>
      <c r="N29" s="297" t="s">
        <v>37</v>
      </c>
      <c r="O29" s="296"/>
    </row>
    <row r="30" spans="1:15">
      <c r="A30" s="294">
        <v>68</v>
      </c>
      <c r="B30" s="300">
        <v>28</v>
      </c>
      <c r="C30" s="299">
        <v>3574</v>
      </c>
      <c r="D30" s="298" t="s">
        <v>62</v>
      </c>
      <c r="E30" s="299">
        <v>903152</v>
      </c>
      <c r="F30" s="297">
        <v>7.33</v>
      </c>
      <c r="G30" s="297" t="s">
        <v>40</v>
      </c>
      <c r="H30" s="297">
        <v>7.9949999999999993E-2</v>
      </c>
      <c r="I30" s="297">
        <v>1.0925100044052509</v>
      </c>
      <c r="J30" s="297" t="s">
        <v>41</v>
      </c>
      <c r="K30" s="297">
        <v>23.803062445424004</v>
      </c>
      <c r="L30" s="297" t="s">
        <v>28</v>
      </c>
      <c r="M30" s="295" t="s">
        <v>793</v>
      </c>
      <c r="N30" s="297" t="s">
        <v>37</v>
      </c>
      <c r="O30" s="296"/>
    </row>
    <row r="31" spans="1:15">
      <c r="A31" s="294">
        <v>68</v>
      </c>
      <c r="B31" s="300">
        <v>29</v>
      </c>
      <c r="C31" s="299">
        <v>3575</v>
      </c>
      <c r="D31" s="298" t="s">
        <v>62</v>
      </c>
      <c r="E31" s="299">
        <v>903153</v>
      </c>
      <c r="F31" s="297">
        <v>7.71</v>
      </c>
      <c r="G31" s="297" t="s">
        <v>40</v>
      </c>
      <c r="H31" s="297">
        <v>0.1716</v>
      </c>
      <c r="I31" s="297">
        <v>1.1385469809876669</v>
      </c>
      <c r="J31" s="297" t="s">
        <v>41</v>
      </c>
      <c r="K31" s="297">
        <v>60.408583783958761</v>
      </c>
      <c r="L31" s="297" t="s">
        <v>29</v>
      </c>
      <c r="M31" s="295" t="s">
        <v>793</v>
      </c>
      <c r="N31" s="297" t="s">
        <v>37</v>
      </c>
      <c r="O31" s="296"/>
    </row>
    <row r="32" spans="1:15">
      <c r="A32" s="294">
        <v>68</v>
      </c>
      <c r="B32" s="300">
        <v>30</v>
      </c>
      <c r="C32" s="299">
        <v>3576</v>
      </c>
      <c r="D32" s="298" t="s">
        <v>62</v>
      </c>
      <c r="E32" s="299">
        <v>903154</v>
      </c>
      <c r="F32" s="297">
        <v>7.4550000000000001</v>
      </c>
      <c r="G32" s="297" t="s">
        <v>40</v>
      </c>
      <c r="H32" s="297">
        <v>0.12570000000000001</v>
      </c>
      <c r="I32" s="297">
        <v>1.1005800990280963</v>
      </c>
      <c r="J32" s="297" t="s">
        <v>41</v>
      </c>
      <c r="K32" s="297">
        <v>13.931825803655947</v>
      </c>
      <c r="L32" s="297" t="s">
        <v>41</v>
      </c>
      <c r="M32" s="297">
        <v>45.800931423121099</v>
      </c>
      <c r="N32" s="297" t="s">
        <v>41</v>
      </c>
      <c r="O32" s="296"/>
    </row>
    <row r="33" spans="1:15">
      <c r="A33" s="294">
        <v>68</v>
      </c>
      <c r="B33" s="300">
        <v>31</v>
      </c>
      <c r="C33" s="299">
        <v>3577</v>
      </c>
      <c r="D33" s="298" t="s">
        <v>62</v>
      </c>
      <c r="E33" s="299">
        <v>903155</v>
      </c>
      <c r="F33" s="297">
        <v>7.9450000000000003</v>
      </c>
      <c r="G33" s="297" t="s">
        <v>40</v>
      </c>
      <c r="H33" s="297">
        <v>0.10085</v>
      </c>
      <c r="I33" s="297">
        <v>1.1284601083387129</v>
      </c>
      <c r="J33" s="297" t="s">
        <v>41</v>
      </c>
      <c r="K33" s="297">
        <v>211.53393136942452</v>
      </c>
      <c r="L33" s="297" t="s">
        <v>29</v>
      </c>
      <c r="M33" s="297">
        <v>5.8559457302474058</v>
      </c>
      <c r="N33" s="297" t="s">
        <v>37</v>
      </c>
      <c r="O33" s="296"/>
    </row>
    <row r="34" spans="1:15">
      <c r="A34" s="294">
        <v>68</v>
      </c>
      <c r="B34" s="300">
        <v>32</v>
      </c>
      <c r="C34" s="299">
        <v>3578</v>
      </c>
      <c r="D34" s="298" t="s">
        <v>106</v>
      </c>
      <c r="E34" s="299">
        <v>913105</v>
      </c>
      <c r="F34" s="297">
        <v>7.7799999999999994</v>
      </c>
      <c r="G34" s="297" t="s">
        <v>40</v>
      </c>
      <c r="H34" s="297">
        <v>7.9699999999999993E-2</v>
      </c>
      <c r="I34" s="297">
        <v>1.8319516486771423</v>
      </c>
      <c r="J34" s="297" t="s">
        <v>28</v>
      </c>
      <c r="K34" s="297">
        <v>47.881055244946765</v>
      </c>
      <c r="L34" s="297" t="s">
        <v>29</v>
      </c>
      <c r="M34" s="297">
        <v>168.77094286186406</v>
      </c>
      <c r="N34" s="297" t="s">
        <v>30</v>
      </c>
      <c r="O34" s="296"/>
    </row>
    <row r="35" spans="1:15">
      <c r="A35" s="294">
        <v>68</v>
      </c>
      <c r="B35" s="300">
        <v>33</v>
      </c>
      <c r="C35" s="299">
        <v>3579</v>
      </c>
      <c r="D35" s="298" t="s">
        <v>106</v>
      </c>
      <c r="E35" s="299">
        <v>913106</v>
      </c>
      <c r="F35" s="297">
        <v>7.3550000000000004</v>
      </c>
      <c r="G35" s="297" t="s">
        <v>40</v>
      </c>
      <c r="H35" s="297">
        <v>0.13464999999999999</v>
      </c>
      <c r="I35" s="297">
        <v>1.2951836813850721</v>
      </c>
      <c r="J35" s="297" t="s">
        <v>41</v>
      </c>
      <c r="K35" s="297">
        <v>67.877525204276878</v>
      </c>
      <c r="L35" s="297" t="s">
        <v>29</v>
      </c>
      <c r="M35" s="297">
        <v>52.750359217717801</v>
      </c>
      <c r="N35" s="297" t="s">
        <v>41</v>
      </c>
      <c r="O35" s="296"/>
    </row>
    <row r="36" spans="1:15">
      <c r="A36" s="294">
        <v>68</v>
      </c>
      <c r="B36" s="300">
        <v>34</v>
      </c>
      <c r="C36" s="299">
        <v>3580</v>
      </c>
      <c r="D36" s="298" t="s">
        <v>106</v>
      </c>
      <c r="E36" s="299">
        <v>913108</v>
      </c>
      <c r="F36" s="297">
        <v>7.2249999999999996</v>
      </c>
      <c r="G36" s="297" t="s">
        <v>28</v>
      </c>
      <c r="H36" s="297">
        <v>6.5049999999999997E-2</v>
      </c>
      <c r="I36" s="297">
        <v>1.6628321734794635</v>
      </c>
      <c r="J36" s="297" t="s">
        <v>28</v>
      </c>
      <c r="K36" s="297">
        <v>67.358435544488259</v>
      </c>
      <c r="L36" s="297" t="s">
        <v>29</v>
      </c>
      <c r="M36" s="297">
        <v>127.12167026373986</v>
      </c>
      <c r="N36" s="297" t="s">
        <v>30</v>
      </c>
      <c r="O36" s="296"/>
    </row>
    <row r="37" spans="1:15">
      <c r="A37" s="294">
        <v>68</v>
      </c>
      <c r="B37" s="300">
        <v>35</v>
      </c>
      <c r="C37" s="299">
        <v>3581</v>
      </c>
      <c r="D37" s="298" t="s">
        <v>797</v>
      </c>
      <c r="E37" s="299">
        <v>910107</v>
      </c>
      <c r="F37" s="297">
        <v>7.5150000000000006</v>
      </c>
      <c r="G37" s="297" t="s">
        <v>40</v>
      </c>
      <c r="H37" s="297">
        <v>6.08E-2</v>
      </c>
      <c r="I37" s="297">
        <v>0.93207330570873959</v>
      </c>
      <c r="J37" s="297" t="s">
        <v>37</v>
      </c>
      <c r="K37" s="297">
        <v>64.614884393281557</v>
      </c>
      <c r="L37" s="297" t="s">
        <v>29</v>
      </c>
      <c r="M37" s="295" t="s">
        <v>793</v>
      </c>
      <c r="N37" s="297" t="s">
        <v>37</v>
      </c>
      <c r="O37" s="296"/>
    </row>
    <row r="38" spans="1:15">
      <c r="A38" s="294">
        <v>68</v>
      </c>
      <c r="B38" s="300">
        <v>36</v>
      </c>
      <c r="C38" s="299">
        <v>3582</v>
      </c>
      <c r="D38" s="298" t="s">
        <v>797</v>
      </c>
      <c r="E38" s="299">
        <v>910108</v>
      </c>
      <c r="F38" s="297">
        <v>7.35</v>
      </c>
      <c r="G38" s="297" t="s">
        <v>40</v>
      </c>
      <c r="H38" s="297">
        <v>3.4200000000000001E-2</v>
      </c>
      <c r="I38" s="297">
        <v>0.63398140321217245</v>
      </c>
      <c r="J38" s="297" t="s">
        <v>37</v>
      </c>
      <c r="K38" s="297">
        <v>30.110633603112923</v>
      </c>
      <c r="L38" s="297" t="s">
        <v>28</v>
      </c>
      <c r="M38" s="295" t="s">
        <v>793</v>
      </c>
      <c r="N38" s="297" t="s">
        <v>37</v>
      </c>
      <c r="O38" s="296"/>
    </row>
    <row r="39" spans="1:15">
      <c r="A39" s="294">
        <v>68</v>
      </c>
      <c r="B39" s="300">
        <v>37</v>
      </c>
      <c r="C39" s="299">
        <v>3583</v>
      </c>
      <c r="D39" s="298" t="s">
        <v>797</v>
      </c>
      <c r="E39" s="299">
        <v>910113</v>
      </c>
      <c r="F39" s="297">
        <v>7.165</v>
      </c>
      <c r="G39" s="297" t="s">
        <v>28</v>
      </c>
      <c r="H39" s="297">
        <v>5.9749999999999998E-2</v>
      </c>
      <c r="I39" s="297">
        <v>0.93297507090610554</v>
      </c>
      <c r="J39" s="297" t="s">
        <v>37</v>
      </c>
      <c r="K39" s="297">
        <v>43.824848656747051</v>
      </c>
      <c r="L39" s="297" t="s">
        <v>29</v>
      </c>
      <c r="M39" s="295" t="s">
        <v>793</v>
      </c>
      <c r="N39" s="297" t="s">
        <v>37</v>
      </c>
      <c r="O39" s="296"/>
    </row>
    <row r="40" spans="1:15">
      <c r="A40" s="294">
        <v>68</v>
      </c>
      <c r="B40" s="300">
        <v>38</v>
      </c>
      <c r="C40" s="299">
        <v>3584</v>
      </c>
      <c r="D40" s="298" t="s">
        <v>797</v>
      </c>
      <c r="E40" s="299">
        <v>910116</v>
      </c>
      <c r="F40" s="297">
        <v>7.3100000000000005</v>
      </c>
      <c r="G40" s="297" t="s">
        <v>40</v>
      </c>
      <c r="H40" s="297">
        <v>4.9700000000000001E-2</v>
      </c>
      <c r="I40" s="297">
        <v>0.66051396315173982</v>
      </c>
      <c r="J40" s="297" t="s">
        <v>37</v>
      </c>
      <c r="K40" s="297">
        <v>27.197326247444451</v>
      </c>
      <c r="L40" s="297" t="s">
        <v>28</v>
      </c>
      <c r="M40" s="295" t="s">
        <v>793</v>
      </c>
      <c r="N40" s="297" t="s">
        <v>37</v>
      </c>
      <c r="O40" s="296"/>
    </row>
    <row r="41" spans="1:15">
      <c r="A41" s="294">
        <v>68</v>
      </c>
      <c r="B41" s="300">
        <v>39</v>
      </c>
      <c r="C41" s="299">
        <v>3585</v>
      </c>
      <c r="D41" s="298" t="s">
        <v>797</v>
      </c>
      <c r="E41" s="299">
        <v>910117</v>
      </c>
      <c r="F41" s="297">
        <v>7.18</v>
      </c>
      <c r="G41" s="297" t="s">
        <v>28</v>
      </c>
      <c r="H41" s="297">
        <v>7.2650000000000006E-2</v>
      </c>
      <c r="I41" s="297">
        <v>1.5317612779490548</v>
      </c>
      <c r="J41" s="297" t="s">
        <v>41</v>
      </c>
      <c r="K41" s="297">
        <v>12.524735389289457</v>
      </c>
      <c r="L41" s="297" t="s">
        <v>41</v>
      </c>
      <c r="M41" s="297">
        <v>56.289100443684831</v>
      </c>
      <c r="N41" s="297" t="s">
        <v>41</v>
      </c>
      <c r="O41" s="296"/>
    </row>
    <row r="42" spans="1:15">
      <c r="A42" s="294">
        <v>68</v>
      </c>
      <c r="B42" s="300">
        <v>40</v>
      </c>
      <c r="C42" s="299">
        <v>3586</v>
      </c>
      <c r="D42" s="298" t="s">
        <v>797</v>
      </c>
      <c r="E42" s="299">
        <v>910120</v>
      </c>
      <c r="F42" s="297">
        <v>7.4</v>
      </c>
      <c r="G42" s="297" t="s">
        <v>40</v>
      </c>
      <c r="H42" s="297">
        <v>4.5999999999999999E-2</v>
      </c>
      <c r="I42" s="297">
        <v>1.1696107497116315</v>
      </c>
      <c r="J42" s="297" t="s">
        <v>41</v>
      </c>
      <c r="K42" s="297">
        <v>36.929431072423355</v>
      </c>
      <c r="L42" s="297" t="s">
        <v>28</v>
      </c>
      <c r="M42" s="297">
        <v>12.851390381970967</v>
      </c>
      <c r="N42" s="297" t="s">
        <v>37</v>
      </c>
      <c r="O42" s="296"/>
    </row>
    <row r="43" spans="1:15">
      <c r="A43" s="294">
        <v>68</v>
      </c>
      <c r="B43" s="300">
        <v>41</v>
      </c>
      <c r="C43" s="299">
        <v>3587</v>
      </c>
      <c r="D43" s="298" t="s">
        <v>102</v>
      </c>
      <c r="E43" s="299">
        <v>902140</v>
      </c>
      <c r="F43" s="297">
        <v>7.23</v>
      </c>
      <c r="G43" s="297" t="s">
        <v>28</v>
      </c>
      <c r="H43" s="297">
        <v>6.2399999999999997E-2</v>
      </c>
      <c r="I43" s="297">
        <v>1.1306726717181754</v>
      </c>
      <c r="J43" s="297" t="s">
        <v>41</v>
      </c>
      <c r="K43" s="297">
        <v>28.416050097451254</v>
      </c>
      <c r="L43" s="297" t="s">
        <v>28</v>
      </c>
      <c r="M43" s="297">
        <v>45.803931475729236</v>
      </c>
      <c r="N43" s="297" t="s">
        <v>41</v>
      </c>
      <c r="O43" s="296"/>
    </row>
    <row r="44" spans="1:15">
      <c r="A44" s="294">
        <v>68</v>
      </c>
      <c r="B44" s="300">
        <v>42</v>
      </c>
      <c r="C44" s="299">
        <v>3588</v>
      </c>
      <c r="D44" s="298" t="s">
        <v>102</v>
      </c>
      <c r="E44" s="299">
        <v>902146</v>
      </c>
      <c r="F44" s="297">
        <v>7.6899999999999995</v>
      </c>
      <c r="G44" s="297" t="s">
        <v>40</v>
      </c>
      <c r="H44" s="297">
        <v>6.4049999999999996E-2</v>
      </c>
      <c r="I44" s="297">
        <v>1.0737146396861459</v>
      </c>
      <c r="J44" s="297" t="s">
        <v>41</v>
      </c>
      <c r="K44" s="297">
        <v>276.84882605761806</v>
      </c>
      <c r="L44" s="297" t="s">
        <v>29</v>
      </c>
      <c r="M44" s="297">
        <v>53.781163202958851</v>
      </c>
      <c r="N44" s="297" t="s">
        <v>41</v>
      </c>
      <c r="O44" s="296"/>
    </row>
    <row r="45" spans="1:15">
      <c r="A45" s="294">
        <v>68</v>
      </c>
      <c r="B45" s="300">
        <v>43</v>
      </c>
      <c r="C45" s="299">
        <v>3589</v>
      </c>
      <c r="D45" s="298" t="s">
        <v>102</v>
      </c>
      <c r="E45" s="299">
        <v>902128</v>
      </c>
      <c r="F45" s="297">
        <v>8.5150000000000006</v>
      </c>
      <c r="G45" s="297" t="s">
        <v>36</v>
      </c>
      <c r="H45" s="297">
        <v>6.0399999999999995E-2</v>
      </c>
      <c r="I45" s="297">
        <v>1.0634478687010616</v>
      </c>
      <c r="J45" s="297" t="s">
        <v>41</v>
      </c>
      <c r="K45" s="297">
        <v>24.372268556167946</v>
      </c>
      <c r="L45" s="297" t="s">
        <v>28</v>
      </c>
      <c r="M45" s="295" t="s">
        <v>793</v>
      </c>
      <c r="N45" s="297" t="s">
        <v>37</v>
      </c>
      <c r="O45" s="296"/>
    </row>
    <row r="46" spans="1:15">
      <c r="A46" s="294">
        <v>68</v>
      </c>
      <c r="B46" s="300">
        <v>44</v>
      </c>
      <c r="C46" s="299">
        <v>3590</v>
      </c>
      <c r="D46" s="298" t="s">
        <v>102</v>
      </c>
      <c r="E46" s="299">
        <v>902109</v>
      </c>
      <c r="F46" s="297">
        <v>8.1999999999999993</v>
      </c>
      <c r="G46" s="297" t="s">
        <v>40</v>
      </c>
      <c r="H46" s="297">
        <v>0.11655</v>
      </c>
      <c r="I46" s="297">
        <v>0.73811177465936884</v>
      </c>
      <c r="J46" s="297" t="s">
        <v>37</v>
      </c>
      <c r="K46" s="297">
        <v>24.557505853685001</v>
      </c>
      <c r="L46" s="297" t="s">
        <v>28</v>
      </c>
      <c r="M46" s="297">
        <v>117.99184682251988</v>
      </c>
      <c r="N46" s="297" t="s">
        <v>29</v>
      </c>
      <c r="O46" s="296"/>
    </row>
    <row r="47" spans="1:15">
      <c r="A47" s="294">
        <v>68</v>
      </c>
      <c r="B47" s="300">
        <v>45</v>
      </c>
      <c r="C47" s="299">
        <v>3591</v>
      </c>
      <c r="D47" s="298" t="s">
        <v>102</v>
      </c>
      <c r="E47" s="299">
        <v>902139</v>
      </c>
      <c r="F47" s="297">
        <v>7.8900000000000006</v>
      </c>
      <c r="G47" s="297" t="s">
        <v>40</v>
      </c>
      <c r="H47" s="297">
        <v>6.8750000000000006E-2</v>
      </c>
      <c r="I47" s="297">
        <v>0.36705692530668416</v>
      </c>
      <c r="J47" s="297" t="s">
        <v>37</v>
      </c>
      <c r="K47" s="297">
        <v>6.9198185871870121</v>
      </c>
      <c r="L47" s="297" t="s">
        <v>37</v>
      </c>
      <c r="M47" s="295" t="s">
        <v>793</v>
      </c>
      <c r="N47" s="297" t="s">
        <v>37</v>
      </c>
      <c r="O47" s="296"/>
    </row>
    <row r="48" spans="1:15">
      <c r="A48" s="294">
        <v>68</v>
      </c>
      <c r="B48" s="300">
        <v>46</v>
      </c>
      <c r="C48" s="299">
        <v>3592</v>
      </c>
      <c r="D48" s="298" t="s">
        <v>102</v>
      </c>
      <c r="E48" s="299">
        <v>902138</v>
      </c>
      <c r="F48" s="297">
        <v>7.4749999999999996</v>
      </c>
      <c r="G48" s="297" t="s">
        <v>40</v>
      </c>
      <c r="H48" s="297">
        <v>0.1124</v>
      </c>
      <c r="I48" s="297">
        <v>1.4603145101871369</v>
      </c>
      <c r="J48" s="297" t="s">
        <v>41</v>
      </c>
      <c r="K48" s="297">
        <v>101.89097447391897</v>
      </c>
      <c r="L48" s="297" t="s">
        <v>29</v>
      </c>
      <c r="M48" s="295">
        <v>180.02756885400768</v>
      </c>
      <c r="N48" s="297" t="s">
        <v>30</v>
      </c>
      <c r="O48" s="296"/>
    </row>
    <row r="49" spans="1:15">
      <c r="A49" s="294">
        <v>68</v>
      </c>
      <c r="B49" s="300">
        <v>47</v>
      </c>
      <c r="C49" s="299">
        <v>3593</v>
      </c>
      <c r="D49" s="298" t="s">
        <v>103</v>
      </c>
      <c r="E49" s="299">
        <v>906124</v>
      </c>
      <c r="F49" s="297">
        <v>7.83</v>
      </c>
      <c r="G49" s="297" t="s">
        <v>40</v>
      </c>
      <c r="H49" s="297">
        <v>0.17764999999999997</v>
      </c>
      <c r="I49" s="297">
        <v>1.4284021987731845</v>
      </c>
      <c r="J49" s="297" t="s">
        <v>41</v>
      </c>
      <c r="K49" s="297">
        <v>108.16026891647934</v>
      </c>
      <c r="L49" s="297" t="s">
        <v>29</v>
      </c>
      <c r="M49" s="297">
        <v>172.81698564593302</v>
      </c>
      <c r="N49" s="297" t="s">
        <v>30</v>
      </c>
      <c r="O49" s="296"/>
    </row>
    <row r="50" spans="1:15">
      <c r="A50" s="294">
        <v>68</v>
      </c>
      <c r="B50" s="300">
        <v>48</v>
      </c>
      <c r="C50" s="299">
        <v>3594</v>
      </c>
      <c r="D50" s="298" t="s">
        <v>103</v>
      </c>
      <c r="E50" s="299">
        <v>906137</v>
      </c>
      <c r="F50" s="297">
        <v>7.7550000000000008</v>
      </c>
      <c r="G50" s="297" t="s">
        <v>40</v>
      </c>
      <c r="H50" s="297">
        <v>0.14624999999999999</v>
      </c>
      <c r="I50" s="297">
        <v>1.3262545757310316</v>
      </c>
      <c r="J50" s="297" t="s">
        <v>41</v>
      </c>
      <c r="K50" s="297">
        <v>88.704228227955724</v>
      </c>
      <c r="L50" s="297" t="s">
        <v>29</v>
      </c>
      <c r="M50" s="295">
        <v>140.0301590675848</v>
      </c>
      <c r="N50" s="297" t="s">
        <v>30</v>
      </c>
      <c r="O50" s="296"/>
    </row>
    <row r="51" spans="1:15">
      <c r="A51" s="294">
        <v>68</v>
      </c>
      <c r="B51" s="300">
        <v>49</v>
      </c>
      <c r="C51" s="299">
        <v>3595</v>
      </c>
      <c r="D51" s="298" t="s">
        <v>103</v>
      </c>
      <c r="E51" s="299">
        <v>906141</v>
      </c>
      <c r="F51" s="297">
        <v>7.83</v>
      </c>
      <c r="G51" s="297" t="s">
        <v>40</v>
      </c>
      <c r="H51" s="297">
        <v>0.17280000000000001</v>
      </c>
      <c r="I51" s="297">
        <v>1.3732651115252061</v>
      </c>
      <c r="J51" s="297" t="s">
        <v>41</v>
      </c>
      <c r="K51" s="297">
        <v>321.49493273499002</v>
      </c>
      <c r="L51" s="297" t="s">
        <v>29</v>
      </c>
      <c r="M51" s="295">
        <v>122.52692461108893</v>
      </c>
      <c r="N51" s="297" t="s">
        <v>30</v>
      </c>
      <c r="O51" s="296"/>
    </row>
    <row r="52" spans="1:15">
      <c r="A52" s="294">
        <v>68</v>
      </c>
      <c r="B52" s="300">
        <v>50</v>
      </c>
      <c r="C52" s="299">
        <v>3596</v>
      </c>
      <c r="D52" s="298" t="s">
        <v>103</v>
      </c>
      <c r="E52" s="299">
        <v>906142</v>
      </c>
      <c r="F52" s="297">
        <v>7.7450000000000001</v>
      </c>
      <c r="G52" s="297" t="s">
        <v>40</v>
      </c>
      <c r="H52" s="297">
        <v>0.12175</v>
      </c>
      <c r="I52" s="297">
        <v>0.83301345616616496</v>
      </c>
      <c r="J52" s="297" t="s">
        <v>37</v>
      </c>
      <c r="K52" s="297">
        <v>312.67622572829055</v>
      </c>
      <c r="L52" s="297" t="s">
        <v>29</v>
      </c>
      <c r="M52" s="295">
        <v>57.278789897052832</v>
      </c>
      <c r="N52" s="297" t="s">
        <v>41</v>
      </c>
      <c r="O52" s="296"/>
    </row>
    <row r="53" spans="1:15">
      <c r="A53" s="294">
        <v>68</v>
      </c>
      <c r="B53" s="300">
        <v>51</v>
      </c>
      <c r="C53" s="299">
        <v>3597</v>
      </c>
      <c r="D53" s="298" t="s">
        <v>103</v>
      </c>
      <c r="E53" s="299">
        <v>906143</v>
      </c>
      <c r="F53" s="297">
        <v>7.79</v>
      </c>
      <c r="G53" s="297" t="s">
        <v>40</v>
      </c>
      <c r="H53" s="297">
        <v>0.11990000000000001</v>
      </c>
      <c r="I53" s="297">
        <v>1.3676102169516704</v>
      </c>
      <c r="J53" s="297" t="s">
        <v>41</v>
      </c>
      <c r="K53" s="297">
        <v>326.16352500585958</v>
      </c>
      <c r="L53" s="297" t="s">
        <v>29</v>
      </c>
      <c r="M53" s="295">
        <v>131.97680886716836</v>
      </c>
      <c r="N53" s="297" t="s">
        <v>30</v>
      </c>
      <c r="O53" s="296"/>
    </row>
    <row r="54" spans="1:15">
      <c r="A54" s="294">
        <v>68</v>
      </c>
      <c r="B54" s="300">
        <v>52</v>
      </c>
      <c r="C54" s="299">
        <v>3598</v>
      </c>
      <c r="D54" s="298" t="s">
        <v>103</v>
      </c>
      <c r="E54" s="299">
        <v>906146</v>
      </c>
      <c r="F54" s="297">
        <v>7.84</v>
      </c>
      <c r="G54" s="297" t="s">
        <v>40</v>
      </c>
      <c r="H54" s="297">
        <v>0.1527</v>
      </c>
      <c r="I54" s="297">
        <v>1.2984099185711828</v>
      </c>
      <c r="J54" s="297" t="s">
        <v>41</v>
      </c>
      <c r="K54" s="297">
        <v>344.77562726918927</v>
      </c>
      <c r="L54" s="297" t="s">
        <v>29</v>
      </c>
      <c r="M54" s="297">
        <v>37.775575157316894</v>
      </c>
      <c r="N54" s="297" t="s">
        <v>41</v>
      </c>
      <c r="O54" s="296"/>
    </row>
    <row r="55" spans="1:15">
      <c r="A55" s="294">
        <v>68</v>
      </c>
      <c r="B55" s="300">
        <v>53</v>
      </c>
      <c r="C55" s="299">
        <v>3599</v>
      </c>
      <c r="D55" s="298" t="s">
        <v>798</v>
      </c>
      <c r="E55" s="299">
        <v>930110</v>
      </c>
      <c r="F55" s="297">
        <v>7.49</v>
      </c>
      <c r="G55" s="297" t="s">
        <v>40</v>
      </c>
      <c r="H55" s="297">
        <v>0.27700000000000002</v>
      </c>
      <c r="I55" s="297">
        <v>3.3620093184547168</v>
      </c>
      <c r="J55" s="297" t="s">
        <v>29</v>
      </c>
      <c r="K55" s="297">
        <v>18.564121806646341</v>
      </c>
      <c r="L55" s="297" t="s">
        <v>41</v>
      </c>
      <c r="M55" s="297">
        <v>87.647799921879312</v>
      </c>
      <c r="N55" s="297" t="s">
        <v>28</v>
      </c>
      <c r="O55" s="296"/>
    </row>
    <row r="56" spans="1:15">
      <c r="A56" s="294">
        <v>68</v>
      </c>
      <c r="B56" s="300">
        <v>54</v>
      </c>
      <c r="C56" s="299">
        <v>3600</v>
      </c>
      <c r="D56" s="298" t="s">
        <v>798</v>
      </c>
      <c r="E56" s="299">
        <v>930111</v>
      </c>
      <c r="F56" s="297">
        <v>6.75</v>
      </c>
      <c r="G56" s="297" t="s">
        <v>28</v>
      </c>
      <c r="H56" s="297">
        <v>0.313</v>
      </c>
      <c r="I56" s="297">
        <v>6.2480837574249009</v>
      </c>
      <c r="J56" s="297" t="s">
        <v>29</v>
      </c>
      <c r="K56" s="297">
        <v>26.555332138079677</v>
      </c>
      <c r="L56" s="297" t="s">
        <v>28</v>
      </c>
      <c r="M56" s="297">
        <v>64.714684756584205</v>
      </c>
      <c r="N56" s="297" t="s">
        <v>28</v>
      </c>
      <c r="O56" s="296"/>
    </row>
    <row r="57" spans="1:15">
      <c r="A57" s="294">
        <v>68</v>
      </c>
      <c r="B57" s="300">
        <v>55</v>
      </c>
      <c r="C57" s="299">
        <v>3601</v>
      </c>
      <c r="D57" s="298" t="s">
        <v>798</v>
      </c>
      <c r="E57" s="299">
        <v>930203</v>
      </c>
      <c r="F57" s="297">
        <v>6.8250000000000002</v>
      </c>
      <c r="G57" s="297" t="s">
        <v>28</v>
      </c>
      <c r="H57" s="297">
        <v>8.9649999999999994E-2</v>
      </c>
      <c r="I57" s="297">
        <v>1.0694665525665865</v>
      </c>
      <c r="J57" s="297" t="s">
        <v>41</v>
      </c>
      <c r="K57" s="297">
        <v>28.59599210397484</v>
      </c>
      <c r="L57" s="297" t="s">
        <v>28</v>
      </c>
      <c r="M57" s="295">
        <v>32.791300877893057</v>
      </c>
      <c r="N57" s="297" t="s">
        <v>41</v>
      </c>
      <c r="O57" s="296"/>
    </row>
  </sheetData>
  <mergeCells count="3">
    <mergeCell ref="B1:B2"/>
    <mergeCell ref="C1:C2"/>
    <mergeCell ref="F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รายแปลง</vt:lpstr>
      <vt:lpstr>วิเคราะห์ดินปี59-63</vt:lpstr>
      <vt:lpstr>วิเคราะห์ดินปี68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Wilawan Neampan</dc:creator>
  <cp:lastModifiedBy>Wilawan Neampan</cp:lastModifiedBy>
  <dcterms:created xsi:type="dcterms:W3CDTF">2025-09-20T14:16:57Z</dcterms:created>
  <dcterms:modified xsi:type="dcterms:W3CDTF">2025-09-20T16:23:46Z</dcterms:modified>
</cp:coreProperties>
</file>